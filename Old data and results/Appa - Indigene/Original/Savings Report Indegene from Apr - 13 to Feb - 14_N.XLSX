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hintya Ravindra\AppData\Local\Microsoft\Windows\Temporary Internet Files\Content.Outlook\AA7RL0R0\"/>
    </mc:Choice>
  </mc:AlternateContent>
  <bookViews>
    <workbookView xWindow="0" yWindow="0" windowWidth="20490" windowHeight="7755"/>
  </bookViews>
  <sheets>
    <sheet name="Savings from Apr 13 to Feb 14" sheetId="1" r:id="rId1"/>
  </sheets>
  <definedNames>
    <definedName name="_xlnm._FilterDatabase" localSheetId="0" hidden="1">'Savings from Apr 13 to Feb 14'!$A$4:$T$312</definedName>
  </definedNames>
  <calcPr calcId="152511"/>
</workbook>
</file>

<file path=xl/calcChain.xml><?xml version="1.0" encoding="utf-8"?>
<calcChain xmlns="http://schemas.openxmlformats.org/spreadsheetml/2006/main">
  <c r="M312" i="1" l="1"/>
  <c r="P311" i="1"/>
  <c r="S311" i="1" s="1"/>
  <c r="O311" i="1"/>
  <c r="R311" i="1" s="1"/>
  <c r="O285" i="1"/>
  <c r="R285" i="1" s="1"/>
  <c r="P285" i="1"/>
  <c r="S285" i="1" s="1"/>
  <c r="P255" i="1"/>
  <c r="S255" i="1" s="1"/>
  <c r="O255" i="1"/>
  <c r="R255" i="1" s="1"/>
  <c r="P250" i="1"/>
  <c r="S250" i="1" s="1"/>
  <c r="O250" i="1"/>
  <c r="R250" i="1" s="1"/>
  <c r="P115" i="1"/>
  <c r="S115" i="1" s="1"/>
  <c r="O115" i="1"/>
  <c r="R115" i="1" s="1"/>
  <c r="P114" i="1"/>
  <c r="S114" i="1" s="1"/>
  <c r="O114" i="1"/>
  <c r="R114" i="1" s="1"/>
  <c r="P111" i="1"/>
  <c r="S111" i="1" s="1"/>
  <c r="O111" i="1"/>
  <c r="R111" i="1" s="1"/>
  <c r="O106" i="1"/>
  <c r="R106" i="1" s="1"/>
  <c r="P106" i="1"/>
  <c r="S106" i="1" s="1"/>
  <c r="P90" i="1"/>
  <c r="S90" i="1" s="1"/>
  <c r="O90" i="1"/>
  <c r="R90" i="1" s="1"/>
  <c r="P88" i="1"/>
  <c r="S88" i="1" s="1"/>
  <c r="O88" i="1"/>
  <c r="R88" i="1" s="1"/>
  <c r="O18" i="1"/>
  <c r="R18" i="1" s="1"/>
  <c r="P18" i="1"/>
  <c r="S18" i="1" s="1"/>
  <c r="P10" i="1"/>
  <c r="S10" i="1" s="1"/>
  <c r="O10" i="1"/>
  <c r="R10" i="1" s="1"/>
  <c r="P5" i="1"/>
  <c r="S5" i="1" s="1"/>
  <c r="O5" i="1"/>
  <c r="R5" i="1" s="1"/>
  <c r="O309" i="1"/>
  <c r="R309" i="1" s="1"/>
  <c r="O308" i="1"/>
  <c r="R308" i="1" s="1"/>
  <c r="O307" i="1"/>
  <c r="O306" i="1"/>
  <c r="R306" i="1" s="1"/>
  <c r="O305" i="1"/>
  <c r="R305" i="1" s="1"/>
  <c r="O304" i="1"/>
  <c r="R304" i="1" s="1"/>
  <c r="O303" i="1"/>
  <c r="O302" i="1"/>
  <c r="R302" i="1" s="1"/>
  <c r="O301" i="1"/>
  <c r="R301" i="1" s="1"/>
  <c r="O300" i="1"/>
  <c r="R300" i="1" s="1"/>
  <c r="O299" i="1"/>
  <c r="O298" i="1"/>
  <c r="R298" i="1" s="1"/>
  <c r="O297" i="1"/>
  <c r="R297" i="1" s="1"/>
  <c r="O296" i="1"/>
  <c r="R296" i="1" s="1"/>
  <c r="O295" i="1"/>
  <c r="O294" i="1"/>
  <c r="R294" i="1" s="1"/>
  <c r="O293" i="1"/>
  <c r="R293" i="1" s="1"/>
  <c r="O292" i="1"/>
  <c r="R292" i="1" s="1"/>
  <c r="O291" i="1"/>
  <c r="O290" i="1"/>
  <c r="R290" i="1" s="1"/>
  <c r="O289" i="1"/>
  <c r="R289" i="1" s="1"/>
  <c r="O288" i="1"/>
  <c r="R288" i="1" s="1"/>
  <c r="O287" i="1"/>
  <c r="O286" i="1"/>
  <c r="R286" i="1" s="1"/>
  <c r="O284" i="1"/>
  <c r="R284" i="1" s="1"/>
  <c r="O283" i="1"/>
  <c r="R283" i="1" s="1"/>
  <c r="O282" i="1"/>
  <c r="O281" i="1"/>
  <c r="R281" i="1" s="1"/>
  <c r="O280" i="1"/>
  <c r="R280" i="1" s="1"/>
  <c r="O279" i="1"/>
  <c r="R279" i="1" s="1"/>
  <c r="O278" i="1"/>
  <c r="O277" i="1"/>
  <c r="R277" i="1" s="1"/>
  <c r="O276" i="1"/>
  <c r="R276" i="1" s="1"/>
  <c r="O275" i="1"/>
  <c r="R275" i="1" s="1"/>
  <c r="O274" i="1"/>
  <c r="O273" i="1"/>
  <c r="R273" i="1" s="1"/>
  <c r="O272" i="1"/>
  <c r="R272" i="1" s="1"/>
  <c r="O271" i="1"/>
  <c r="R271" i="1" s="1"/>
  <c r="O270" i="1"/>
  <c r="O269" i="1"/>
  <c r="R269" i="1" s="1"/>
  <c r="O268" i="1"/>
  <c r="R268" i="1" s="1"/>
  <c r="O267" i="1"/>
  <c r="R267" i="1" s="1"/>
  <c r="O266" i="1"/>
  <c r="O265" i="1"/>
  <c r="R265" i="1" s="1"/>
  <c r="O264" i="1"/>
  <c r="R264" i="1" s="1"/>
  <c r="O263" i="1"/>
  <c r="R263" i="1" s="1"/>
  <c r="O262" i="1"/>
  <c r="O261" i="1"/>
  <c r="R261" i="1" s="1"/>
  <c r="O260" i="1"/>
  <c r="R260" i="1" s="1"/>
  <c r="O259" i="1"/>
  <c r="R259" i="1" s="1"/>
  <c r="O258" i="1"/>
  <c r="O257" i="1"/>
  <c r="R257" i="1" s="1"/>
  <c r="O256" i="1"/>
  <c r="R256" i="1" s="1"/>
  <c r="O254" i="1"/>
  <c r="R254" i="1" s="1"/>
  <c r="O253" i="1"/>
  <c r="O252" i="1"/>
  <c r="R252" i="1" s="1"/>
  <c r="O251" i="1"/>
  <c r="R251" i="1" s="1"/>
  <c r="O249" i="1"/>
  <c r="R249" i="1" s="1"/>
  <c r="O248" i="1"/>
  <c r="O247" i="1"/>
  <c r="R247" i="1" s="1"/>
  <c r="O246" i="1"/>
  <c r="R246" i="1" s="1"/>
  <c r="O245" i="1"/>
  <c r="R245" i="1" s="1"/>
  <c r="O244" i="1"/>
  <c r="O243" i="1"/>
  <c r="O242" i="1"/>
  <c r="R242" i="1" s="1"/>
  <c r="O241" i="1"/>
  <c r="R241" i="1" s="1"/>
  <c r="O240" i="1"/>
  <c r="O239" i="1"/>
  <c r="R239" i="1" s="1"/>
  <c r="O238" i="1"/>
  <c r="R238" i="1" s="1"/>
  <c r="O237" i="1"/>
  <c r="R237" i="1" s="1"/>
  <c r="O236" i="1"/>
  <c r="O235" i="1"/>
  <c r="R235" i="1" s="1"/>
  <c r="O234" i="1"/>
  <c r="R234" i="1" s="1"/>
  <c r="O233" i="1"/>
  <c r="R233" i="1" s="1"/>
  <c r="O232" i="1"/>
  <c r="O231" i="1"/>
  <c r="O230" i="1"/>
  <c r="R230" i="1" s="1"/>
  <c r="O229" i="1"/>
  <c r="R229" i="1" s="1"/>
  <c r="O228" i="1"/>
  <c r="O227" i="1"/>
  <c r="R227" i="1" s="1"/>
  <c r="O226" i="1"/>
  <c r="R226" i="1" s="1"/>
  <c r="O225" i="1"/>
  <c r="R225" i="1" s="1"/>
  <c r="O224" i="1"/>
  <c r="O223" i="1"/>
  <c r="R223" i="1" s="1"/>
  <c r="O222" i="1"/>
  <c r="R222" i="1" s="1"/>
  <c r="O221" i="1"/>
  <c r="R221" i="1" s="1"/>
  <c r="O220" i="1"/>
  <c r="O219" i="1"/>
  <c r="R219" i="1" s="1"/>
  <c r="O218" i="1"/>
  <c r="R218" i="1" s="1"/>
  <c r="O217" i="1"/>
  <c r="R217" i="1" s="1"/>
  <c r="O216" i="1"/>
  <c r="O215" i="1"/>
  <c r="R215" i="1" s="1"/>
  <c r="O214" i="1"/>
  <c r="R214" i="1" s="1"/>
  <c r="O213" i="1"/>
  <c r="R213" i="1" s="1"/>
  <c r="O212" i="1"/>
  <c r="R212" i="1" s="1"/>
  <c r="O211" i="1"/>
  <c r="R211" i="1" s="1"/>
  <c r="O210" i="1"/>
  <c r="R210" i="1" s="1"/>
  <c r="O209" i="1"/>
  <c r="R209" i="1" s="1"/>
  <c r="O208" i="1"/>
  <c r="R208" i="1" s="1"/>
  <c r="O207" i="1"/>
  <c r="R207" i="1" s="1"/>
  <c r="O206" i="1"/>
  <c r="R206" i="1" s="1"/>
  <c r="O205" i="1"/>
  <c r="R205" i="1" s="1"/>
  <c r="O204" i="1"/>
  <c r="R204" i="1" s="1"/>
  <c r="O203" i="1"/>
  <c r="R203" i="1" s="1"/>
  <c r="O202" i="1"/>
  <c r="R202" i="1" s="1"/>
  <c r="O201" i="1"/>
  <c r="R201" i="1" s="1"/>
  <c r="O200" i="1"/>
  <c r="R200" i="1" s="1"/>
  <c r="O199" i="1"/>
  <c r="R199" i="1" s="1"/>
  <c r="O198" i="1"/>
  <c r="R198" i="1" s="1"/>
  <c r="O197" i="1"/>
  <c r="R197" i="1" s="1"/>
  <c r="O196" i="1"/>
  <c r="R196" i="1" s="1"/>
  <c r="O195" i="1"/>
  <c r="R195" i="1" s="1"/>
  <c r="O194" i="1"/>
  <c r="R194" i="1" s="1"/>
  <c r="O193" i="1"/>
  <c r="R193" i="1" s="1"/>
  <c r="O192" i="1"/>
  <c r="R192" i="1" s="1"/>
  <c r="O191" i="1"/>
  <c r="O190" i="1"/>
  <c r="R190" i="1" s="1"/>
  <c r="O189" i="1"/>
  <c r="R189" i="1" s="1"/>
  <c r="O188" i="1"/>
  <c r="O187" i="1"/>
  <c r="R187" i="1" s="1"/>
  <c r="O186" i="1"/>
  <c r="R186" i="1" s="1"/>
  <c r="O185" i="1"/>
  <c r="R185" i="1" s="1"/>
  <c r="O184" i="1"/>
  <c r="O183" i="1"/>
  <c r="R183" i="1" s="1"/>
  <c r="O182" i="1"/>
  <c r="R182" i="1" s="1"/>
  <c r="O181" i="1"/>
  <c r="R181" i="1" s="1"/>
  <c r="O180" i="1"/>
  <c r="O179" i="1"/>
  <c r="R179" i="1" s="1"/>
  <c r="O178" i="1"/>
  <c r="R178" i="1" s="1"/>
  <c r="O177" i="1"/>
  <c r="R177" i="1" s="1"/>
  <c r="O176" i="1"/>
  <c r="O175" i="1"/>
  <c r="R175" i="1" s="1"/>
  <c r="O174" i="1"/>
  <c r="R174" i="1" s="1"/>
  <c r="O173" i="1"/>
  <c r="R173" i="1" s="1"/>
  <c r="O172" i="1"/>
  <c r="O171" i="1"/>
  <c r="R171" i="1" s="1"/>
  <c r="O170" i="1"/>
  <c r="R170" i="1" s="1"/>
  <c r="O169" i="1"/>
  <c r="R169" i="1" s="1"/>
  <c r="O168" i="1"/>
  <c r="O167" i="1"/>
  <c r="R167" i="1" s="1"/>
  <c r="O166" i="1"/>
  <c r="R166" i="1" s="1"/>
  <c r="O165" i="1"/>
  <c r="R165" i="1" s="1"/>
  <c r="O164" i="1"/>
  <c r="O163" i="1"/>
  <c r="R163" i="1" s="1"/>
  <c r="O162" i="1"/>
  <c r="R162" i="1" s="1"/>
  <c r="O161" i="1"/>
  <c r="R161" i="1" s="1"/>
  <c r="O160" i="1"/>
  <c r="O159" i="1"/>
  <c r="R159" i="1" s="1"/>
  <c r="O158" i="1"/>
  <c r="R158" i="1" s="1"/>
  <c r="O157" i="1"/>
  <c r="R157" i="1" s="1"/>
  <c r="O156" i="1"/>
  <c r="O155" i="1"/>
  <c r="R155" i="1" s="1"/>
  <c r="O154" i="1"/>
  <c r="R154" i="1" s="1"/>
  <c r="O153" i="1"/>
  <c r="R153" i="1" s="1"/>
  <c r="O152" i="1"/>
  <c r="O151" i="1"/>
  <c r="R151" i="1" s="1"/>
  <c r="O150" i="1"/>
  <c r="R150" i="1" s="1"/>
  <c r="O149" i="1"/>
  <c r="R149" i="1" s="1"/>
  <c r="O148" i="1"/>
  <c r="O147" i="1"/>
  <c r="R147" i="1" s="1"/>
  <c r="O146" i="1"/>
  <c r="R146" i="1" s="1"/>
  <c r="O145" i="1"/>
  <c r="R145" i="1" s="1"/>
  <c r="O144" i="1"/>
  <c r="O143" i="1"/>
  <c r="R143" i="1" s="1"/>
  <c r="O142" i="1"/>
  <c r="R142" i="1" s="1"/>
  <c r="O141" i="1"/>
  <c r="R141" i="1" s="1"/>
  <c r="O140" i="1"/>
  <c r="O139" i="1"/>
  <c r="R139" i="1" s="1"/>
  <c r="O138" i="1"/>
  <c r="R138" i="1" s="1"/>
  <c r="O137" i="1"/>
  <c r="R137" i="1" s="1"/>
  <c r="O136" i="1"/>
  <c r="O135" i="1"/>
  <c r="R135" i="1" s="1"/>
  <c r="O134" i="1"/>
  <c r="R134" i="1" s="1"/>
  <c r="O133" i="1"/>
  <c r="R133" i="1" s="1"/>
  <c r="O132" i="1"/>
  <c r="O131" i="1"/>
  <c r="R131" i="1" s="1"/>
  <c r="O130" i="1"/>
  <c r="R130" i="1" s="1"/>
  <c r="O129" i="1"/>
  <c r="R129" i="1" s="1"/>
  <c r="O128" i="1"/>
  <c r="O127" i="1"/>
  <c r="R127" i="1" s="1"/>
  <c r="O126" i="1"/>
  <c r="R126" i="1" s="1"/>
  <c r="O125" i="1"/>
  <c r="R125" i="1" s="1"/>
  <c r="O124" i="1"/>
  <c r="O123" i="1"/>
  <c r="R123" i="1" s="1"/>
  <c r="O122" i="1"/>
  <c r="R122" i="1" s="1"/>
  <c r="O121" i="1"/>
  <c r="R121" i="1" s="1"/>
  <c r="O120" i="1"/>
  <c r="O119" i="1"/>
  <c r="R119" i="1" s="1"/>
  <c r="O118" i="1"/>
  <c r="R118" i="1" s="1"/>
  <c r="O117" i="1"/>
  <c r="R117" i="1" s="1"/>
  <c r="O116" i="1"/>
  <c r="O113" i="1"/>
  <c r="R113" i="1" s="1"/>
  <c r="O112" i="1"/>
  <c r="R112" i="1" s="1"/>
  <c r="O110" i="1"/>
  <c r="R110" i="1" s="1"/>
  <c r="O109" i="1"/>
  <c r="O108" i="1"/>
  <c r="R108" i="1" s="1"/>
  <c r="O107" i="1"/>
  <c r="R107" i="1" s="1"/>
  <c r="O105" i="1"/>
  <c r="R105" i="1" s="1"/>
  <c r="O104" i="1"/>
  <c r="O103" i="1"/>
  <c r="R103" i="1" s="1"/>
  <c r="O102" i="1"/>
  <c r="R102" i="1" s="1"/>
  <c r="O101" i="1"/>
  <c r="R101" i="1" s="1"/>
  <c r="O100" i="1"/>
  <c r="O99" i="1"/>
  <c r="R99" i="1" s="1"/>
  <c r="O98" i="1"/>
  <c r="R98" i="1" s="1"/>
  <c r="O97" i="1"/>
  <c r="R97" i="1" s="1"/>
  <c r="O96" i="1"/>
  <c r="O95" i="1"/>
  <c r="R95" i="1" s="1"/>
  <c r="O94" i="1"/>
  <c r="R94" i="1" s="1"/>
  <c r="O93" i="1"/>
  <c r="R93" i="1" s="1"/>
  <c r="O92" i="1"/>
  <c r="O91" i="1"/>
  <c r="R91" i="1" s="1"/>
  <c r="O89" i="1"/>
  <c r="R89" i="1" s="1"/>
  <c r="O87" i="1"/>
  <c r="R87" i="1" s="1"/>
  <c r="O86" i="1"/>
  <c r="O85" i="1"/>
  <c r="R85" i="1" s="1"/>
  <c r="O84" i="1"/>
  <c r="R84" i="1" s="1"/>
  <c r="O83" i="1"/>
  <c r="R83" i="1" s="1"/>
  <c r="O82" i="1"/>
  <c r="O81" i="1"/>
  <c r="R81" i="1" s="1"/>
  <c r="O80" i="1"/>
  <c r="R80" i="1" s="1"/>
  <c r="O79" i="1"/>
  <c r="R79" i="1" s="1"/>
  <c r="O78" i="1"/>
  <c r="O77" i="1"/>
  <c r="R77" i="1" s="1"/>
  <c r="O76" i="1"/>
  <c r="R76" i="1" s="1"/>
  <c r="O75" i="1"/>
  <c r="R75" i="1" s="1"/>
  <c r="O74" i="1"/>
  <c r="O73" i="1"/>
  <c r="R73" i="1" s="1"/>
  <c r="O72" i="1"/>
  <c r="R72" i="1" s="1"/>
  <c r="O71" i="1"/>
  <c r="R71" i="1" s="1"/>
  <c r="O70" i="1"/>
  <c r="O69" i="1"/>
  <c r="R69" i="1" s="1"/>
  <c r="O68" i="1"/>
  <c r="R68" i="1" s="1"/>
  <c r="O67" i="1"/>
  <c r="R67" i="1" s="1"/>
  <c r="O66" i="1"/>
  <c r="O65" i="1"/>
  <c r="R65" i="1" s="1"/>
  <c r="O64" i="1"/>
  <c r="R64" i="1" s="1"/>
  <c r="O63" i="1"/>
  <c r="R63" i="1" s="1"/>
  <c r="O62" i="1"/>
  <c r="O61" i="1"/>
  <c r="R61" i="1" s="1"/>
  <c r="O60" i="1"/>
  <c r="R60" i="1" s="1"/>
  <c r="O59" i="1"/>
  <c r="R59" i="1" s="1"/>
  <c r="O58" i="1"/>
  <c r="O57" i="1"/>
  <c r="R57" i="1" s="1"/>
  <c r="O56" i="1"/>
  <c r="R56" i="1" s="1"/>
  <c r="O55" i="1"/>
  <c r="R55" i="1" s="1"/>
  <c r="O54" i="1"/>
  <c r="O53" i="1"/>
  <c r="R53" i="1" s="1"/>
  <c r="O52" i="1"/>
  <c r="R52" i="1" s="1"/>
  <c r="O51" i="1"/>
  <c r="R51" i="1" s="1"/>
  <c r="O50" i="1"/>
  <c r="O49" i="1"/>
  <c r="R49" i="1" s="1"/>
  <c r="O48" i="1"/>
  <c r="R48" i="1" s="1"/>
  <c r="O47" i="1"/>
  <c r="R47" i="1" s="1"/>
  <c r="O46" i="1"/>
  <c r="O45" i="1"/>
  <c r="R45" i="1" s="1"/>
  <c r="O44" i="1"/>
  <c r="R44" i="1" s="1"/>
  <c r="O43" i="1"/>
  <c r="R43" i="1" s="1"/>
  <c r="O42" i="1"/>
  <c r="O41" i="1"/>
  <c r="R41" i="1" s="1"/>
  <c r="O40" i="1"/>
  <c r="R40" i="1" s="1"/>
  <c r="O39" i="1"/>
  <c r="R39" i="1" s="1"/>
  <c r="O38" i="1"/>
  <c r="O37" i="1"/>
  <c r="R37" i="1" s="1"/>
  <c r="O36" i="1"/>
  <c r="R36" i="1" s="1"/>
  <c r="O35" i="1"/>
  <c r="R35" i="1" s="1"/>
  <c r="O34" i="1"/>
  <c r="O33" i="1"/>
  <c r="R33" i="1" s="1"/>
  <c r="O32" i="1"/>
  <c r="R32" i="1" s="1"/>
  <c r="O31" i="1"/>
  <c r="R31" i="1" s="1"/>
  <c r="O30" i="1"/>
  <c r="O29" i="1"/>
  <c r="R29" i="1" s="1"/>
  <c r="O28" i="1"/>
  <c r="R28" i="1" s="1"/>
  <c r="O27" i="1"/>
  <c r="R27" i="1" s="1"/>
  <c r="O26" i="1"/>
  <c r="O25" i="1"/>
  <c r="R25" i="1" s="1"/>
  <c r="O24" i="1"/>
  <c r="R24" i="1" s="1"/>
  <c r="O23" i="1"/>
  <c r="R23" i="1" s="1"/>
  <c r="O22" i="1"/>
  <c r="O21" i="1"/>
  <c r="R21" i="1" s="1"/>
  <c r="O20" i="1"/>
  <c r="R20" i="1" s="1"/>
  <c r="O19" i="1"/>
  <c r="R19" i="1" s="1"/>
  <c r="O17" i="1"/>
  <c r="O16" i="1"/>
  <c r="R16" i="1" s="1"/>
  <c r="O15" i="1"/>
  <c r="R15" i="1" s="1"/>
  <c r="O14" i="1"/>
  <c r="R14" i="1" s="1"/>
  <c r="O13" i="1"/>
  <c r="O12" i="1"/>
  <c r="R12" i="1" s="1"/>
  <c r="O11" i="1"/>
  <c r="R11" i="1" s="1"/>
  <c r="O9" i="1"/>
  <c r="R9" i="1" s="1"/>
  <c r="O8" i="1"/>
  <c r="O7" i="1"/>
  <c r="R7" i="1" s="1"/>
  <c r="O6" i="1"/>
  <c r="R6" i="1" s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R191" i="1"/>
  <c r="S190" i="1"/>
  <c r="R188" i="1"/>
  <c r="R184" i="1"/>
  <c r="R180" i="1"/>
  <c r="R176" i="1"/>
  <c r="R172" i="1"/>
  <c r="R168" i="1"/>
  <c r="R164" i="1"/>
  <c r="R160" i="1"/>
  <c r="R156" i="1"/>
  <c r="R152" i="1"/>
  <c r="R148" i="1"/>
  <c r="R144" i="1"/>
  <c r="R140" i="1"/>
  <c r="R136" i="1"/>
  <c r="R132" i="1"/>
  <c r="R128" i="1"/>
  <c r="R124" i="1"/>
  <c r="R120" i="1"/>
  <c r="R116" i="1"/>
  <c r="R109" i="1"/>
  <c r="R104" i="1"/>
  <c r="R100" i="1"/>
  <c r="R96" i="1"/>
  <c r="R92" i="1"/>
  <c r="R86" i="1"/>
  <c r="R82" i="1"/>
  <c r="R78" i="1"/>
  <c r="R74" i="1"/>
  <c r="R70" i="1"/>
  <c r="R66" i="1"/>
  <c r="R62" i="1"/>
  <c r="R58" i="1"/>
  <c r="R54" i="1"/>
  <c r="R50" i="1"/>
  <c r="R46" i="1"/>
  <c r="R42" i="1"/>
  <c r="R38" i="1"/>
  <c r="R34" i="1"/>
  <c r="R30" i="1"/>
  <c r="R26" i="1"/>
  <c r="R22" i="1"/>
  <c r="R17" i="1"/>
  <c r="R13" i="1"/>
  <c r="R8" i="1"/>
  <c r="R307" i="1"/>
  <c r="R303" i="1"/>
  <c r="R299" i="1"/>
  <c r="R295" i="1"/>
  <c r="R291" i="1"/>
  <c r="R287" i="1"/>
  <c r="R282" i="1"/>
  <c r="R278" i="1"/>
  <c r="R274" i="1"/>
  <c r="R270" i="1"/>
  <c r="R266" i="1"/>
  <c r="R262" i="1"/>
  <c r="R258" i="1"/>
  <c r="R253" i="1"/>
  <c r="R248" i="1"/>
  <c r="R244" i="1"/>
  <c r="R243" i="1"/>
  <c r="R240" i="1"/>
  <c r="R236" i="1"/>
  <c r="R232" i="1"/>
  <c r="R231" i="1"/>
  <c r="R228" i="1"/>
  <c r="R224" i="1"/>
  <c r="R220" i="1"/>
  <c r="R216" i="1"/>
  <c r="P189" i="1"/>
  <c r="S189" i="1" s="1"/>
  <c r="P188" i="1"/>
  <c r="S188" i="1" s="1"/>
  <c r="P187" i="1"/>
  <c r="S187" i="1" s="1"/>
  <c r="P186" i="1"/>
  <c r="S186" i="1" s="1"/>
  <c r="P185" i="1"/>
  <c r="S185" i="1" s="1"/>
  <c r="P184" i="1"/>
  <c r="S184" i="1" s="1"/>
  <c r="P183" i="1"/>
  <c r="S183" i="1" s="1"/>
  <c r="P182" i="1"/>
  <c r="S182" i="1" s="1"/>
  <c r="P181" i="1"/>
  <c r="S181" i="1" s="1"/>
  <c r="P180" i="1"/>
  <c r="S180" i="1" s="1"/>
  <c r="P179" i="1"/>
  <c r="S179" i="1" s="1"/>
  <c r="P178" i="1"/>
  <c r="S178" i="1" s="1"/>
  <c r="P177" i="1"/>
  <c r="S177" i="1" s="1"/>
  <c r="P176" i="1"/>
  <c r="S176" i="1" s="1"/>
  <c r="P175" i="1"/>
  <c r="S175" i="1" s="1"/>
  <c r="P174" i="1"/>
  <c r="S174" i="1" s="1"/>
  <c r="P173" i="1"/>
  <c r="S173" i="1" s="1"/>
  <c r="P172" i="1"/>
  <c r="S172" i="1" s="1"/>
  <c r="P171" i="1"/>
  <c r="S171" i="1" s="1"/>
  <c r="P170" i="1"/>
  <c r="S170" i="1" s="1"/>
  <c r="P169" i="1"/>
  <c r="S169" i="1" s="1"/>
  <c r="P168" i="1"/>
  <c r="S168" i="1" s="1"/>
  <c r="P167" i="1"/>
  <c r="S167" i="1" s="1"/>
  <c r="P166" i="1"/>
  <c r="S166" i="1" s="1"/>
  <c r="P165" i="1"/>
  <c r="S165" i="1" s="1"/>
  <c r="P164" i="1"/>
  <c r="S164" i="1" s="1"/>
  <c r="P163" i="1"/>
  <c r="S163" i="1" s="1"/>
  <c r="P162" i="1"/>
  <c r="S162" i="1" s="1"/>
  <c r="P161" i="1"/>
  <c r="S161" i="1" s="1"/>
  <c r="P160" i="1"/>
  <c r="S160" i="1" s="1"/>
  <c r="P159" i="1"/>
  <c r="S159" i="1" s="1"/>
  <c r="P158" i="1"/>
  <c r="S158" i="1" s="1"/>
  <c r="P157" i="1"/>
  <c r="S157" i="1" s="1"/>
  <c r="P156" i="1"/>
  <c r="S156" i="1" s="1"/>
  <c r="P155" i="1"/>
  <c r="S155" i="1" s="1"/>
  <c r="P154" i="1"/>
  <c r="S154" i="1" s="1"/>
  <c r="P153" i="1"/>
  <c r="S153" i="1" s="1"/>
  <c r="P152" i="1"/>
  <c r="S152" i="1" s="1"/>
  <c r="P151" i="1"/>
  <c r="S151" i="1" s="1"/>
  <c r="P150" i="1"/>
  <c r="S150" i="1" s="1"/>
  <c r="P149" i="1"/>
  <c r="S149" i="1" s="1"/>
  <c r="P148" i="1"/>
  <c r="S148" i="1" s="1"/>
  <c r="P147" i="1"/>
  <c r="S147" i="1" s="1"/>
  <c r="P146" i="1"/>
  <c r="S146" i="1" s="1"/>
  <c r="P145" i="1"/>
  <c r="S145" i="1" s="1"/>
  <c r="P144" i="1"/>
  <c r="S144" i="1" s="1"/>
  <c r="P143" i="1"/>
  <c r="S143" i="1" s="1"/>
  <c r="P142" i="1"/>
  <c r="S142" i="1" s="1"/>
  <c r="P141" i="1"/>
  <c r="S141" i="1" s="1"/>
  <c r="P140" i="1"/>
  <c r="S140" i="1" s="1"/>
  <c r="P139" i="1"/>
  <c r="S139" i="1" s="1"/>
  <c r="P138" i="1"/>
  <c r="S138" i="1" s="1"/>
  <c r="P137" i="1"/>
  <c r="S137" i="1" s="1"/>
  <c r="P136" i="1"/>
  <c r="S136" i="1" s="1"/>
  <c r="P135" i="1"/>
  <c r="S135" i="1" s="1"/>
  <c r="P134" i="1"/>
  <c r="S134" i="1" s="1"/>
  <c r="P133" i="1"/>
  <c r="S133" i="1" s="1"/>
  <c r="P132" i="1"/>
  <c r="S132" i="1" s="1"/>
  <c r="P131" i="1"/>
  <c r="S131" i="1" s="1"/>
  <c r="P130" i="1"/>
  <c r="S130" i="1" s="1"/>
  <c r="P129" i="1"/>
  <c r="S129" i="1" s="1"/>
  <c r="P128" i="1"/>
  <c r="S128" i="1" s="1"/>
  <c r="P127" i="1"/>
  <c r="S127" i="1" s="1"/>
  <c r="P126" i="1"/>
  <c r="S126" i="1" s="1"/>
  <c r="P125" i="1"/>
  <c r="S125" i="1" s="1"/>
  <c r="P124" i="1"/>
  <c r="S124" i="1" s="1"/>
  <c r="P123" i="1"/>
  <c r="S123" i="1" s="1"/>
  <c r="P122" i="1"/>
  <c r="S122" i="1" s="1"/>
  <c r="P121" i="1"/>
  <c r="S121" i="1" s="1"/>
  <c r="P120" i="1"/>
  <c r="S120" i="1" s="1"/>
  <c r="P119" i="1"/>
  <c r="S119" i="1" s="1"/>
  <c r="P118" i="1"/>
  <c r="S118" i="1" s="1"/>
  <c r="P117" i="1"/>
  <c r="S117" i="1" s="1"/>
  <c r="P116" i="1"/>
  <c r="S116" i="1" s="1"/>
  <c r="P113" i="1"/>
  <c r="S113" i="1" s="1"/>
  <c r="P112" i="1"/>
  <c r="S112" i="1" s="1"/>
  <c r="P110" i="1"/>
  <c r="S110" i="1" s="1"/>
  <c r="P109" i="1"/>
  <c r="S109" i="1" s="1"/>
  <c r="P108" i="1"/>
  <c r="S108" i="1" s="1"/>
  <c r="P107" i="1"/>
  <c r="S107" i="1" s="1"/>
  <c r="P105" i="1"/>
  <c r="S105" i="1" s="1"/>
  <c r="P104" i="1"/>
  <c r="S104" i="1" s="1"/>
  <c r="P103" i="1"/>
  <c r="S103" i="1" s="1"/>
  <c r="P102" i="1"/>
  <c r="S102" i="1" s="1"/>
  <c r="P101" i="1"/>
  <c r="S101" i="1" s="1"/>
  <c r="P100" i="1"/>
  <c r="S100" i="1" s="1"/>
  <c r="P99" i="1"/>
  <c r="S99" i="1" s="1"/>
  <c r="P98" i="1"/>
  <c r="S98" i="1" s="1"/>
  <c r="P97" i="1"/>
  <c r="S97" i="1" s="1"/>
  <c r="P96" i="1"/>
  <c r="S96" i="1" s="1"/>
  <c r="P95" i="1"/>
  <c r="S95" i="1" s="1"/>
  <c r="P94" i="1"/>
  <c r="S94" i="1" s="1"/>
  <c r="P93" i="1"/>
  <c r="S93" i="1" s="1"/>
  <c r="P92" i="1"/>
  <c r="S92" i="1" s="1"/>
  <c r="P91" i="1"/>
  <c r="S91" i="1" s="1"/>
  <c r="P89" i="1"/>
  <c r="S89" i="1" s="1"/>
  <c r="P87" i="1"/>
  <c r="S87" i="1" s="1"/>
  <c r="P86" i="1"/>
  <c r="S86" i="1" s="1"/>
  <c r="P85" i="1"/>
  <c r="S85" i="1" s="1"/>
  <c r="P84" i="1"/>
  <c r="S84" i="1" s="1"/>
  <c r="P83" i="1"/>
  <c r="S83" i="1" s="1"/>
  <c r="P82" i="1"/>
  <c r="S82" i="1" s="1"/>
  <c r="P81" i="1"/>
  <c r="S81" i="1" s="1"/>
  <c r="P80" i="1"/>
  <c r="S80" i="1" s="1"/>
  <c r="P79" i="1"/>
  <c r="S79" i="1" s="1"/>
  <c r="P78" i="1"/>
  <c r="S78" i="1" s="1"/>
  <c r="P77" i="1"/>
  <c r="S77" i="1" s="1"/>
  <c r="P76" i="1"/>
  <c r="S76" i="1" s="1"/>
  <c r="P75" i="1"/>
  <c r="S75" i="1" s="1"/>
  <c r="P74" i="1"/>
  <c r="S74" i="1" s="1"/>
  <c r="P73" i="1"/>
  <c r="S73" i="1" s="1"/>
  <c r="P72" i="1"/>
  <c r="S72" i="1" s="1"/>
  <c r="P71" i="1"/>
  <c r="S71" i="1" s="1"/>
  <c r="P70" i="1"/>
  <c r="S70" i="1" s="1"/>
  <c r="P69" i="1"/>
  <c r="S69" i="1" s="1"/>
  <c r="P68" i="1"/>
  <c r="S68" i="1" s="1"/>
  <c r="P67" i="1"/>
  <c r="S67" i="1" s="1"/>
  <c r="P66" i="1"/>
  <c r="S66" i="1" s="1"/>
  <c r="P65" i="1"/>
  <c r="S65" i="1" s="1"/>
  <c r="P64" i="1"/>
  <c r="S64" i="1" s="1"/>
  <c r="P63" i="1"/>
  <c r="S63" i="1" s="1"/>
  <c r="P62" i="1"/>
  <c r="S62" i="1" s="1"/>
  <c r="P61" i="1"/>
  <c r="S61" i="1" s="1"/>
  <c r="P60" i="1"/>
  <c r="S60" i="1" s="1"/>
  <c r="P59" i="1"/>
  <c r="S59" i="1" s="1"/>
  <c r="P58" i="1"/>
  <c r="S58" i="1" s="1"/>
  <c r="P57" i="1"/>
  <c r="S57" i="1" s="1"/>
  <c r="P56" i="1"/>
  <c r="S56" i="1" s="1"/>
  <c r="P55" i="1"/>
  <c r="S55" i="1" s="1"/>
  <c r="P54" i="1"/>
  <c r="S54" i="1" s="1"/>
  <c r="P53" i="1"/>
  <c r="S53" i="1" s="1"/>
  <c r="P52" i="1"/>
  <c r="S52" i="1" s="1"/>
  <c r="P51" i="1"/>
  <c r="S51" i="1" s="1"/>
  <c r="P50" i="1"/>
  <c r="S50" i="1" s="1"/>
  <c r="P49" i="1"/>
  <c r="S49" i="1" s="1"/>
  <c r="P48" i="1"/>
  <c r="S48" i="1" s="1"/>
  <c r="P47" i="1"/>
  <c r="S47" i="1" s="1"/>
  <c r="P46" i="1"/>
  <c r="S46" i="1" s="1"/>
  <c r="P45" i="1"/>
  <c r="S45" i="1" s="1"/>
  <c r="P44" i="1"/>
  <c r="S44" i="1" s="1"/>
  <c r="P43" i="1"/>
  <c r="S43" i="1" s="1"/>
  <c r="P42" i="1"/>
  <c r="S42" i="1" s="1"/>
  <c r="P41" i="1"/>
  <c r="S41" i="1" s="1"/>
  <c r="P40" i="1"/>
  <c r="S40" i="1" s="1"/>
  <c r="P39" i="1"/>
  <c r="S39" i="1" s="1"/>
  <c r="P38" i="1"/>
  <c r="S38" i="1" s="1"/>
  <c r="P37" i="1"/>
  <c r="S37" i="1" s="1"/>
  <c r="P36" i="1"/>
  <c r="S36" i="1" s="1"/>
  <c r="P35" i="1"/>
  <c r="S35" i="1" s="1"/>
  <c r="P34" i="1"/>
  <c r="S34" i="1" s="1"/>
  <c r="P33" i="1"/>
  <c r="S33" i="1" s="1"/>
  <c r="P32" i="1"/>
  <c r="S32" i="1" s="1"/>
  <c r="P31" i="1"/>
  <c r="S31" i="1" s="1"/>
  <c r="P30" i="1"/>
  <c r="S30" i="1" s="1"/>
  <c r="P29" i="1"/>
  <c r="S29" i="1" s="1"/>
  <c r="P28" i="1"/>
  <c r="S28" i="1" s="1"/>
  <c r="P27" i="1"/>
  <c r="S27" i="1" s="1"/>
  <c r="P26" i="1"/>
  <c r="S26" i="1" s="1"/>
  <c r="P25" i="1"/>
  <c r="S25" i="1" s="1"/>
  <c r="P24" i="1"/>
  <c r="S24" i="1" s="1"/>
  <c r="P23" i="1"/>
  <c r="S23" i="1" s="1"/>
  <c r="P22" i="1"/>
  <c r="S22" i="1" s="1"/>
  <c r="P21" i="1"/>
  <c r="S21" i="1" s="1"/>
  <c r="P20" i="1"/>
  <c r="S20" i="1" s="1"/>
  <c r="P19" i="1"/>
  <c r="S19" i="1" s="1"/>
  <c r="P17" i="1"/>
  <c r="S17" i="1" s="1"/>
  <c r="P16" i="1"/>
  <c r="S16" i="1" s="1"/>
  <c r="P15" i="1"/>
  <c r="S15" i="1" s="1"/>
  <c r="P14" i="1"/>
  <c r="S14" i="1" s="1"/>
  <c r="P13" i="1"/>
  <c r="S13" i="1" s="1"/>
  <c r="P12" i="1"/>
  <c r="S12" i="1" s="1"/>
  <c r="P11" i="1"/>
  <c r="S11" i="1" s="1"/>
  <c r="P9" i="1"/>
  <c r="S9" i="1" s="1"/>
  <c r="P8" i="1"/>
  <c r="S8" i="1" s="1"/>
  <c r="P7" i="1"/>
  <c r="S7" i="1" s="1"/>
  <c r="P310" i="1"/>
  <c r="S310" i="1" s="1"/>
  <c r="P309" i="1"/>
  <c r="S309" i="1" s="1"/>
  <c r="P308" i="1"/>
  <c r="S308" i="1" s="1"/>
  <c r="P307" i="1"/>
  <c r="S307" i="1" s="1"/>
  <c r="P306" i="1"/>
  <c r="S306" i="1" s="1"/>
  <c r="P305" i="1"/>
  <c r="S305" i="1" s="1"/>
  <c r="P304" i="1"/>
  <c r="S304" i="1" s="1"/>
  <c r="P303" i="1"/>
  <c r="S303" i="1" s="1"/>
  <c r="P302" i="1"/>
  <c r="S302" i="1" s="1"/>
  <c r="P301" i="1"/>
  <c r="S301" i="1" s="1"/>
  <c r="P300" i="1"/>
  <c r="S300" i="1" s="1"/>
  <c r="P299" i="1"/>
  <c r="S299" i="1" s="1"/>
  <c r="P298" i="1"/>
  <c r="S298" i="1" s="1"/>
  <c r="P297" i="1"/>
  <c r="S297" i="1" s="1"/>
  <c r="P296" i="1"/>
  <c r="S296" i="1" s="1"/>
  <c r="P295" i="1"/>
  <c r="S295" i="1" s="1"/>
  <c r="P294" i="1"/>
  <c r="S294" i="1" s="1"/>
  <c r="P293" i="1"/>
  <c r="S293" i="1" s="1"/>
  <c r="P292" i="1"/>
  <c r="S292" i="1" s="1"/>
  <c r="P291" i="1"/>
  <c r="S291" i="1" s="1"/>
  <c r="P290" i="1"/>
  <c r="S290" i="1" s="1"/>
  <c r="P289" i="1"/>
  <c r="S289" i="1" s="1"/>
  <c r="P288" i="1"/>
  <c r="S288" i="1" s="1"/>
  <c r="P287" i="1"/>
  <c r="S287" i="1" s="1"/>
  <c r="P286" i="1"/>
  <c r="S286" i="1" s="1"/>
  <c r="P284" i="1"/>
  <c r="S284" i="1" s="1"/>
  <c r="P283" i="1"/>
  <c r="S283" i="1" s="1"/>
  <c r="P282" i="1"/>
  <c r="S282" i="1" s="1"/>
  <c r="P281" i="1"/>
  <c r="S281" i="1" s="1"/>
  <c r="P280" i="1"/>
  <c r="S280" i="1" s="1"/>
  <c r="P279" i="1"/>
  <c r="S279" i="1" s="1"/>
  <c r="P278" i="1"/>
  <c r="S278" i="1" s="1"/>
  <c r="P277" i="1"/>
  <c r="S277" i="1" s="1"/>
  <c r="P276" i="1"/>
  <c r="S276" i="1" s="1"/>
  <c r="P275" i="1"/>
  <c r="S275" i="1" s="1"/>
  <c r="P274" i="1"/>
  <c r="S274" i="1" s="1"/>
  <c r="P273" i="1"/>
  <c r="S273" i="1" s="1"/>
  <c r="P272" i="1"/>
  <c r="S272" i="1" s="1"/>
  <c r="P271" i="1"/>
  <c r="S271" i="1" s="1"/>
  <c r="P270" i="1"/>
  <c r="S270" i="1" s="1"/>
  <c r="P269" i="1"/>
  <c r="S269" i="1" s="1"/>
  <c r="P268" i="1"/>
  <c r="S268" i="1" s="1"/>
  <c r="P267" i="1"/>
  <c r="S267" i="1" s="1"/>
  <c r="P266" i="1"/>
  <c r="S266" i="1" s="1"/>
  <c r="P265" i="1"/>
  <c r="S265" i="1" s="1"/>
  <c r="P264" i="1"/>
  <c r="S264" i="1" s="1"/>
  <c r="P263" i="1"/>
  <c r="S263" i="1" s="1"/>
  <c r="P262" i="1"/>
  <c r="S262" i="1" s="1"/>
  <c r="P261" i="1"/>
  <c r="S261" i="1" s="1"/>
  <c r="P260" i="1"/>
  <c r="S260" i="1" s="1"/>
  <c r="P259" i="1"/>
  <c r="S259" i="1" s="1"/>
  <c r="P258" i="1"/>
  <c r="S258" i="1" s="1"/>
  <c r="P257" i="1"/>
  <c r="S257" i="1" s="1"/>
  <c r="P256" i="1"/>
  <c r="S256" i="1" s="1"/>
  <c r="P254" i="1"/>
  <c r="S254" i="1" s="1"/>
  <c r="P253" i="1"/>
  <c r="S253" i="1" s="1"/>
  <c r="P252" i="1"/>
  <c r="S252" i="1" s="1"/>
  <c r="P251" i="1"/>
  <c r="S251" i="1" s="1"/>
  <c r="P249" i="1"/>
  <c r="S249" i="1" s="1"/>
  <c r="P248" i="1"/>
  <c r="S248" i="1" s="1"/>
  <c r="P247" i="1"/>
  <c r="S247" i="1" s="1"/>
  <c r="P246" i="1"/>
  <c r="S246" i="1" s="1"/>
  <c r="P245" i="1"/>
  <c r="S245" i="1" s="1"/>
  <c r="P244" i="1"/>
  <c r="S244" i="1" s="1"/>
  <c r="P243" i="1"/>
  <c r="S243" i="1" s="1"/>
  <c r="P242" i="1"/>
  <c r="S242" i="1" s="1"/>
  <c r="P241" i="1"/>
  <c r="S241" i="1" s="1"/>
  <c r="P240" i="1"/>
  <c r="S240" i="1" s="1"/>
  <c r="P239" i="1"/>
  <c r="S239" i="1" s="1"/>
  <c r="P238" i="1"/>
  <c r="S238" i="1" s="1"/>
  <c r="P237" i="1"/>
  <c r="S237" i="1" s="1"/>
  <c r="P236" i="1"/>
  <c r="S236" i="1" s="1"/>
  <c r="P235" i="1"/>
  <c r="S235" i="1" s="1"/>
  <c r="P234" i="1"/>
  <c r="S234" i="1" s="1"/>
  <c r="P233" i="1"/>
  <c r="S233" i="1" s="1"/>
  <c r="P232" i="1"/>
  <c r="S232" i="1" s="1"/>
  <c r="P231" i="1"/>
  <c r="S231" i="1" s="1"/>
  <c r="P230" i="1"/>
  <c r="S230" i="1" s="1"/>
  <c r="P229" i="1"/>
  <c r="S229" i="1" s="1"/>
  <c r="P228" i="1"/>
  <c r="S228" i="1" s="1"/>
  <c r="P227" i="1"/>
  <c r="S227" i="1" s="1"/>
  <c r="P226" i="1"/>
  <c r="S226" i="1" s="1"/>
  <c r="P225" i="1"/>
  <c r="S225" i="1" s="1"/>
  <c r="P224" i="1"/>
  <c r="S224" i="1" s="1"/>
  <c r="P223" i="1"/>
  <c r="S223" i="1" s="1"/>
  <c r="P222" i="1"/>
  <c r="S222" i="1" s="1"/>
  <c r="P221" i="1"/>
  <c r="S221" i="1" s="1"/>
  <c r="P220" i="1"/>
  <c r="S220" i="1" s="1"/>
  <c r="P219" i="1"/>
  <c r="S219" i="1" s="1"/>
  <c r="P218" i="1"/>
  <c r="S218" i="1" s="1"/>
  <c r="P217" i="1"/>
  <c r="S217" i="1" s="1"/>
  <c r="P216" i="1"/>
  <c r="S216" i="1" s="1"/>
  <c r="P215" i="1"/>
  <c r="S215" i="1" s="1"/>
  <c r="P6" i="1"/>
  <c r="S6" i="1" s="1"/>
  <c r="O310" i="1"/>
  <c r="R310" i="1" s="1"/>
  <c r="T106" i="1" l="1"/>
  <c r="T310" i="1"/>
  <c r="T169" i="1"/>
  <c r="S312" i="1"/>
  <c r="T190" i="1"/>
  <c r="T192" i="1"/>
  <c r="T194" i="1"/>
  <c r="T196" i="1"/>
  <c r="T198" i="1"/>
  <c r="T200" i="1"/>
  <c r="T202" i="1"/>
  <c r="T204" i="1"/>
  <c r="T206" i="1"/>
  <c r="T208" i="1"/>
  <c r="T210" i="1"/>
  <c r="T212" i="1"/>
  <c r="T214" i="1"/>
  <c r="R312" i="1"/>
  <c r="T18" i="1"/>
  <c r="T285" i="1"/>
  <c r="P312" i="1"/>
  <c r="T191" i="1"/>
  <c r="T193" i="1"/>
  <c r="T195" i="1"/>
  <c r="T197" i="1"/>
  <c r="T199" i="1"/>
  <c r="T201" i="1"/>
  <c r="T203" i="1"/>
  <c r="T205" i="1"/>
  <c r="T207" i="1"/>
  <c r="T209" i="1"/>
  <c r="T211" i="1"/>
  <c r="T213" i="1"/>
  <c r="O312" i="1"/>
  <c r="T311" i="1"/>
  <c r="T255" i="1"/>
  <c r="T250" i="1"/>
  <c r="T115" i="1"/>
  <c r="T114" i="1"/>
  <c r="T111" i="1"/>
  <c r="T90" i="1"/>
  <c r="T88" i="1"/>
  <c r="T10" i="1"/>
  <c r="T5" i="1"/>
  <c r="T7" i="1"/>
  <c r="T9" i="1"/>
  <c r="T12" i="1"/>
  <c r="T14" i="1"/>
  <c r="T16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T45" i="1"/>
  <c r="T47" i="1"/>
  <c r="T49" i="1"/>
  <c r="T51" i="1"/>
  <c r="T53" i="1"/>
  <c r="T55" i="1"/>
  <c r="T57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85" i="1"/>
  <c r="T87" i="1"/>
  <c r="T91" i="1"/>
  <c r="T93" i="1"/>
  <c r="T95" i="1"/>
  <c r="T97" i="1"/>
  <c r="T99" i="1"/>
  <c r="T101" i="1"/>
  <c r="T103" i="1"/>
  <c r="T105" i="1"/>
  <c r="T108" i="1"/>
  <c r="T110" i="1"/>
  <c r="T113" i="1"/>
  <c r="T117" i="1"/>
  <c r="T119" i="1"/>
  <c r="T121" i="1"/>
  <c r="T123" i="1"/>
  <c r="T125" i="1"/>
  <c r="T127" i="1"/>
  <c r="T129" i="1"/>
  <c r="T131" i="1"/>
  <c r="T133" i="1"/>
  <c r="T135" i="1"/>
  <c r="T137" i="1"/>
  <c r="T6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1" i="1"/>
  <c r="T252" i="1"/>
  <c r="T253" i="1"/>
  <c r="T254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6" i="1"/>
  <c r="T288" i="1"/>
  <c r="T290" i="1"/>
  <c r="T292" i="1"/>
  <c r="T294" i="1"/>
  <c r="T296" i="1"/>
  <c r="T298" i="1"/>
  <c r="T300" i="1"/>
  <c r="T302" i="1"/>
  <c r="T304" i="1"/>
  <c r="T306" i="1"/>
  <c r="T308" i="1"/>
  <c r="T8" i="1"/>
  <c r="T11" i="1"/>
  <c r="T13" i="1"/>
  <c r="T15" i="1"/>
  <c r="T17" i="1"/>
  <c r="T284" i="1"/>
  <c r="T287" i="1"/>
  <c r="T289" i="1"/>
  <c r="T291" i="1"/>
  <c r="T293" i="1"/>
  <c r="T295" i="1"/>
  <c r="T297" i="1"/>
  <c r="T299" i="1"/>
  <c r="T301" i="1"/>
  <c r="T303" i="1"/>
  <c r="T305" i="1"/>
  <c r="T307" i="1"/>
  <c r="T309" i="1"/>
  <c r="T138" i="1"/>
  <c r="T140" i="1"/>
  <c r="T142" i="1"/>
  <c r="T144" i="1"/>
  <c r="T146" i="1"/>
  <c r="T148" i="1"/>
  <c r="T150" i="1"/>
  <c r="T152" i="1"/>
  <c r="T154" i="1"/>
  <c r="T156" i="1"/>
  <c r="T158" i="1"/>
  <c r="T160" i="1"/>
  <c r="T162" i="1"/>
  <c r="T164" i="1"/>
  <c r="T166" i="1"/>
  <c r="T168" i="1"/>
  <c r="T170" i="1"/>
  <c r="T172" i="1"/>
  <c r="T174" i="1"/>
  <c r="T176" i="1"/>
  <c r="T178" i="1"/>
  <c r="T20" i="1"/>
  <c r="T22" i="1"/>
  <c r="T24" i="1"/>
  <c r="T26" i="1"/>
  <c r="T28" i="1"/>
  <c r="T30" i="1"/>
  <c r="T32" i="1"/>
  <c r="T34" i="1"/>
  <c r="T36" i="1"/>
  <c r="T38" i="1"/>
  <c r="T40" i="1"/>
  <c r="T42" i="1"/>
  <c r="T44" i="1"/>
  <c r="T46" i="1"/>
  <c r="T48" i="1"/>
  <c r="T50" i="1"/>
  <c r="T52" i="1"/>
  <c r="T54" i="1"/>
  <c r="T56" i="1"/>
  <c r="T58" i="1"/>
  <c r="T60" i="1"/>
  <c r="T62" i="1"/>
  <c r="T64" i="1"/>
  <c r="T66" i="1"/>
  <c r="T68" i="1"/>
  <c r="T70" i="1"/>
  <c r="T72" i="1"/>
  <c r="T74" i="1"/>
  <c r="T76" i="1"/>
  <c r="T78" i="1"/>
  <c r="T80" i="1"/>
  <c r="T82" i="1"/>
  <c r="T84" i="1"/>
  <c r="T86" i="1"/>
  <c r="T89" i="1"/>
  <c r="T92" i="1"/>
  <c r="T94" i="1"/>
  <c r="T96" i="1"/>
  <c r="T98" i="1"/>
  <c r="T100" i="1"/>
  <c r="T102" i="1"/>
  <c r="T104" i="1"/>
  <c r="T107" i="1"/>
  <c r="T109" i="1"/>
  <c r="T112" i="1"/>
  <c r="T116" i="1"/>
  <c r="T118" i="1"/>
  <c r="T120" i="1"/>
  <c r="T122" i="1"/>
  <c r="T124" i="1"/>
  <c r="T126" i="1"/>
  <c r="T128" i="1"/>
  <c r="T130" i="1"/>
  <c r="T132" i="1"/>
  <c r="T134" i="1"/>
  <c r="T136" i="1"/>
  <c r="T139" i="1"/>
  <c r="T141" i="1"/>
  <c r="T143" i="1"/>
  <c r="T145" i="1"/>
  <c r="T147" i="1"/>
  <c r="T149" i="1"/>
  <c r="T151" i="1"/>
  <c r="T153" i="1"/>
  <c r="T155" i="1"/>
  <c r="T157" i="1"/>
  <c r="T159" i="1"/>
  <c r="T161" i="1"/>
  <c r="T163" i="1"/>
  <c r="T165" i="1"/>
  <c r="T167" i="1"/>
  <c r="T171" i="1"/>
  <c r="T173" i="1"/>
  <c r="T175" i="1"/>
  <c r="T177" i="1"/>
  <c r="T179" i="1"/>
  <c r="T180" i="1"/>
  <c r="T181" i="1"/>
  <c r="T182" i="1"/>
  <c r="T183" i="1"/>
  <c r="T184" i="1"/>
  <c r="T185" i="1"/>
  <c r="T186" i="1"/>
  <c r="T187" i="1"/>
  <c r="T188" i="1"/>
  <c r="T189" i="1"/>
  <c r="T215" i="1"/>
  <c r="T312" i="1" l="1"/>
</calcChain>
</file>

<file path=xl/sharedStrings.xml><?xml version="1.0" encoding="utf-8"?>
<sst xmlns="http://schemas.openxmlformats.org/spreadsheetml/2006/main" count="2644" uniqueCount="777">
  <si>
    <t>Invoice Number</t>
  </si>
  <si>
    <t>Booking date</t>
  </si>
  <si>
    <t>Client name</t>
  </si>
  <si>
    <t>Guests</t>
  </si>
  <si>
    <t>Hotel name</t>
  </si>
  <si>
    <t>City</t>
  </si>
  <si>
    <t>Country</t>
  </si>
  <si>
    <t>Website currency</t>
  </si>
  <si>
    <t>Website rate/night</t>
  </si>
  <si>
    <t>WWstay currency</t>
  </si>
  <si>
    <t>WWstay rate/night</t>
  </si>
  <si>
    <t>Number of room nights</t>
  </si>
  <si>
    <t>Savings (USD)</t>
  </si>
  <si>
    <t>Savings (INR)</t>
  </si>
  <si>
    <t>WWSIN/1100334</t>
  </si>
  <si>
    <t>Indegene lifesystem Pvt. Ltd.</t>
  </si>
  <si>
    <t>Sandeep Gantotti</t>
  </si>
  <si>
    <t>Grand Hotel</t>
  </si>
  <si>
    <t>WWSIN/1100238</t>
  </si>
  <si>
    <t>Aditi Upadhyay</t>
  </si>
  <si>
    <t>Arabian Courtyard Hotel &amp; Spa</t>
  </si>
  <si>
    <t>Dubai</t>
  </si>
  <si>
    <t>United Arab Emirates</t>
  </si>
  <si>
    <t>US Dollar</t>
  </si>
  <si>
    <t>WWSIN/1100237</t>
  </si>
  <si>
    <t>INDEGENE LIFESYSTEMS Pvt. Ltd(Bangalore1)</t>
  </si>
  <si>
    <t>Harsha Arumugam</t>
  </si>
  <si>
    <t>WWSIN/1100225</t>
  </si>
  <si>
    <t>Sanjay Parikh</t>
  </si>
  <si>
    <t>ambassador Hotel Frankfurt</t>
  </si>
  <si>
    <t>Frankfurt</t>
  </si>
  <si>
    <t>Germany</t>
  </si>
  <si>
    <t>Euro</t>
  </si>
  <si>
    <t>WWSIN/1100224</t>
  </si>
  <si>
    <t>WWSIN/1100177</t>
  </si>
  <si>
    <t>Gaurav Kapoor</t>
  </si>
  <si>
    <t>ibis Gurgaon</t>
  </si>
  <si>
    <t>WWSIN/1100109</t>
  </si>
  <si>
    <t>Saurabh Jain</t>
  </si>
  <si>
    <t>Renaissance Istanbul Bosphorus Hotel</t>
  </si>
  <si>
    <t>Istanbul</t>
  </si>
  <si>
    <t>Turkey</t>
  </si>
  <si>
    <t>WWSIN/1100108</t>
  </si>
  <si>
    <t xml:space="preserve">Vivek Chaudhary </t>
  </si>
  <si>
    <t>The Plaza Hotel</t>
  </si>
  <si>
    <t>WWSIN/1100107</t>
  </si>
  <si>
    <t>WWSIN/1100064</t>
  </si>
  <si>
    <t>Ramachandran Ramalingam</t>
  </si>
  <si>
    <t>Staybridge Suites North Brunswick Hotel</t>
  </si>
  <si>
    <t>North Brunswick</t>
  </si>
  <si>
    <t>United States</t>
  </si>
  <si>
    <t>WWSIN/1100031</t>
  </si>
  <si>
    <t>Santa Grand Hotel Bugis</t>
  </si>
  <si>
    <t xml:space="preserve">Singapore </t>
  </si>
  <si>
    <t>Singapore</t>
  </si>
  <si>
    <t>WWSIN/1100854</t>
  </si>
  <si>
    <t>Arunjyoti Dasgupta</t>
  </si>
  <si>
    <t>Red Roof Inn Downtown</t>
  </si>
  <si>
    <t>Chicago</t>
  </si>
  <si>
    <t>WWSIN/1100802</t>
  </si>
  <si>
    <t>Manish Gupta</t>
  </si>
  <si>
    <t>Courtyard by Marriott Newark Liberty International Airport</t>
  </si>
  <si>
    <t>NJ</t>
  </si>
  <si>
    <t>WWSIN/1100788</t>
  </si>
  <si>
    <t>Holiday Inn Bur Dubai - Embassy District</t>
  </si>
  <si>
    <t>WWSIN/1100745</t>
  </si>
  <si>
    <t>WWSIN/1100741</t>
  </si>
  <si>
    <t>Vivek Chaudhuri</t>
  </si>
  <si>
    <t>Dedeman Istanbul</t>
  </si>
  <si>
    <t>WWSIN/1100701</t>
  </si>
  <si>
    <t>Courtyard Cranbury South Brunswick</t>
  </si>
  <si>
    <t>WWSIN/1100673</t>
  </si>
  <si>
    <t>Raju Muralidhar</t>
  </si>
  <si>
    <t>InterCityHotel Frankfurt</t>
  </si>
  <si>
    <t>WWSIN/1100674</t>
  </si>
  <si>
    <t>Scandic Hotel Copenhagen</t>
  </si>
  <si>
    <t>Copenhagen</t>
  </si>
  <si>
    <t>Denmark</t>
  </si>
  <si>
    <t>WWSIN/1100675</t>
  </si>
  <si>
    <t>Hilton Copenhagen Airport Hotel</t>
  </si>
  <si>
    <t>WWSIN/1100670</t>
  </si>
  <si>
    <t>Ibis Geneve Aeroport</t>
  </si>
  <si>
    <t>Geneva</t>
  </si>
  <si>
    <t>Switzerland</t>
  </si>
  <si>
    <t>WWSIN/1100671</t>
  </si>
  <si>
    <t>WWSIN/1100663</t>
  </si>
  <si>
    <t>Shakun Gidwani</t>
  </si>
  <si>
    <t>NEW DELHI</t>
  </si>
  <si>
    <t>India</t>
  </si>
  <si>
    <t>Indian Rupees</t>
  </si>
  <si>
    <t>WWSIN/1100650</t>
  </si>
  <si>
    <t>Holiday Inn Rockland</t>
  </si>
  <si>
    <t>Rockland</t>
  </si>
  <si>
    <t>WWSIN/1100649</t>
  </si>
  <si>
    <t>Mercure Hotel Europe Basel</t>
  </si>
  <si>
    <t>Basel</t>
  </si>
  <si>
    <t>WWSIN/1100648</t>
  </si>
  <si>
    <t>Sanjay Suresh Parikh</t>
  </si>
  <si>
    <t xml:space="preserve">Courtyard by Marriott Cranbury South Brunswick </t>
  </si>
  <si>
    <t>New Jersy</t>
  </si>
  <si>
    <t>WWSIN/1100647</t>
  </si>
  <si>
    <t>WWSIN/1100646</t>
  </si>
  <si>
    <t>WWSIN/1100645</t>
  </si>
  <si>
    <t>Novotel Brussels off Grand'Place</t>
  </si>
  <si>
    <t>Brussels</t>
  </si>
  <si>
    <t>Belgium</t>
  </si>
  <si>
    <t>WWSIN/1100619</t>
  </si>
  <si>
    <t>Quality Inn &amp; Suites P.E. Trudeau Airport</t>
  </si>
  <si>
    <t>Dorval</t>
  </si>
  <si>
    <t>Canada</t>
  </si>
  <si>
    <t>Canadian Dollar</t>
  </si>
  <si>
    <t>WWSIN/1100514</t>
  </si>
  <si>
    <t>Asheena Munjal</t>
  </si>
  <si>
    <t>Airport Hotel Basel</t>
  </si>
  <si>
    <t>WWSIN/1100527</t>
  </si>
  <si>
    <t>Crystal Crown Hotel Petaling Jaya</t>
  </si>
  <si>
    <t>Selangor</t>
  </si>
  <si>
    <t>Malaysia</t>
  </si>
  <si>
    <t>WWSIN/1100526</t>
  </si>
  <si>
    <t>Singapore Dollar</t>
  </si>
  <si>
    <t>WWSIN/1100488</t>
  </si>
  <si>
    <t xml:space="preserve">Karthik Enumulla </t>
  </si>
  <si>
    <t>Enea Hotel Aprilia</t>
  </si>
  <si>
    <t>Aprilia</t>
  </si>
  <si>
    <t>Italy</t>
  </si>
  <si>
    <t>WWSIN/1100487</t>
  </si>
  <si>
    <t>WWSIN/1100452</t>
  </si>
  <si>
    <t>Wajiha Tahar Ali</t>
  </si>
  <si>
    <t>HYATT house Bridgewater</t>
  </si>
  <si>
    <t>New Jersey</t>
  </si>
  <si>
    <t>WWSIN/1101296</t>
  </si>
  <si>
    <t>2013-06-26</t>
  </si>
  <si>
    <t>2013-07-12</t>
  </si>
  <si>
    <t>Muralidhar Konduru</t>
  </si>
  <si>
    <t>Hilton Garden Inn Frankfurt Airport</t>
  </si>
  <si>
    <t xml:space="preserve"> Frankfurt</t>
  </si>
  <si>
    <t>WWSIN/1101295</t>
  </si>
  <si>
    <t>2013-07-05</t>
  </si>
  <si>
    <t>Sheraton Heathrow Hotel</t>
  </si>
  <si>
    <t>West Drayton</t>
  </si>
  <si>
    <t>United Kingdom</t>
  </si>
  <si>
    <t>Pound</t>
  </si>
  <si>
    <t>WWSIN/1101294</t>
  </si>
  <si>
    <t>WWSIN/1101207</t>
  </si>
  <si>
    <t>2013-06-21</t>
  </si>
  <si>
    <t>Mercure Europe</t>
  </si>
  <si>
    <t>WWSIN/1101206</t>
  </si>
  <si>
    <t>Ambassador Frankfurt</t>
  </si>
  <si>
    <t>WWSIN/1101205</t>
  </si>
  <si>
    <t>WWSIN/1101180</t>
  </si>
  <si>
    <t>2013-06-19</t>
  </si>
  <si>
    <t>WWSIN/1101158</t>
  </si>
  <si>
    <t>2013-06-18</t>
  </si>
  <si>
    <t>WWSIN/1101020</t>
  </si>
  <si>
    <t>2013-06-10</t>
  </si>
  <si>
    <t>Sukhvinder Kaur</t>
  </si>
  <si>
    <t>Appart'Hotel Odalys Ferney Genève</t>
  </si>
  <si>
    <t>Genève</t>
  </si>
  <si>
    <t>France</t>
  </si>
  <si>
    <t>WWSIN/1100997</t>
  </si>
  <si>
    <t>2013-06-06</t>
  </si>
  <si>
    <t>2013-06-07</t>
  </si>
  <si>
    <t>WWSIN/1100993</t>
  </si>
  <si>
    <t>Mainzer Hof</t>
  </si>
  <si>
    <t>Mainz</t>
  </si>
  <si>
    <t>WWSIN/1100992</t>
  </si>
  <si>
    <t>Pradip Advani</t>
  </si>
  <si>
    <t>WWSIN/1100990</t>
  </si>
  <si>
    <t>2013-06-11</t>
  </si>
  <si>
    <t>Arjaan by Rotana - Dubai Media City</t>
  </si>
  <si>
    <t>WWSIN/1100083</t>
  </si>
  <si>
    <t>Arunjyoti Dasgupta,Samrat Chaudhuri</t>
  </si>
  <si>
    <t>Holiday Inn Express Washington DC Northeast</t>
  </si>
  <si>
    <t>washington</t>
  </si>
  <si>
    <t>WWSIN/1101821</t>
  </si>
  <si>
    <t>2013-07-31</t>
  </si>
  <si>
    <t>SANJAY VIRMANI</t>
  </si>
  <si>
    <t>The Bell Hotel</t>
  </si>
  <si>
    <t>England</t>
  </si>
  <si>
    <t>WWSIN/1101820</t>
  </si>
  <si>
    <t>Shubha Rao</t>
  </si>
  <si>
    <t>WWSIN/1101786</t>
  </si>
  <si>
    <t>2013-07-29</t>
  </si>
  <si>
    <t>Hardeep Singh</t>
  </si>
  <si>
    <t>Courtyard by Marriott Zurich North</t>
  </si>
  <si>
    <t>Zurich</t>
  </si>
  <si>
    <t>WWSIN/1101785</t>
  </si>
  <si>
    <t>WWSIN/1101784</t>
  </si>
  <si>
    <t>ibis London Gatwick Airport</t>
  </si>
  <si>
    <t xml:space="preserve">Gatwick </t>
  </si>
  <si>
    <t>WWSIN/1101783</t>
  </si>
  <si>
    <t>WWSIN/1101759</t>
  </si>
  <si>
    <t>2013-07-26</t>
  </si>
  <si>
    <t>Parkroyal On Kitchener Road</t>
  </si>
  <si>
    <t>WWSIN/1101746</t>
  </si>
  <si>
    <t>Premier Inn London Kew</t>
  </si>
  <si>
    <t xml:space="preserve">Middlesex </t>
  </si>
  <si>
    <t>WWSIN/1101743</t>
  </si>
  <si>
    <t>WWSIN/1101735</t>
  </si>
  <si>
    <t>2013-07-25</t>
  </si>
  <si>
    <t>Indegene Lifesystems Pvt.Ltd. Unit 2</t>
  </si>
  <si>
    <t xml:space="preserve">Ibis London Heathrow Airport </t>
  </si>
  <si>
    <t>Hayes</t>
  </si>
  <si>
    <t>WWSIN/1101734</t>
  </si>
  <si>
    <t>Ibis Zurich Messe-Airport</t>
  </si>
  <si>
    <t>WWSIN/1101733</t>
  </si>
  <si>
    <t>Radisson Blu Edwardian Heathrow Hotel</t>
  </si>
  <si>
    <t>WWSIN/1101732</t>
  </si>
  <si>
    <t>WWSIN/1101731</t>
  </si>
  <si>
    <t>WWSIN/1101712</t>
  </si>
  <si>
    <t>2013-07-24</t>
  </si>
  <si>
    <t>Shashank Kansal</t>
  </si>
  <si>
    <t>Ibis Brussels Off Grand Place</t>
  </si>
  <si>
    <t>WWSIN/1101701</t>
  </si>
  <si>
    <t>2013-07-23</t>
  </si>
  <si>
    <t>Dedeman Hotel Istanbul</t>
  </si>
  <si>
    <t xml:space="preserve">Istanbul </t>
  </si>
  <si>
    <t>Tuvalu</t>
  </si>
  <si>
    <t>WWSIN/1101700</t>
  </si>
  <si>
    <t>Bhaskar Patil</t>
  </si>
  <si>
    <t>WWSIN/1101698</t>
  </si>
  <si>
    <t>ibis Paris Boulogne Billancourt</t>
  </si>
  <si>
    <t>Boulogne-Billancourt</t>
  </si>
  <si>
    <t>WWSIN/1101699</t>
  </si>
  <si>
    <t>WWSIN/1101670</t>
  </si>
  <si>
    <t>2013-07-22</t>
  </si>
  <si>
    <t>Ibis gurgaon</t>
  </si>
  <si>
    <t>Gurgaon</t>
  </si>
  <si>
    <t>WWSIN/1101669</t>
  </si>
  <si>
    <t>Anand Kiran</t>
  </si>
  <si>
    <t>WWSIN/1101668</t>
  </si>
  <si>
    <t>WWSIN/1101626</t>
  </si>
  <si>
    <t>2013-07-18</t>
  </si>
  <si>
    <t>Arabian Courtyard</t>
  </si>
  <si>
    <t>WWSIN/1101598</t>
  </si>
  <si>
    <t>2013-07-16</t>
  </si>
  <si>
    <t>Damanbir Singh</t>
  </si>
  <si>
    <t>Aloft Kuala Lumpur Sentral</t>
  </si>
  <si>
    <t>Kuala Lumpur</t>
  </si>
  <si>
    <t>WWSIN/1101588</t>
  </si>
  <si>
    <t>2013-07-15</t>
  </si>
  <si>
    <t>WWSIN/1101587</t>
  </si>
  <si>
    <t>Ibis London Euston St Pancras</t>
  </si>
  <si>
    <t>London</t>
  </si>
  <si>
    <t>WWSIN/1101586</t>
  </si>
  <si>
    <t>WWSIN/1101562</t>
  </si>
  <si>
    <t>Ashish Kumar Pandita</t>
  </si>
  <si>
    <t>Advena Europa Hotel Mainz</t>
  </si>
  <si>
    <t>WWSIN/1101533</t>
  </si>
  <si>
    <t>2013-07-11</t>
  </si>
  <si>
    <t>Tanu Priya</t>
  </si>
  <si>
    <t>MONDESTAY Midosuji-Umeda</t>
  </si>
  <si>
    <t>Osaka</t>
  </si>
  <si>
    <t>Japan</t>
  </si>
  <si>
    <t>WWSIN/1101464</t>
  </si>
  <si>
    <t>Aakash Deep Sharma</t>
  </si>
  <si>
    <t>London Serviced apartment Courtfield</t>
  </si>
  <si>
    <t>WWSIN/1101389</t>
  </si>
  <si>
    <t>2013-07-01</t>
  </si>
  <si>
    <t>Lin Wei Han</t>
  </si>
  <si>
    <t>Millennium Seoul Hilton</t>
  </si>
  <si>
    <t>Seoul</t>
  </si>
  <si>
    <t>Korea, Republic of  (South Korea)</t>
  </si>
  <si>
    <t>WWSIN/1101388</t>
  </si>
  <si>
    <t>WWSIN/1101387</t>
  </si>
  <si>
    <t>WWSIN/1102472</t>
  </si>
  <si>
    <t>Swetha Shetty</t>
  </si>
  <si>
    <t>WWSIN/1102471</t>
  </si>
  <si>
    <t>Rohan Seth</t>
  </si>
  <si>
    <t>Holiday Inn Zurich Messe</t>
  </si>
  <si>
    <t>WWSIN/1102470</t>
  </si>
  <si>
    <t>WWSIN/1102469</t>
  </si>
  <si>
    <t>Hotel Gran Derby</t>
  </si>
  <si>
    <t>Barcelona</t>
  </si>
  <si>
    <t>Spain</t>
  </si>
  <si>
    <t>WWSIN/1102424</t>
  </si>
  <si>
    <t>Divya Malik</t>
  </si>
  <si>
    <t xml:space="preserve"> NH Frankfurt Niederrad</t>
  </si>
  <si>
    <t>WWSIN/1102425</t>
  </si>
  <si>
    <t>WWSIN/1102397</t>
  </si>
  <si>
    <t>Samapti Barai</t>
  </si>
  <si>
    <t>WWSIN/1102395</t>
  </si>
  <si>
    <t>Ibis Mumbai Airport</t>
  </si>
  <si>
    <t>Mumbai</t>
  </si>
  <si>
    <t>WWSIN/1102275</t>
  </si>
  <si>
    <t>Vikramadith Raman</t>
  </si>
  <si>
    <t>MontrÃ©al</t>
  </si>
  <si>
    <t>WWSIN/1102274</t>
  </si>
  <si>
    <t>WWSIN/1102273</t>
  </si>
  <si>
    <t>WWSIN/1102250</t>
  </si>
  <si>
    <t>Hotel Bel Air Copenhagen</t>
  </si>
  <si>
    <t>Kastrup</t>
  </si>
  <si>
    <t>WWSIN/1102249</t>
  </si>
  <si>
    <t>Hotel Minerva</t>
  </si>
  <si>
    <t xml:space="preserve">Frankfurt </t>
  </si>
  <si>
    <t>WWSIN/1102221</t>
  </si>
  <si>
    <t>Sheraton Heathrow</t>
  </si>
  <si>
    <t>london</t>
  </si>
  <si>
    <t>WWSIN/1102220</t>
  </si>
  <si>
    <t>WWSIN/1102219</t>
  </si>
  <si>
    <t>WWSIN/1102185</t>
  </si>
  <si>
    <t>WWSIN/1102118</t>
  </si>
  <si>
    <t>WWSIN/1102117</t>
  </si>
  <si>
    <t>Radisson Blu Hotel</t>
  </si>
  <si>
    <t>WWSIN/1102116</t>
  </si>
  <si>
    <t>WWSIN/1102093</t>
  </si>
  <si>
    <t>V Hotel Lavender</t>
  </si>
  <si>
    <t>WWSIN/1102077</t>
  </si>
  <si>
    <t>Link Hotel</t>
  </si>
  <si>
    <t>WWSIN/1102076</t>
  </si>
  <si>
    <t>WWSIN/1102019</t>
  </si>
  <si>
    <t>Karthik Prabhakar</t>
  </si>
  <si>
    <t>Red Fox Hotel</t>
  </si>
  <si>
    <t>WWSIN/1102018</t>
  </si>
  <si>
    <t>Kushal Manupati</t>
  </si>
  <si>
    <t>WWSIN/1102017</t>
  </si>
  <si>
    <t>WWSIN/1101989</t>
  </si>
  <si>
    <t>WWSIN/1101988</t>
  </si>
  <si>
    <t>WWSIN/1101986</t>
  </si>
  <si>
    <t>WWSIN/1101984</t>
  </si>
  <si>
    <t>WWSIN/1101937</t>
  </si>
  <si>
    <t>Royal Pacific Hotel</t>
  </si>
  <si>
    <t>Sydney</t>
  </si>
  <si>
    <t>Australia</t>
  </si>
  <si>
    <t>Australian Dollar</t>
  </si>
  <si>
    <t>WWSIN/1101936</t>
  </si>
  <si>
    <t>SNEHAL SHIVALING KATARE</t>
  </si>
  <si>
    <t>WWSIN/1101931</t>
  </si>
  <si>
    <t>Girish Prasad</t>
  </si>
  <si>
    <t>Sheraton Skyline Hotel London Heathrow</t>
  </si>
  <si>
    <t xml:space="preserve">England </t>
  </si>
  <si>
    <t>WWSIN/1101925</t>
  </si>
  <si>
    <t>Karthik Enumulla</t>
  </si>
  <si>
    <t>WWSIN/1101896</t>
  </si>
  <si>
    <t>DoubleTree by Hilton London Heathrow Airport</t>
  </si>
  <si>
    <t>Heathrow</t>
  </si>
  <si>
    <t>WWSIN/1101890</t>
  </si>
  <si>
    <t>WWSIN/1101868</t>
  </si>
  <si>
    <t>WWSIN/1101866</t>
  </si>
  <si>
    <t>WWSIN/1102986</t>
  </si>
  <si>
    <t>2013-09-30</t>
  </si>
  <si>
    <t>The Menzies Sydney</t>
  </si>
  <si>
    <t>WWSIN/1102970</t>
  </si>
  <si>
    <t>Muralidhar Raju Konduru</t>
  </si>
  <si>
    <t>Premier Inn Heathrow Airport Terminal 5</t>
  </si>
  <si>
    <t>WWSIN/1102965</t>
  </si>
  <si>
    <t>Park Inn by Radisson Copenhagen Airport</t>
  </si>
  <si>
    <t>WWSIN/1102964</t>
  </si>
  <si>
    <t>Ibis Frankfurt Airport</t>
  </si>
  <si>
    <t>WWSIN/1102963</t>
  </si>
  <si>
    <t>Holiday Inn Express Geneva Airport</t>
  </si>
  <si>
    <t>WWSIN/1102954</t>
  </si>
  <si>
    <t>Holiday Inn Paris Gare De l'Est</t>
  </si>
  <si>
    <t>Paris</t>
  </si>
  <si>
    <t>WWSIN/1102927</t>
  </si>
  <si>
    <t>2013-09-27</t>
  </si>
  <si>
    <t>WWSIN/1102926</t>
  </si>
  <si>
    <t>WWSIN/1102918</t>
  </si>
  <si>
    <t>Kapil Daga</t>
  </si>
  <si>
    <t>Village Hotel Albert Court</t>
  </si>
  <si>
    <t>WWSIN/1102867</t>
  </si>
  <si>
    <t>2013-09-24</t>
  </si>
  <si>
    <t>NH Frankfurt Moerfelden</t>
  </si>
  <si>
    <t>WWSIN/1102861</t>
  </si>
  <si>
    <t>WWSIN/1102860</t>
  </si>
  <si>
    <t>ibis Frankfurt Airport</t>
  </si>
  <si>
    <t>WWSIN/1102849</t>
  </si>
  <si>
    <t>2013-09-23</t>
  </si>
  <si>
    <t>WWSIN/1102827</t>
  </si>
  <si>
    <t>2013-09-20</t>
  </si>
  <si>
    <t xml:space="preserve">Shyam Dattani </t>
  </si>
  <si>
    <t xml:space="preserve">City Garden Hotel </t>
  </si>
  <si>
    <t>Hong kong</t>
  </si>
  <si>
    <t>Hong Kong</t>
  </si>
  <si>
    <t>WWSIN/1102802</t>
  </si>
  <si>
    <t>2013-09-19</t>
  </si>
  <si>
    <t xml:space="preserve">Hotel &amp; Restaurant Danner </t>
  </si>
  <si>
    <t>Rheinfelden</t>
  </si>
  <si>
    <t>WWSIN/1102786</t>
  </si>
  <si>
    <t>2013-09-18</t>
  </si>
  <si>
    <t>SRIDHARAN RENGACHARI</t>
  </si>
  <si>
    <t>Quality Inn &amp; Suites Aéroport P.E. Montréal-Trudeau Airport</t>
  </si>
  <si>
    <t>Montreal</t>
  </si>
  <si>
    <t>WWSIN/1102785</t>
  </si>
  <si>
    <t xml:space="preserve">Best Western Grant Park </t>
  </si>
  <si>
    <t>Illinois</t>
  </si>
  <si>
    <t>WWSIN/1102783</t>
  </si>
  <si>
    <t>Bhaskar Rajakumar</t>
  </si>
  <si>
    <t>Hotel Regal Enclave</t>
  </si>
  <si>
    <t>WWSIN/1102779</t>
  </si>
  <si>
    <t>Punita Mittal</t>
  </si>
  <si>
    <t>WWSIN/1102761</t>
  </si>
  <si>
    <t>2013-09-16</t>
  </si>
  <si>
    <t>ibis Brussels off Grand' Place</t>
  </si>
  <si>
    <t>WWSIN/1102759</t>
  </si>
  <si>
    <t>Mercure Paris gare du Nord la Fayette</t>
  </si>
  <si>
    <t>WWSIN/1102755</t>
  </si>
  <si>
    <t>WWSUS/1101210</t>
  </si>
  <si>
    <t>2013-09-12</t>
  </si>
  <si>
    <t>Indegene(CME Universe LLC)</t>
  </si>
  <si>
    <t>John Bisognano</t>
  </si>
  <si>
    <t>Radisson Blu Hotel New Delhi Dwarka</t>
  </si>
  <si>
    <t xml:space="preserve">Delhi </t>
  </si>
  <si>
    <t>WWSUS/1101209</t>
  </si>
  <si>
    <t>Sanjay Rajagopalan</t>
  </si>
  <si>
    <t>WWSUS/1101208</t>
  </si>
  <si>
    <t>Michael Miller</t>
  </si>
  <si>
    <t>Vivanta by Taj - Gomti Nagar, Lucknow</t>
  </si>
  <si>
    <t>Lucknow</t>
  </si>
  <si>
    <t>WWSUS/1101207</t>
  </si>
  <si>
    <t>WWSIN/1102663</t>
  </si>
  <si>
    <t>DoubleTree by Hilton Hotel Kuala Lumpur</t>
  </si>
  <si>
    <t>WWSUS/1101206</t>
  </si>
  <si>
    <t>Radisson Blu Hotel Ahmedabad</t>
  </si>
  <si>
    <t>Ahmedabad</t>
  </si>
  <si>
    <t>WWSUS/1101205</t>
  </si>
  <si>
    <t>WWSUS/1101204</t>
  </si>
  <si>
    <t>WWSIN/1102655</t>
  </si>
  <si>
    <t>WWSUS/1101203</t>
  </si>
  <si>
    <t>2013-09-11</t>
  </si>
  <si>
    <t>Lisa Lynn Miller</t>
  </si>
  <si>
    <t>Vivanta by Taj - Holiday Village, Goa</t>
  </si>
  <si>
    <t>Candolim</t>
  </si>
  <si>
    <t>WWSUS/1101202</t>
  </si>
  <si>
    <t>WWSUS/1101201</t>
  </si>
  <si>
    <t>The Orchid, Mumbai</t>
  </si>
  <si>
    <t>WWSUS/1101200</t>
  </si>
  <si>
    <t>WWSIN/1102630</t>
  </si>
  <si>
    <t>WWSIN/1102612</t>
  </si>
  <si>
    <t>2013-09-10</t>
  </si>
  <si>
    <t>Sridharan Vijaya Rengachari</t>
  </si>
  <si>
    <t>The Whitehall Hotel</t>
  </si>
  <si>
    <t xml:space="preserve">Chicago </t>
  </si>
  <si>
    <t>WWSIN/1102589</t>
  </si>
  <si>
    <t>2013-09-06</t>
  </si>
  <si>
    <t>Montréal</t>
  </si>
  <si>
    <t>WWSIN/1102591</t>
  </si>
  <si>
    <t xml:space="preserve">Hyatt Hyderabad </t>
  </si>
  <si>
    <t>Hyderabad</t>
  </si>
  <si>
    <t>WWSIN/1102590</t>
  </si>
  <si>
    <t>Jeyraj Sundaram</t>
  </si>
  <si>
    <t>WWSIN/1102580</t>
  </si>
  <si>
    <t>Dr Bhaskar Rajakumar</t>
  </si>
  <si>
    <t>Metropark Hotel Kowloon</t>
  </si>
  <si>
    <t>Kowloon</t>
  </si>
  <si>
    <t>WWSIN/1102537</t>
  </si>
  <si>
    <t>2013-09-04</t>
  </si>
  <si>
    <t>WWSIN/1102500</t>
  </si>
  <si>
    <t>2013-09-03</t>
  </si>
  <si>
    <t>WWSIN/1103529</t>
  </si>
  <si>
    <t>2013-10-29</t>
  </si>
  <si>
    <t>Eaton Smart, New Delhi Airport Transit Hotel</t>
  </si>
  <si>
    <t>new delhi</t>
  </si>
  <si>
    <t>WWSIN/1103515</t>
  </si>
  <si>
    <t>2013-10-28</t>
  </si>
  <si>
    <t>Nikita G</t>
  </si>
  <si>
    <t>WWSIN/1103511</t>
  </si>
  <si>
    <t>Classic Diplomat - New Delhi</t>
  </si>
  <si>
    <t>WWSIN/1103510</t>
  </si>
  <si>
    <t>WWSIN/1103480</t>
  </si>
  <si>
    <t>2013-10-25</t>
  </si>
  <si>
    <t>AC Hotel Barcelona Forum by Marriott</t>
  </si>
  <si>
    <t>WWSIN/1103466</t>
  </si>
  <si>
    <t xml:space="preserve">Novotel Citygate Hong Kong </t>
  </si>
  <si>
    <t>Tung Chung</t>
  </si>
  <si>
    <t>WWSIN/1103460</t>
  </si>
  <si>
    <t>2013-10-24</t>
  </si>
  <si>
    <t>Hotel Lawrence Dallas</t>
  </si>
  <si>
    <t>Dallas</t>
  </si>
  <si>
    <t>WWSIN/1103442</t>
  </si>
  <si>
    <t>2013-10-23</t>
  </si>
  <si>
    <t>ibis Gurgaon, Gurgaon</t>
  </si>
  <si>
    <t>Delhi</t>
  </si>
  <si>
    <t>WWSIN/1103443</t>
  </si>
  <si>
    <t>Novotel Hyderabad Convention Center</t>
  </si>
  <si>
    <t>WWSIN/1103435</t>
  </si>
  <si>
    <t>2013-10-22</t>
  </si>
  <si>
    <t>Harsha Arumugam Ram Mohan</t>
  </si>
  <si>
    <t>WWSIN/1103272</t>
  </si>
  <si>
    <t>2013-10-12</t>
  </si>
  <si>
    <t>Sofie-Anh Duranceau</t>
  </si>
  <si>
    <t xml:space="preserve">Shibuya Excel Hotel Tokyu </t>
  </si>
  <si>
    <t>Tokyo</t>
  </si>
  <si>
    <t>WWSIN/1103273</t>
  </si>
  <si>
    <t>Wei Han Lin</t>
  </si>
  <si>
    <t>WWSIN/1103252</t>
  </si>
  <si>
    <t>2013-10-11</t>
  </si>
  <si>
    <t>Coral Deira Hotel</t>
  </si>
  <si>
    <t>WWSIN/1103202</t>
  </si>
  <si>
    <t>2013-10-10</t>
  </si>
  <si>
    <t>SwissOtel</t>
  </si>
  <si>
    <t>Beijing</t>
  </si>
  <si>
    <t>China</t>
  </si>
  <si>
    <t>WWSIN/1103203</t>
  </si>
  <si>
    <t>WWSIN/1103173</t>
  </si>
  <si>
    <t>2013-10-08</t>
  </si>
  <si>
    <t>Orchard Parade Hotel</t>
  </si>
  <si>
    <t>WWSIN/1103167</t>
  </si>
  <si>
    <t>Priyanka Agarwal</t>
  </si>
  <si>
    <t>ibis Antibes Sophia Antipolis</t>
  </si>
  <si>
    <t xml:space="preserve"> Sophia Antipolis</t>
  </si>
  <si>
    <t>WWSIN/1103166</t>
  </si>
  <si>
    <t>The Thames Hotel</t>
  </si>
  <si>
    <t>Maidenhead</t>
  </si>
  <si>
    <t>WWSIN/1103156</t>
  </si>
  <si>
    <t>WWSIN/1103157</t>
  </si>
  <si>
    <t>WWSIN/1103078</t>
  </si>
  <si>
    <t>2013-10-04</t>
  </si>
  <si>
    <t>Avg. IBR Rate</t>
  </si>
  <si>
    <t>Total (USD)</t>
  </si>
  <si>
    <t>Total (INR)</t>
  </si>
  <si>
    <t>% Age</t>
  </si>
  <si>
    <t>WWSIN/1104237</t>
  </si>
  <si>
    <t>2013-11-29</t>
  </si>
  <si>
    <t>Sheila Chandy</t>
  </si>
  <si>
    <t>Shinjuku Washington Hotel(New Building)</t>
  </si>
  <si>
    <t>tokyo</t>
  </si>
  <si>
    <t>WWSIN/1104236</t>
  </si>
  <si>
    <t>ANAND KIRAN PRAFULA CHANDRA NIJEGEL</t>
  </si>
  <si>
    <t>WWSIN/1104234</t>
  </si>
  <si>
    <t>The Royale Bintang Damansara Hotel</t>
  </si>
  <si>
    <t>Petaling Jaya</t>
  </si>
  <si>
    <t>WWSIN/1104235</t>
  </si>
  <si>
    <t>Ramee Guestline Hotel Juhu</t>
  </si>
  <si>
    <t>WWSIN/1104171</t>
  </si>
  <si>
    <t>2013-11-28</t>
  </si>
  <si>
    <t>WWSIN/1104100</t>
  </si>
  <si>
    <t>2013-11-24</t>
  </si>
  <si>
    <t>Golden Tulip Opera de Noailles</t>
  </si>
  <si>
    <t>WWSIN/1104101</t>
  </si>
  <si>
    <t>WWSIN/1104033</t>
  </si>
  <si>
    <t>2013-11-20</t>
  </si>
  <si>
    <t>La Quinta Inn New Orleans West Bank / Gretna</t>
  </si>
  <si>
    <t>Gretna</t>
  </si>
  <si>
    <t>WWSIN/1104032</t>
  </si>
  <si>
    <t>Swapnil Suresh Ambulkar</t>
  </si>
  <si>
    <t>WWSIN/1103979</t>
  </si>
  <si>
    <t>2013-11-18</t>
  </si>
  <si>
    <t>WWSIN/1103959</t>
  </si>
  <si>
    <t>2013-11-16</t>
  </si>
  <si>
    <t>Hotel Novotel Mainz</t>
  </si>
  <si>
    <t>WWSIN/1103960</t>
  </si>
  <si>
    <t>Park Inn Berlin</t>
  </si>
  <si>
    <t>Berlin</t>
  </si>
  <si>
    <t>WWSIN/1103874</t>
  </si>
  <si>
    <t>2013-11-14</t>
  </si>
  <si>
    <t>NH Zürich Airport Hotel</t>
  </si>
  <si>
    <t>WWSIN/1103875</t>
  </si>
  <si>
    <t>Syed Mohammad Shakeel Raza</t>
  </si>
  <si>
    <t>The Oberoi</t>
  </si>
  <si>
    <t>WWSIN/1103861</t>
  </si>
  <si>
    <t>2013-11-13</t>
  </si>
  <si>
    <t xml:space="preserve"> Regenta One</t>
  </si>
  <si>
    <t xml:space="preserve">Hyderabad </t>
  </si>
  <si>
    <t>WWSIN/1103822</t>
  </si>
  <si>
    <t>2013-11-12</t>
  </si>
  <si>
    <t>WWSIN/1103748</t>
  </si>
  <si>
    <t>2013-11-08</t>
  </si>
  <si>
    <t>Bhaskar Rajakumar,Varun Bhargava</t>
  </si>
  <si>
    <t>Hilton Anatole</t>
  </si>
  <si>
    <t>WWSIN/1103742</t>
  </si>
  <si>
    <t>Mercure Paris Terminus Nord</t>
  </si>
  <si>
    <t>WWSIN/1103741</t>
  </si>
  <si>
    <t>WWSIN/1103740</t>
  </si>
  <si>
    <t>Adagio Basel City - Aparthotel</t>
  </si>
  <si>
    <t>WWSIN/1103739</t>
  </si>
  <si>
    <t>WWSIN/1103667</t>
  </si>
  <si>
    <t>2013-11-05</t>
  </si>
  <si>
    <t>Ibis Styles Paris Gare de l'Est Chateau Landon</t>
  </si>
  <si>
    <t>WWSIN/1103666</t>
  </si>
  <si>
    <t>ibis Frankfurt Airport, Kelsterbach</t>
  </si>
  <si>
    <t>Kelsterbach</t>
  </si>
  <si>
    <t>WWSIN/1103665</t>
  </si>
  <si>
    <t>Scandic Oslo Airport, Gardermoen</t>
  </si>
  <si>
    <t>Gardermoen</t>
  </si>
  <si>
    <t>Norway</t>
  </si>
  <si>
    <t>WWSIN/1103664</t>
  </si>
  <si>
    <t>Think Apartments Earls Court</t>
  </si>
  <si>
    <t>WWSIN/1103612</t>
  </si>
  <si>
    <t>2013-11-01</t>
  </si>
  <si>
    <t>WWSIN/1104617</t>
  </si>
  <si>
    <t>2013-12-30</t>
  </si>
  <si>
    <t>Hilton Mainz City</t>
  </si>
  <si>
    <t>WWSIN/1104612</t>
  </si>
  <si>
    <t>WWSIN/1104611</t>
  </si>
  <si>
    <t>WWSIN/1104608</t>
  </si>
  <si>
    <t>Indegene Lifesystems Pvt. Ltd. SEZ01</t>
  </si>
  <si>
    <t>BHASKAR RANGNATH PATIL</t>
  </si>
  <si>
    <t>Metro Hotel Sydney Central Haymarket</t>
  </si>
  <si>
    <t xml:space="preserve">New South Wales </t>
  </si>
  <si>
    <t>WWSIN/1104603</t>
  </si>
  <si>
    <t>2013-12-28</t>
  </si>
  <si>
    <t>Amit Srivastava</t>
  </si>
  <si>
    <t>Novotel Century Hong Kong</t>
  </si>
  <si>
    <t>Hong Kong ?</t>
  </si>
  <si>
    <t>WWSIN/1104583</t>
  </si>
  <si>
    <t>2013-12-26</t>
  </si>
  <si>
    <t>Best Western Grand City Hotel Frankfurt</t>
  </si>
  <si>
    <t>WWSIN/1104562</t>
  </si>
  <si>
    <t>2013-12-21</t>
  </si>
  <si>
    <t>Mercure Hotel Frankfurt Airport</t>
  </si>
  <si>
    <t xml:space="preserve"> Hesse</t>
  </si>
  <si>
    <t>WWSIN/1104561</t>
  </si>
  <si>
    <t>Ibis Paris CDG Terminal Roissy</t>
  </si>
  <si>
    <t>paris</t>
  </si>
  <si>
    <t>WWSIN/1104560</t>
  </si>
  <si>
    <t xml:space="preserve">Scandic Copenhagen </t>
  </si>
  <si>
    <t>WWSIN/1104559</t>
  </si>
  <si>
    <t>WWSIN/1104498</t>
  </si>
  <si>
    <t>2013-12-16</t>
  </si>
  <si>
    <t>Fanny Jouanique</t>
  </si>
  <si>
    <t>WWSIN/1104484</t>
  </si>
  <si>
    <t>2013-12-13</t>
  </si>
  <si>
    <t>WWSIN/1104438</t>
  </si>
  <si>
    <t>2013-12-10</t>
  </si>
  <si>
    <t>Holiday Inn Dubai - Downtown Duba</t>
  </si>
  <si>
    <t>WWSIN/1104414</t>
  </si>
  <si>
    <t>2013-12-09</t>
  </si>
  <si>
    <t>WWSIN/1104413</t>
  </si>
  <si>
    <t>Novotel Brussels Airport</t>
  </si>
  <si>
    <t>WWSIN/1104412</t>
  </si>
  <si>
    <t>Hotel du Commerce</t>
  </si>
  <si>
    <t>WWSIN/1104411</t>
  </si>
  <si>
    <t>WWSIN/1104369</t>
  </si>
  <si>
    <t>2013-12-06</t>
  </si>
  <si>
    <t>WWSIN/1104349</t>
  </si>
  <si>
    <t>2013-12-05</t>
  </si>
  <si>
    <t>Extended Stay America Hotel Los Angeles – Glendale</t>
  </si>
  <si>
    <t>Glendale</t>
  </si>
  <si>
    <t>WWSIN/1104336</t>
  </si>
  <si>
    <t>Best Western Grant Park</t>
  </si>
  <si>
    <t>WWSIN/1104337</t>
  </si>
  <si>
    <t>WWSIN/1104305</t>
  </si>
  <si>
    <t>2013-12-03</t>
  </si>
  <si>
    <t xml:space="preserve">Landmark Bangkok </t>
  </si>
  <si>
    <t>Bangkok</t>
  </si>
  <si>
    <t>Thailand</t>
  </si>
  <si>
    <t>WWSIN/1104293</t>
  </si>
  <si>
    <t>WWSIN/1104294</t>
  </si>
  <si>
    <t>WWSIN/1104295</t>
  </si>
  <si>
    <t>WWSIN/1104296</t>
  </si>
  <si>
    <t>WWSIN/1104297</t>
  </si>
  <si>
    <t>WWSIN/1104298</t>
  </si>
  <si>
    <t>WWSIN/1104299</t>
  </si>
  <si>
    <t>WWSIN/1104300</t>
  </si>
  <si>
    <t>WWSIN/1104301</t>
  </si>
  <si>
    <t>WWSIN/1104302</t>
  </si>
  <si>
    <t>WWSIN/1104303</t>
  </si>
  <si>
    <t>WWSIN/1104255</t>
  </si>
  <si>
    <t>2013-12-02</t>
  </si>
  <si>
    <t>Oaks on Castlereagh</t>
  </si>
  <si>
    <t>WWSIN/1105234</t>
  </si>
  <si>
    <t>The Orchid</t>
  </si>
  <si>
    <t>WWSIN/1105214</t>
  </si>
  <si>
    <t>RENAISSANCE KUALA LUMPUR HOTEL</t>
  </si>
  <si>
    <t>60 3-2162 2233</t>
  </si>
  <si>
    <t>WWSIN/1105213</t>
  </si>
  <si>
    <t>WWSIN/1105194</t>
  </si>
  <si>
    <t xml:space="preserve">Clarks Avadh View Hotel </t>
  </si>
  <si>
    <t>WWSIN/1105191</t>
  </si>
  <si>
    <t>Sridhar V</t>
  </si>
  <si>
    <t>WWSIN/1105179</t>
  </si>
  <si>
    <t>Bayview Hotel</t>
  </si>
  <si>
    <t>WWSIN/1105177</t>
  </si>
  <si>
    <t xml:space="preserve">Bina Patil </t>
  </si>
  <si>
    <t>WWSIN/1105176</t>
  </si>
  <si>
    <t>Srihari S</t>
  </si>
  <si>
    <t>WWSIN/1105111</t>
  </si>
  <si>
    <t>Mercure Stoller Zurich</t>
  </si>
  <si>
    <t>WWSIN/1105033</t>
  </si>
  <si>
    <t xml:space="preserve">Novotel Singapore Clarke Quay </t>
  </si>
  <si>
    <t>WWSIN/1105022</t>
  </si>
  <si>
    <t xml:space="preserve">Holiday Inn Express Zurich Airport </t>
  </si>
  <si>
    <t>WWSIN/1104964</t>
  </si>
  <si>
    <t>Village Hotel Bugis by Far East Hospitality</t>
  </si>
  <si>
    <t>singapore</t>
  </si>
  <si>
    <t>WWSIN/1104942</t>
  </si>
  <si>
    <t>Vishal Bellani</t>
  </si>
  <si>
    <t>Charterhouse Causeway Bay Hotel</t>
  </si>
  <si>
    <t>Hong Kong â€Ž</t>
  </si>
  <si>
    <t>WWSIN/1104943</t>
  </si>
  <si>
    <t>WWSIN/1104945</t>
  </si>
  <si>
    <t>WWSIN/1104886</t>
  </si>
  <si>
    <t>Hampton Inn Newark-Airport</t>
  </si>
  <si>
    <t>WWSIN/1104887</t>
  </si>
  <si>
    <t>WWSIN/1104888</t>
  </si>
  <si>
    <t>Tahira Shafiulla</t>
  </si>
  <si>
    <t>Radisson Blu Plaza Xingguo Hotel Shanghai</t>
  </si>
  <si>
    <t>Shanghai</t>
  </si>
  <si>
    <t>WWSIN/1104847</t>
  </si>
  <si>
    <t>Golden Sands Hotel Apartments</t>
  </si>
  <si>
    <t xml:space="preserve">Dubai </t>
  </si>
  <si>
    <t>WWSIN/1104812</t>
  </si>
  <si>
    <t>Sharanjit Singh</t>
  </si>
  <si>
    <t>Residence Inn Atlanta Kennesaw/Town Center</t>
  </si>
  <si>
    <t>Kennesaw</t>
  </si>
  <si>
    <t>WWSIN/1104813</t>
  </si>
  <si>
    <t xml:space="preserve">Suhas Prabhu </t>
  </si>
  <si>
    <t>WWSIN/1104807</t>
  </si>
  <si>
    <t>Village Hotel Bugis</t>
  </si>
  <si>
    <t>WWSIN/1104747</t>
  </si>
  <si>
    <t xml:space="preserve">Kempinski Ambience Delhi </t>
  </si>
  <si>
    <t>New Delhi</t>
  </si>
  <si>
    <t>WWSIN/1104746</t>
  </si>
  <si>
    <t>WWSIN/1104672</t>
  </si>
  <si>
    <t>WWSIN/1104664</t>
  </si>
  <si>
    <t>Tarun Mathur</t>
  </si>
  <si>
    <t>WWSIN/1104663</t>
  </si>
  <si>
    <t>Marc Valdiviezo</t>
  </si>
  <si>
    <t>WWSIN/1104662</t>
  </si>
  <si>
    <t xml:space="preserve">Mark Benthin </t>
  </si>
  <si>
    <t>WWSIN/1105758</t>
  </si>
  <si>
    <t>Regenta One Hyderabad</t>
  </si>
  <si>
    <t>hyderabad</t>
  </si>
  <si>
    <t>WWSIN/1105757</t>
  </si>
  <si>
    <t>WWSIN/1105756</t>
  </si>
  <si>
    <t>WWSIN/1105689</t>
  </si>
  <si>
    <t>WWSIN/1105688</t>
  </si>
  <si>
    <t>WWSIN/1105687</t>
  </si>
  <si>
    <t>Indegene Lifesystems Pvt. Ltd.  SEZ02</t>
  </si>
  <si>
    <t>Sudhir N Bhatt</t>
  </si>
  <si>
    <t xml:space="preserve">Ibis Brussels Centre Sainte Catherine </t>
  </si>
  <si>
    <t xml:space="preserve">Brussels </t>
  </si>
  <si>
    <t>WWSIN/1105686</t>
  </si>
  <si>
    <t>Perlinraj Rajendra</t>
  </si>
  <si>
    <t>WWSIN/1105673</t>
  </si>
  <si>
    <t>Roopashree Sattikar</t>
  </si>
  <si>
    <t>Best Western Premier Hotel Kukdo</t>
  </si>
  <si>
    <t>Korea</t>
  </si>
  <si>
    <t>WWSIN/1105650</t>
  </si>
  <si>
    <t>WWSIN/1105620</t>
  </si>
  <si>
    <t>Arabian Park Hotel</t>
  </si>
  <si>
    <t>WWSIN/1105582</t>
  </si>
  <si>
    <t>Hyatt Place Princeton</t>
  </si>
  <si>
    <t>Princeton</t>
  </si>
  <si>
    <t>WWSIN/1105555</t>
  </si>
  <si>
    <t>Hotel Excelsior-Monopol GmbH</t>
  </si>
  <si>
    <t>WWSIN/1105535</t>
  </si>
  <si>
    <t>Snigdha Das</t>
  </si>
  <si>
    <t>Le Meridien Kuala Lumpur</t>
  </si>
  <si>
    <t>WWSIN/1105494</t>
  </si>
  <si>
    <t>Hyatt Hotel Ahmedabad</t>
  </si>
  <si>
    <t>WWSIN/1105493</t>
  </si>
  <si>
    <t>WWSIN/1105492</t>
  </si>
  <si>
    <t>WWSIN/1105491</t>
  </si>
  <si>
    <t>WWSIN/1105465</t>
  </si>
  <si>
    <t>Lancaster Gate Hotel</t>
  </si>
  <si>
    <t xml:space="preserve">London </t>
  </si>
  <si>
    <t>WWSIN/1105464</t>
  </si>
  <si>
    <t>WWSIN/1105448</t>
  </si>
  <si>
    <t>Hotel Welcome Inn</t>
  </si>
  <si>
    <t>WWSIN/1105449</t>
  </si>
  <si>
    <t>WWSIN/1105446</t>
  </si>
  <si>
    <t>Best Western Skycity Hotel Gurgaon</t>
  </si>
  <si>
    <t>WWSIN/1105447</t>
  </si>
  <si>
    <t>WWSIN/1105432</t>
  </si>
  <si>
    <t xml:space="preserve">Kshitiz Shekhawat </t>
  </si>
  <si>
    <t>Manasarovar The Fern</t>
  </si>
  <si>
    <t>WWSIN/1105401</t>
  </si>
  <si>
    <t>Frankfurt am Main</t>
  </si>
  <si>
    <t>WWSIN/1105400</t>
  </si>
  <si>
    <t>WWSIN/1105364</t>
  </si>
  <si>
    <t>WWSIN/1105361</t>
  </si>
  <si>
    <t>WWSIN/1105354</t>
  </si>
  <si>
    <t>Inn At Wilmington</t>
  </si>
  <si>
    <t>Wilmington</t>
  </si>
  <si>
    <t>WWSIN/1105353</t>
  </si>
  <si>
    <t>WWSIN/1105325</t>
  </si>
  <si>
    <t>ibis Paris CDG Airport</t>
  </si>
  <si>
    <t>WWSIN/1105326</t>
  </si>
  <si>
    <t>Novotel Zurich Airport Messe</t>
  </si>
  <si>
    <t>WWSIN/1105327</t>
  </si>
  <si>
    <t>WWSIN/1105312</t>
  </si>
  <si>
    <t>Holiday Inn Zurich Messe in Zurich</t>
  </si>
  <si>
    <t>Hotel Gran Derby in Barcelona</t>
  </si>
  <si>
    <t>Sl.No</t>
  </si>
  <si>
    <t>Savings report from Apr 13 - Feb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</si>
</sst>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43" fontId="0" fillId="0" borderId="1" xfId="1" applyFont="1" applyBorder="1"/>
    <xf numFmtId="164" fontId="0" fillId="0" borderId="1" xfId="1" applyNumberFormat="1" applyFont="1" applyBorder="1"/>
    <xf numFmtId="9" fontId="0" fillId="0" borderId="1" xfId="2" applyFont="1" applyBorder="1"/>
    <xf numFmtId="14" fontId="0" fillId="0" borderId="1" xfId="0" applyNumberFormat="1" applyBorder="1"/>
    <xf numFmtId="49" fontId="0" fillId="0" borderId="1" xfId="0" applyNumberFormat="1" applyFont="1" applyBorder="1"/>
    <xf numFmtId="43" fontId="3" fillId="0" borderId="1" xfId="1" applyFont="1" applyBorder="1"/>
    <xf numFmtId="43" fontId="0" fillId="0" borderId="1" xfId="1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0" fillId="0" borderId="1" xfId="0" applyFont="1" applyFill="1" applyBorder="1"/>
    <xf numFmtId="0" fontId="4" fillId="0" borderId="1" xfId="0" applyFont="1" applyFill="1" applyBorder="1"/>
    <xf numFmtId="164" fontId="4" fillId="0" borderId="1" xfId="0" applyNumberFormat="1" applyFont="1" applyFill="1" applyBorder="1"/>
    <xf numFmtId="43" fontId="4" fillId="0" borderId="1" xfId="1" applyFont="1" applyFill="1" applyBorder="1"/>
    <xf numFmtId="164" fontId="4" fillId="0" borderId="1" xfId="1" applyNumberFormat="1" applyFont="1" applyFill="1" applyBorder="1"/>
    <xf numFmtId="9" fontId="4" fillId="0" borderId="1" xfId="2" applyFont="1" applyFill="1" applyBorder="1"/>
    <xf numFmtId="0" fontId="0" fillId="0" borderId="0" xfId="0" applyFont="1" applyFill="1"/>
    <xf numFmtId="0" fontId="0" fillId="3" borderId="1" xfId="0" applyFill="1" applyBorder="1"/>
    <xf numFmtId="14" fontId="0" fillId="3" borderId="1" xfId="0" applyNumberFormat="1" applyFill="1" applyBorder="1"/>
    <xf numFmtId="43" fontId="0" fillId="3" borderId="1" xfId="1" applyFont="1" applyFill="1" applyBorder="1"/>
    <xf numFmtId="164" fontId="0" fillId="3" borderId="1" xfId="1" applyNumberFormat="1" applyFont="1" applyFill="1" applyBorder="1"/>
    <xf numFmtId="9" fontId="0" fillId="3" borderId="1" xfId="2" applyFont="1" applyFill="1" applyBorder="1"/>
    <xf numFmtId="43" fontId="3" fillId="3" borderId="1" xfId="1" applyFont="1" applyFill="1" applyBorder="1"/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12"/>
  <sheetViews>
    <sheetView showGridLines="0" tabSelected="1" topLeftCell="H1" workbookViewId="0">
      <pane ySplit="4" topLeftCell="A5" activePane="bottomLeft" state="frozen"/>
      <selection activeCell="G1" sqref="G1"/>
      <selection pane="bottomLeft" activeCell="T23" sqref="T23:T244"/>
    </sheetView>
  </sheetViews>
  <sheetFormatPr defaultRowHeight="15" x14ac:dyDescent="0.25"/>
  <cols>
    <col min="2" max="2" width="15.7109375" bestFit="1" customWidth="1"/>
    <col min="3" max="3" width="12.5703125" bestFit="1" customWidth="1"/>
    <col min="4" max="4" width="40.85546875" bestFit="1" customWidth="1"/>
    <col min="5" max="5" width="25.85546875" bestFit="1" customWidth="1"/>
    <col min="6" max="6" width="37.42578125" bestFit="1" customWidth="1"/>
    <col min="7" max="7" width="15.7109375" bestFit="1" customWidth="1"/>
    <col min="8" max="8" width="20" bestFit="1" customWidth="1"/>
    <col min="9" max="9" width="12.42578125" bestFit="1" customWidth="1"/>
    <col min="10" max="10" width="16.7109375" bestFit="1" customWidth="1"/>
    <col min="11" max="11" width="18.28515625" bestFit="1" customWidth="1"/>
    <col min="12" max="12" width="16.7109375" bestFit="1" customWidth="1"/>
    <col min="13" max="13" width="18.28515625" bestFit="1" customWidth="1"/>
    <col min="14" max="14" width="14.85546875" bestFit="1" customWidth="1"/>
    <col min="15" max="15" width="13.28515625" bestFit="1" customWidth="1"/>
    <col min="16" max="16" width="12.5703125" bestFit="1" customWidth="1"/>
    <col min="18" max="18" width="12.5703125" bestFit="1" customWidth="1"/>
    <col min="19" max="19" width="11.5703125" bestFit="1" customWidth="1"/>
  </cols>
  <sheetData>
    <row r="2" spans="1:20" x14ac:dyDescent="0.25">
      <c r="B2" s="24" t="s">
        <v>776</v>
      </c>
      <c r="C2" s="24"/>
      <c r="D2" s="24"/>
    </row>
    <row r="4" spans="1:20" ht="30" x14ac:dyDescent="0.25">
      <c r="A4" s="9" t="s">
        <v>775</v>
      </c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9" t="s">
        <v>8</v>
      </c>
      <c r="K4" s="9" t="s">
        <v>9</v>
      </c>
      <c r="L4" s="9" t="s">
        <v>10</v>
      </c>
      <c r="M4" s="9" t="s">
        <v>11</v>
      </c>
      <c r="N4" s="9" t="s">
        <v>508</v>
      </c>
      <c r="O4" s="9" t="s">
        <v>509</v>
      </c>
      <c r="P4" s="9" t="s">
        <v>12</v>
      </c>
      <c r="Q4" s="9" t="s">
        <v>508</v>
      </c>
      <c r="R4" s="10" t="s">
        <v>510</v>
      </c>
      <c r="S4" s="9" t="s">
        <v>13</v>
      </c>
      <c r="T4" s="10" t="s">
        <v>511</v>
      </c>
    </row>
    <row r="5" spans="1:20" x14ac:dyDescent="0.25">
      <c r="A5" s="1">
        <v>1</v>
      </c>
      <c r="B5" s="1" t="s">
        <v>14</v>
      </c>
      <c r="C5" s="5">
        <v>41390</v>
      </c>
      <c r="D5" s="1" t="s">
        <v>15</v>
      </c>
      <c r="E5" s="1" t="s">
        <v>16</v>
      </c>
      <c r="F5" s="1" t="s">
        <v>17</v>
      </c>
      <c r="G5" s="1" t="s">
        <v>76</v>
      </c>
      <c r="H5" s="1"/>
      <c r="I5" s="1" t="s">
        <v>32</v>
      </c>
      <c r="J5" s="1">
        <v>142</v>
      </c>
      <c r="K5" s="1" t="s">
        <v>32</v>
      </c>
      <c r="L5" s="1">
        <v>115</v>
      </c>
      <c r="M5" s="1">
        <v>1</v>
      </c>
      <c r="N5" s="2">
        <v>1.3059000000000001</v>
      </c>
      <c r="O5" s="2">
        <f t="shared" ref="O5" si="0">(L5*M5)*N5</f>
        <v>150.17850000000001</v>
      </c>
      <c r="P5" s="2">
        <f t="shared" ref="P5" si="1">(J5-L5)*M5*N5</f>
        <v>35.259300000000003</v>
      </c>
      <c r="Q5" s="1">
        <v>55.799210000000002</v>
      </c>
      <c r="R5" s="3">
        <f t="shared" ref="R5" si="2">O5*Q5</f>
        <v>8379.8416589850003</v>
      </c>
      <c r="S5" s="3">
        <f t="shared" ref="S5" si="3">P5*Q5</f>
        <v>1967.4410851530004</v>
      </c>
      <c r="T5" s="4">
        <f t="shared" ref="T5" si="4">S5/R5</f>
        <v>0.23478260869565221</v>
      </c>
    </row>
    <row r="6" spans="1:20" x14ac:dyDescent="0.25">
      <c r="A6" s="1">
        <v>2</v>
      </c>
      <c r="B6" s="18" t="s">
        <v>18</v>
      </c>
      <c r="C6" s="19">
        <v>41383</v>
      </c>
      <c r="D6" s="18" t="s">
        <v>15</v>
      </c>
      <c r="E6" s="18" t="s">
        <v>19</v>
      </c>
      <c r="F6" s="18" t="s">
        <v>20</v>
      </c>
      <c r="G6" s="18" t="s">
        <v>21</v>
      </c>
      <c r="H6" s="18" t="s">
        <v>22</v>
      </c>
      <c r="I6" s="18" t="s">
        <v>23</v>
      </c>
      <c r="J6" s="18">
        <v>154</v>
      </c>
      <c r="K6" s="18" t="s">
        <v>23</v>
      </c>
      <c r="L6" s="18">
        <v>143</v>
      </c>
      <c r="M6" s="18">
        <v>3</v>
      </c>
      <c r="N6" s="20">
        <v>1</v>
      </c>
      <c r="O6" s="20">
        <f t="shared" ref="O6:O10" si="5">(L6*M6)*N6</f>
        <v>429</v>
      </c>
      <c r="P6" s="20">
        <f>(J6-L6)*M6*N6</f>
        <v>33</v>
      </c>
      <c r="Q6" s="18">
        <v>55.799210000000002</v>
      </c>
      <c r="R6" s="21">
        <f>O6*Q6</f>
        <v>23937.861090000002</v>
      </c>
      <c r="S6" s="21">
        <f>P6*Q6</f>
        <v>1841.37393</v>
      </c>
      <c r="T6" s="22">
        <f>S6/R6</f>
        <v>7.6923076923076913E-2</v>
      </c>
    </row>
    <row r="7" spans="1:20" x14ac:dyDescent="0.25">
      <c r="A7" s="1">
        <v>3</v>
      </c>
      <c r="B7" s="18" t="s">
        <v>24</v>
      </c>
      <c r="C7" s="19">
        <v>41383</v>
      </c>
      <c r="D7" s="18" t="s">
        <v>25</v>
      </c>
      <c r="E7" s="18" t="s">
        <v>26</v>
      </c>
      <c r="F7" s="18" t="s">
        <v>20</v>
      </c>
      <c r="G7" s="18" t="s">
        <v>21</v>
      </c>
      <c r="H7" s="18" t="s">
        <v>22</v>
      </c>
      <c r="I7" s="18" t="s">
        <v>23</v>
      </c>
      <c r="J7" s="18">
        <v>154</v>
      </c>
      <c r="K7" s="18" t="s">
        <v>23</v>
      </c>
      <c r="L7" s="18">
        <v>143</v>
      </c>
      <c r="M7" s="18">
        <v>3</v>
      </c>
      <c r="N7" s="20">
        <v>1</v>
      </c>
      <c r="O7" s="20">
        <f t="shared" si="5"/>
        <v>429</v>
      </c>
      <c r="P7" s="20">
        <f t="shared" ref="P7:P10" si="6">(J7-L7)*M7*N7</f>
        <v>33</v>
      </c>
      <c r="Q7" s="18">
        <v>55.799210000000002</v>
      </c>
      <c r="R7" s="21">
        <f t="shared" ref="R7:R10" si="7">O7*Q7</f>
        <v>23937.861090000002</v>
      </c>
      <c r="S7" s="21">
        <f t="shared" ref="S7:S10" si="8">P7*Q7</f>
        <v>1841.37393</v>
      </c>
      <c r="T7" s="22">
        <f t="shared" ref="T7:T10" si="9">S7/R7</f>
        <v>7.6923076923076913E-2</v>
      </c>
    </row>
    <row r="8" spans="1:20" x14ac:dyDescent="0.25">
      <c r="A8" s="1">
        <v>4</v>
      </c>
      <c r="B8" s="1" t="s">
        <v>27</v>
      </c>
      <c r="C8" s="5">
        <v>41382</v>
      </c>
      <c r="D8" s="1" t="s">
        <v>15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>
        <v>68</v>
      </c>
      <c r="K8" s="1" t="s">
        <v>32</v>
      </c>
      <c r="L8" s="1">
        <v>66</v>
      </c>
      <c r="M8" s="1">
        <v>3</v>
      </c>
      <c r="N8" s="2">
        <v>1.3059000000000001</v>
      </c>
      <c r="O8" s="2">
        <f t="shared" si="5"/>
        <v>258.56819999999999</v>
      </c>
      <c r="P8" s="2">
        <f t="shared" si="6"/>
        <v>7.8353999999999999</v>
      </c>
      <c r="Q8" s="1">
        <v>55.799210000000002</v>
      </c>
      <c r="R8" s="3">
        <f t="shared" si="7"/>
        <v>14427.901291122</v>
      </c>
      <c r="S8" s="3">
        <f t="shared" si="8"/>
        <v>437.209130034</v>
      </c>
      <c r="T8" s="4">
        <f t="shared" si="9"/>
        <v>3.0303030303030304E-2</v>
      </c>
    </row>
    <row r="9" spans="1:20" x14ac:dyDescent="0.25">
      <c r="A9" s="1">
        <v>5</v>
      </c>
      <c r="B9" s="1" t="s">
        <v>33</v>
      </c>
      <c r="C9" s="5">
        <v>41382</v>
      </c>
      <c r="D9" s="1" t="s">
        <v>15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>
        <v>68</v>
      </c>
      <c r="K9" s="1" t="s">
        <v>32</v>
      </c>
      <c r="L9" s="1">
        <v>66</v>
      </c>
      <c r="M9" s="1">
        <v>2</v>
      </c>
      <c r="N9" s="2">
        <v>1.3059000000000001</v>
      </c>
      <c r="O9" s="2">
        <f t="shared" si="5"/>
        <v>172.37880000000001</v>
      </c>
      <c r="P9" s="2">
        <f t="shared" si="6"/>
        <v>5.2236000000000002</v>
      </c>
      <c r="Q9" s="1">
        <v>55.799210000000002</v>
      </c>
      <c r="R9" s="3">
        <f t="shared" si="7"/>
        <v>9618.6008607480017</v>
      </c>
      <c r="S9" s="3">
        <f t="shared" si="8"/>
        <v>291.472753356</v>
      </c>
      <c r="T9" s="4">
        <f t="shared" si="9"/>
        <v>3.0303030303030297E-2</v>
      </c>
    </row>
    <row r="10" spans="1:20" x14ac:dyDescent="0.25">
      <c r="A10" s="1">
        <v>6</v>
      </c>
      <c r="B10" s="1" t="s">
        <v>34</v>
      </c>
      <c r="C10" s="5">
        <v>41380</v>
      </c>
      <c r="D10" s="1" t="s">
        <v>25</v>
      </c>
      <c r="E10" s="1" t="s">
        <v>35</v>
      </c>
      <c r="F10" s="1" t="s">
        <v>36</v>
      </c>
      <c r="G10" s="1" t="s">
        <v>472</v>
      </c>
      <c r="H10" s="1" t="s">
        <v>88</v>
      </c>
      <c r="I10" s="1" t="s">
        <v>89</v>
      </c>
      <c r="J10" s="1">
        <v>6485</v>
      </c>
      <c r="K10" s="1" t="s">
        <v>89</v>
      </c>
      <c r="L10" s="1">
        <v>5585</v>
      </c>
      <c r="M10" s="1">
        <v>2</v>
      </c>
      <c r="N10" s="2">
        <v>1.83E-2</v>
      </c>
      <c r="O10" s="2">
        <f t="shared" si="5"/>
        <v>204.411</v>
      </c>
      <c r="P10" s="2">
        <f t="shared" si="6"/>
        <v>32.94</v>
      </c>
      <c r="Q10" s="1">
        <v>55.799210000000002</v>
      </c>
      <c r="R10" s="3">
        <f t="shared" si="7"/>
        <v>11405.97231531</v>
      </c>
      <c r="S10" s="3">
        <f t="shared" si="8"/>
        <v>1838.0259773999999</v>
      </c>
      <c r="T10" s="4">
        <f t="shared" si="9"/>
        <v>0.16114592658907786</v>
      </c>
    </row>
    <row r="11" spans="1:20" x14ac:dyDescent="0.25">
      <c r="A11" s="1">
        <v>7</v>
      </c>
      <c r="B11" s="1" t="s">
        <v>37</v>
      </c>
      <c r="C11" s="5">
        <v>41373</v>
      </c>
      <c r="D11" s="1" t="s">
        <v>15</v>
      </c>
      <c r="E11" s="1" t="s">
        <v>38</v>
      </c>
      <c r="F11" s="1" t="s">
        <v>39</v>
      </c>
      <c r="G11" s="1" t="s">
        <v>40</v>
      </c>
      <c r="H11" s="1" t="s">
        <v>41</v>
      </c>
      <c r="I11" s="1" t="s">
        <v>32</v>
      </c>
      <c r="J11" s="1">
        <v>171</v>
      </c>
      <c r="K11" s="1" t="s">
        <v>32</v>
      </c>
      <c r="L11" s="1">
        <v>161</v>
      </c>
      <c r="M11" s="1">
        <v>3</v>
      </c>
      <c r="N11" s="2">
        <v>1.3059000000000001</v>
      </c>
      <c r="O11" s="2">
        <f t="shared" ref="O11:O18" si="10">(L11*M11)*N11</f>
        <v>630.74970000000008</v>
      </c>
      <c r="P11" s="2">
        <f t="shared" ref="P11:P18" si="11">(J11-L11)*M11*N11</f>
        <v>39.177</v>
      </c>
      <c r="Q11" s="1">
        <v>55.799210000000002</v>
      </c>
      <c r="R11" s="3">
        <f t="shared" ref="R11:R17" si="12">O11*Q11</f>
        <v>35195.334967737006</v>
      </c>
      <c r="S11" s="3">
        <f t="shared" ref="S11:S17" si="13">P11*Q11</f>
        <v>2186.04565017</v>
      </c>
      <c r="T11" s="4">
        <f t="shared" ref="T11:T17" si="14">S11/R11</f>
        <v>6.2111801242236017E-2</v>
      </c>
    </row>
    <row r="12" spans="1:20" x14ac:dyDescent="0.25">
      <c r="A12" s="1">
        <v>8</v>
      </c>
      <c r="B12" s="1" t="s">
        <v>42</v>
      </c>
      <c r="C12" s="5">
        <v>41373</v>
      </c>
      <c r="D12" s="1" t="s">
        <v>15</v>
      </c>
      <c r="E12" s="1" t="s">
        <v>43</v>
      </c>
      <c r="F12" s="1" t="s">
        <v>44</v>
      </c>
      <c r="G12" s="1" t="s">
        <v>40</v>
      </c>
      <c r="H12" s="1" t="s">
        <v>41</v>
      </c>
      <c r="I12" s="1" t="s">
        <v>32</v>
      </c>
      <c r="J12" s="1">
        <v>215</v>
      </c>
      <c r="K12" s="1" t="s">
        <v>32</v>
      </c>
      <c r="L12" s="1">
        <v>205</v>
      </c>
      <c r="M12" s="1">
        <v>4</v>
      </c>
      <c r="N12" s="2">
        <v>1.3059000000000001</v>
      </c>
      <c r="O12" s="2">
        <f t="shared" si="10"/>
        <v>1070.838</v>
      </c>
      <c r="P12" s="2">
        <f t="shared" si="11"/>
        <v>52.236000000000004</v>
      </c>
      <c r="Q12" s="1">
        <v>55.799210000000002</v>
      </c>
      <c r="R12" s="3">
        <f t="shared" si="12"/>
        <v>59751.914437979998</v>
      </c>
      <c r="S12" s="3">
        <f t="shared" si="13"/>
        <v>2914.7275335600002</v>
      </c>
      <c r="T12" s="4">
        <f t="shared" si="14"/>
        <v>4.878048780487805E-2</v>
      </c>
    </row>
    <row r="13" spans="1:20" x14ac:dyDescent="0.25">
      <c r="A13" s="1">
        <v>9</v>
      </c>
      <c r="B13" s="1" t="s">
        <v>45</v>
      </c>
      <c r="C13" s="5">
        <v>41373</v>
      </c>
      <c r="D13" s="1" t="s">
        <v>15</v>
      </c>
      <c r="E13" s="1" t="s">
        <v>43</v>
      </c>
      <c r="F13" s="1" t="s">
        <v>39</v>
      </c>
      <c r="G13" s="1" t="s">
        <v>40</v>
      </c>
      <c r="H13" s="1" t="s">
        <v>41</v>
      </c>
      <c r="I13" s="1" t="s">
        <v>32</v>
      </c>
      <c r="J13" s="1">
        <v>171</v>
      </c>
      <c r="K13" s="1" t="s">
        <v>32</v>
      </c>
      <c r="L13" s="1">
        <v>161</v>
      </c>
      <c r="M13" s="1">
        <v>3</v>
      </c>
      <c r="N13" s="2">
        <v>1.3059000000000001</v>
      </c>
      <c r="O13" s="2">
        <f t="shared" si="10"/>
        <v>630.74970000000008</v>
      </c>
      <c r="P13" s="2">
        <f t="shared" si="11"/>
        <v>39.177</v>
      </c>
      <c r="Q13" s="1">
        <v>55.799210000000002</v>
      </c>
      <c r="R13" s="3">
        <f t="shared" si="12"/>
        <v>35195.334967737006</v>
      </c>
      <c r="S13" s="3">
        <f t="shared" si="13"/>
        <v>2186.04565017</v>
      </c>
      <c r="T13" s="4">
        <f t="shared" si="14"/>
        <v>6.2111801242236017E-2</v>
      </c>
    </row>
    <row r="14" spans="1:20" x14ac:dyDescent="0.25">
      <c r="A14" s="1">
        <v>10</v>
      </c>
      <c r="B14" s="1" t="s">
        <v>46</v>
      </c>
      <c r="C14" s="5">
        <v>41372</v>
      </c>
      <c r="D14" s="1" t="s">
        <v>15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23</v>
      </c>
      <c r="J14" s="1">
        <v>145</v>
      </c>
      <c r="K14" s="1" t="s">
        <v>23</v>
      </c>
      <c r="L14" s="1">
        <v>139</v>
      </c>
      <c r="M14" s="1">
        <v>1</v>
      </c>
      <c r="N14" s="2">
        <v>1</v>
      </c>
      <c r="O14" s="2">
        <f t="shared" si="10"/>
        <v>139</v>
      </c>
      <c r="P14" s="2">
        <f t="shared" si="11"/>
        <v>6</v>
      </c>
      <c r="Q14" s="1">
        <v>55.799210000000002</v>
      </c>
      <c r="R14" s="3">
        <f t="shared" si="12"/>
        <v>7756.0901899999999</v>
      </c>
      <c r="S14" s="3">
        <f t="shared" si="13"/>
        <v>334.79525999999998</v>
      </c>
      <c r="T14" s="4">
        <f t="shared" si="14"/>
        <v>4.3165467625899276E-2</v>
      </c>
    </row>
    <row r="15" spans="1:20" x14ac:dyDescent="0.25">
      <c r="A15" s="1">
        <v>11</v>
      </c>
      <c r="B15" s="1" t="s">
        <v>51</v>
      </c>
      <c r="C15" s="5">
        <v>41368</v>
      </c>
      <c r="D15" s="1" t="s">
        <v>25</v>
      </c>
      <c r="E15" s="1" t="s">
        <v>26</v>
      </c>
      <c r="F15" s="1" t="s">
        <v>52</v>
      </c>
      <c r="G15" s="1" t="s">
        <v>53</v>
      </c>
      <c r="H15" s="1" t="s">
        <v>54</v>
      </c>
      <c r="I15" s="1" t="s">
        <v>23</v>
      </c>
      <c r="J15" s="1">
        <v>100</v>
      </c>
      <c r="K15" s="1" t="s">
        <v>23</v>
      </c>
      <c r="L15" s="1">
        <v>96.1</v>
      </c>
      <c r="M15" s="1">
        <v>2</v>
      </c>
      <c r="N15" s="2">
        <v>1</v>
      </c>
      <c r="O15" s="2">
        <f t="shared" si="10"/>
        <v>192.2</v>
      </c>
      <c r="P15" s="2">
        <f t="shared" si="11"/>
        <v>7.8000000000000114</v>
      </c>
      <c r="Q15" s="1">
        <v>55.799210000000002</v>
      </c>
      <c r="R15" s="3">
        <f t="shared" si="12"/>
        <v>10724.608162</v>
      </c>
      <c r="S15" s="3">
        <f t="shared" si="13"/>
        <v>435.23383800000067</v>
      </c>
      <c r="T15" s="4">
        <f t="shared" si="14"/>
        <v>4.0582726326743035E-2</v>
      </c>
    </row>
    <row r="16" spans="1:20" x14ac:dyDescent="0.25">
      <c r="A16" s="1">
        <v>12</v>
      </c>
      <c r="B16" s="1" t="s">
        <v>55</v>
      </c>
      <c r="C16" s="5">
        <v>41424</v>
      </c>
      <c r="D16" s="1" t="s">
        <v>15</v>
      </c>
      <c r="E16" s="1" t="s">
        <v>56</v>
      </c>
      <c r="F16" s="1" t="s">
        <v>57</v>
      </c>
      <c r="G16" s="1" t="s">
        <v>58</v>
      </c>
      <c r="H16" s="1" t="s">
        <v>50</v>
      </c>
      <c r="I16" s="1" t="s">
        <v>23</v>
      </c>
      <c r="J16" s="1">
        <v>460</v>
      </c>
      <c r="K16" s="1" t="s">
        <v>23</v>
      </c>
      <c r="L16" s="1">
        <v>350</v>
      </c>
      <c r="M16" s="1">
        <v>5</v>
      </c>
      <c r="N16" s="2">
        <v>1</v>
      </c>
      <c r="O16" s="2">
        <f t="shared" si="10"/>
        <v>1750</v>
      </c>
      <c r="P16" s="2">
        <f t="shared" si="11"/>
        <v>550</v>
      </c>
      <c r="Q16" s="1">
        <v>55.799210000000002</v>
      </c>
      <c r="R16" s="3">
        <f t="shared" si="12"/>
        <v>97648.617500000008</v>
      </c>
      <c r="S16" s="3">
        <f t="shared" si="13"/>
        <v>30689.565500000001</v>
      </c>
      <c r="T16" s="4">
        <f t="shared" si="14"/>
        <v>0.31428571428571428</v>
      </c>
    </row>
    <row r="17" spans="1:20" x14ac:dyDescent="0.25">
      <c r="A17" s="1">
        <v>13</v>
      </c>
      <c r="B17" s="1" t="s">
        <v>59</v>
      </c>
      <c r="C17" s="5">
        <v>41422</v>
      </c>
      <c r="D17" s="1" t="s">
        <v>15</v>
      </c>
      <c r="E17" s="1" t="s">
        <v>60</v>
      </c>
      <c r="F17" s="1" t="s">
        <v>61</v>
      </c>
      <c r="G17" s="1" t="s">
        <v>62</v>
      </c>
      <c r="H17" s="1" t="s">
        <v>50</v>
      </c>
      <c r="I17" s="1" t="s">
        <v>23</v>
      </c>
      <c r="J17" s="1">
        <v>238</v>
      </c>
      <c r="K17" s="1" t="s">
        <v>23</v>
      </c>
      <c r="L17" s="1">
        <v>228</v>
      </c>
      <c r="M17" s="1">
        <v>1</v>
      </c>
      <c r="N17" s="2">
        <v>1</v>
      </c>
      <c r="O17" s="2">
        <f t="shared" si="10"/>
        <v>228</v>
      </c>
      <c r="P17" s="2">
        <f t="shared" si="11"/>
        <v>10</v>
      </c>
      <c r="Q17" s="1">
        <v>55.799210000000002</v>
      </c>
      <c r="R17" s="3">
        <f t="shared" si="12"/>
        <v>12722.219880000001</v>
      </c>
      <c r="S17" s="3">
        <f t="shared" si="13"/>
        <v>557.99210000000005</v>
      </c>
      <c r="T17" s="4">
        <f t="shared" si="14"/>
        <v>4.3859649122807022E-2</v>
      </c>
    </row>
    <row r="18" spans="1:20" x14ac:dyDescent="0.25">
      <c r="A18" s="1">
        <v>14</v>
      </c>
      <c r="B18" s="1" t="s">
        <v>63</v>
      </c>
      <c r="C18" s="5">
        <v>41421</v>
      </c>
      <c r="D18" s="1" t="s">
        <v>15</v>
      </c>
      <c r="E18" s="1" t="s">
        <v>38</v>
      </c>
      <c r="F18" s="1" t="s">
        <v>64</v>
      </c>
      <c r="G18" s="1" t="s">
        <v>21</v>
      </c>
      <c r="H18" s="1" t="s">
        <v>21</v>
      </c>
      <c r="I18" s="1" t="s">
        <v>23</v>
      </c>
      <c r="J18" s="1">
        <v>171</v>
      </c>
      <c r="K18" s="1" t="s">
        <v>23</v>
      </c>
      <c r="L18" s="1">
        <v>161</v>
      </c>
      <c r="M18" s="1">
        <v>1</v>
      </c>
      <c r="N18" s="2">
        <v>1</v>
      </c>
      <c r="O18" s="2">
        <f t="shared" si="10"/>
        <v>161</v>
      </c>
      <c r="P18" s="2">
        <f t="shared" si="11"/>
        <v>10</v>
      </c>
      <c r="Q18" s="1">
        <v>55.799210000000002</v>
      </c>
      <c r="R18" s="3">
        <f t="shared" ref="R18" si="15">O18*Q18</f>
        <v>8983.67281</v>
      </c>
      <c r="S18" s="3">
        <f t="shared" ref="S18" si="16">P18*Q18</f>
        <v>557.99210000000005</v>
      </c>
      <c r="T18" s="4">
        <f t="shared" ref="T18" si="17">S18/R18</f>
        <v>6.2111801242236031E-2</v>
      </c>
    </row>
    <row r="19" spans="1:20" x14ac:dyDescent="0.25">
      <c r="A19" s="1">
        <v>15</v>
      </c>
      <c r="B19" s="1" t="s">
        <v>65</v>
      </c>
      <c r="C19" s="5">
        <v>41424</v>
      </c>
      <c r="D19" s="1" t="s">
        <v>15</v>
      </c>
      <c r="E19" s="1" t="s">
        <v>60</v>
      </c>
      <c r="F19" s="1" t="s">
        <v>61</v>
      </c>
      <c r="G19" s="1" t="s">
        <v>62</v>
      </c>
      <c r="H19" s="1" t="s">
        <v>50</v>
      </c>
      <c r="I19" s="1" t="s">
        <v>23</v>
      </c>
      <c r="J19" s="1">
        <v>168</v>
      </c>
      <c r="K19" s="1" t="s">
        <v>23</v>
      </c>
      <c r="L19" s="1">
        <v>158</v>
      </c>
      <c r="M19" s="1">
        <v>1</v>
      </c>
      <c r="N19" s="2">
        <v>1</v>
      </c>
      <c r="O19" s="2">
        <f t="shared" ref="O19:O82" si="18">(L19*M19)*N19</f>
        <v>158</v>
      </c>
      <c r="P19" s="2">
        <f t="shared" ref="P19:P82" si="19">(J19-L19)*M19*N19</f>
        <v>10</v>
      </c>
      <c r="Q19" s="1">
        <v>55.799210000000002</v>
      </c>
      <c r="R19" s="3">
        <f t="shared" ref="R19:R82" si="20">O19*Q19</f>
        <v>8816.2751800000005</v>
      </c>
      <c r="S19" s="3">
        <f t="shared" ref="S19:S82" si="21">P19*Q19</f>
        <v>557.99210000000005</v>
      </c>
      <c r="T19" s="4">
        <f t="shared" ref="T19:T82" si="22">S19/R19</f>
        <v>6.3291139240506333E-2</v>
      </c>
    </row>
    <row r="20" spans="1:20" x14ac:dyDescent="0.25">
      <c r="A20" s="1">
        <v>16</v>
      </c>
      <c r="B20" s="1" t="s">
        <v>66</v>
      </c>
      <c r="C20" s="5">
        <v>41417</v>
      </c>
      <c r="D20" s="1" t="s">
        <v>15</v>
      </c>
      <c r="E20" s="1" t="s">
        <v>67</v>
      </c>
      <c r="F20" s="1" t="s">
        <v>68</v>
      </c>
      <c r="G20" s="1" t="s">
        <v>40</v>
      </c>
      <c r="H20" s="1" t="s">
        <v>41</v>
      </c>
      <c r="I20" s="1" t="s">
        <v>32</v>
      </c>
      <c r="J20" s="1">
        <v>186</v>
      </c>
      <c r="K20" s="1" t="s">
        <v>32</v>
      </c>
      <c r="L20" s="1">
        <v>176</v>
      </c>
      <c r="M20" s="1">
        <v>5</v>
      </c>
      <c r="N20" s="2">
        <v>1.3059000000000001</v>
      </c>
      <c r="O20" s="2">
        <f t="shared" si="18"/>
        <v>1149.192</v>
      </c>
      <c r="P20" s="2">
        <f t="shared" si="19"/>
        <v>65.295000000000002</v>
      </c>
      <c r="Q20" s="1">
        <v>55.799210000000002</v>
      </c>
      <c r="R20" s="3">
        <f t="shared" si="20"/>
        <v>64124.005738320004</v>
      </c>
      <c r="S20" s="3">
        <f t="shared" si="21"/>
        <v>3643.4094169500004</v>
      </c>
      <c r="T20" s="4">
        <f t="shared" si="22"/>
        <v>5.6818181818181823E-2</v>
      </c>
    </row>
    <row r="21" spans="1:20" x14ac:dyDescent="0.25">
      <c r="A21" s="1">
        <v>17</v>
      </c>
      <c r="B21" s="1" t="s">
        <v>69</v>
      </c>
      <c r="C21" s="5">
        <v>41416</v>
      </c>
      <c r="D21" s="1" t="s">
        <v>15</v>
      </c>
      <c r="E21" s="1" t="s">
        <v>60</v>
      </c>
      <c r="F21" s="1" t="s">
        <v>70</v>
      </c>
      <c r="G21" s="1" t="s">
        <v>62</v>
      </c>
      <c r="H21" s="1" t="s">
        <v>50</v>
      </c>
      <c r="I21" s="1" t="s">
        <v>23</v>
      </c>
      <c r="J21" s="1">
        <v>190</v>
      </c>
      <c r="K21" s="1" t="s">
        <v>23</v>
      </c>
      <c r="L21" s="1">
        <v>180</v>
      </c>
      <c r="M21" s="1">
        <v>2</v>
      </c>
      <c r="N21" s="2">
        <v>1</v>
      </c>
      <c r="O21" s="2">
        <f t="shared" si="18"/>
        <v>360</v>
      </c>
      <c r="P21" s="2">
        <f t="shared" si="19"/>
        <v>20</v>
      </c>
      <c r="Q21" s="1">
        <v>55.799210000000002</v>
      </c>
      <c r="R21" s="3">
        <f t="shared" si="20"/>
        <v>20087.7156</v>
      </c>
      <c r="S21" s="3">
        <f t="shared" si="21"/>
        <v>1115.9842000000001</v>
      </c>
      <c r="T21" s="4">
        <f t="shared" si="22"/>
        <v>5.5555555555555559E-2</v>
      </c>
    </row>
    <row r="22" spans="1:20" x14ac:dyDescent="0.25">
      <c r="A22" s="1">
        <v>18</v>
      </c>
      <c r="B22" s="1" t="s">
        <v>71</v>
      </c>
      <c r="C22" s="5">
        <v>41413</v>
      </c>
      <c r="D22" s="1" t="s">
        <v>15</v>
      </c>
      <c r="E22" s="1" t="s">
        <v>72</v>
      </c>
      <c r="F22" s="1" t="s">
        <v>73</v>
      </c>
      <c r="G22" s="1" t="s">
        <v>30</v>
      </c>
      <c r="H22" s="1" t="s">
        <v>31</v>
      </c>
      <c r="I22" s="1" t="s">
        <v>32</v>
      </c>
      <c r="J22" s="1">
        <v>219</v>
      </c>
      <c r="K22" s="1" t="s">
        <v>32</v>
      </c>
      <c r="L22" s="1">
        <v>201</v>
      </c>
      <c r="M22" s="1">
        <v>1</v>
      </c>
      <c r="N22" s="2">
        <v>1.3059000000000001</v>
      </c>
      <c r="O22" s="2">
        <f t="shared" si="18"/>
        <v>262.48590000000002</v>
      </c>
      <c r="P22" s="2">
        <f t="shared" si="19"/>
        <v>23.5062</v>
      </c>
      <c r="Q22" s="1">
        <v>55.799210000000002</v>
      </c>
      <c r="R22" s="3">
        <f t="shared" si="20"/>
        <v>14646.505856139001</v>
      </c>
      <c r="S22" s="3">
        <f t="shared" si="21"/>
        <v>1311.6273901019999</v>
      </c>
      <c r="T22" s="4">
        <f t="shared" si="22"/>
        <v>8.955223880597013E-2</v>
      </c>
    </row>
    <row r="23" spans="1:20" x14ac:dyDescent="0.25">
      <c r="A23" s="1">
        <v>19</v>
      </c>
      <c r="B23" s="18" t="s">
        <v>74</v>
      </c>
      <c r="C23" s="19">
        <v>41413</v>
      </c>
      <c r="D23" s="18" t="s">
        <v>15</v>
      </c>
      <c r="E23" s="18" t="s">
        <v>72</v>
      </c>
      <c r="F23" s="18" t="s">
        <v>75</v>
      </c>
      <c r="G23" s="18" t="s">
        <v>76</v>
      </c>
      <c r="H23" s="18" t="s">
        <v>77</v>
      </c>
      <c r="I23" s="18" t="s">
        <v>32</v>
      </c>
      <c r="J23" s="18">
        <v>200</v>
      </c>
      <c r="K23" s="18" t="s">
        <v>32</v>
      </c>
      <c r="L23" s="18">
        <v>200</v>
      </c>
      <c r="M23" s="18">
        <v>1</v>
      </c>
      <c r="N23" s="20">
        <v>1.3059000000000001</v>
      </c>
      <c r="O23" s="20">
        <f t="shared" si="18"/>
        <v>261.18</v>
      </c>
      <c r="P23" s="20">
        <f t="shared" si="19"/>
        <v>0</v>
      </c>
      <c r="Q23" s="18">
        <v>55.799210000000002</v>
      </c>
      <c r="R23" s="21">
        <f t="shared" si="20"/>
        <v>14573.637667800002</v>
      </c>
      <c r="S23" s="21">
        <f t="shared" si="21"/>
        <v>0</v>
      </c>
      <c r="T23" s="22">
        <f t="shared" si="22"/>
        <v>0</v>
      </c>
    </row>
    <row r="24" spans="1:20" x14ac:dyDescent="0.25">
      <c r="A24" s="1">
        <v>20</v>
      </c>
      <c r="B24" s="1" t="s">
        <v>78</v>
      </c>
      <c r="C24" s="5">
        <v>41413</v>
      </c>
      <c r="D24" s="1" t="s">
        <v>15</v>
      </c>
      <c r="E24" s="1" t="s">
        <v>72</v>
      </c>
      <c r="F24" s="1" t="s">
        <v>79</v>
      </c>
      <c r="G24" s="1" t="s">
        <v>76</v>
      </c>
      <c r="H24" s="1" t="s">
        <v>77</v>
      </c>
      <c r="I24" s="1" t="s">
        <v>32</v>
      </c>
      <c r="J24" s="1">
        <v>290</v>
      </c>
      <c r="K24" s="1" t="s">
        <v>32</v>
      </c>
      <c r="L24" s="1">
        <v>276</v>
      </c>
      <c r="M24" s="1">
        <v>1</v>
      </c>
      <c r="N24" s="2">
        <v>1.3059000000000001</v>
      </c>
      <c r="O24" s="2">
        <f t="shared" si="18"/>
        <v>360.42840000000001</v>
      </c>
      <c r="P24" s="2">
        <f t="shared" si="19"/>
        <v>18.282600000000002</v>
      </c>
      <c r="Q24" s="1">
        <v>55.799210000000002</v>
      </c>
      <c r="R24" s="3">
        <f t="shared" si="20"/>
        <v>20111.619981564003</v>
      </c>
      <c r="S24" s="3">
        <f t="shared" si="21"/>
        <v>1020.1546367460002</v>
      </c>
      <c r="T24" s="4">
        <f t="shared" si="22"/>
        <v>5.0724637681159424E-2</v>
      </c>
    </row>
    <row r="25" spans="1:20" x14ac:dyDescent="0.25">
      <c r="A25" s="1">
        <v>21</v>
      </c>
      <c r="B25" s="1" t="s">
        <v>80</v>
      </c>
      <c r="C25" s="5">
        <v>41411</v>
      </c>
      <c r="D25" s="1" t="s">
        <v>15</v>
      </c>
      <c r="E25" s="1" t="s">
        <v>72</v>
      </c>
      <c r="F25" s="1" t="s">
        <v>81</v>
      </c>
      <c r="G25" s="1" t="s">
        <v>82</v>
      </c>
      <c r="H25" s="1" t="s">
        <v>83</v>
      </c>
      <c r="I25" s="1" t="s">
        <v>32</v>
      </c>
      <c r="J25" s="1">
        <v>129</v>
      </c>
      <c r="K25" s="1" t="s">
        <v>32</v>
      </c>
      <c r="L25" s="1">
        <v>118</v>
      </c>
      <c r="M25" s="1">
        <v>1</v>
      </c>
      <c r="N25" s="2">
        <v>1.3059000000000001</v>
      </c>
      <c r="O25" s="2">
        <f t="shared" si="18"/>
        <v>154.09620000000001</v>
      </c>
      <c r="P25" s="2">
        <f t="shared" si="19"/>
        <v>14.3649</v>
      </c>
      <c r="Q25" s="1">
        <v>55.799210000000002</v>
      </c>
      <c r="R25" s="3">
        <f t="shared" si="20"/>
        <v>8598.4462240020002</v>
      </c>
      <c r="S25" s="3">
        <f t="shared" si="21"/>
        <v>801.55007172900002</v>
      </c>
      <c r="T25" s="4">
        <f t="shared" si="22"/>
        <v>9.3220338983050849E-2</v>
      </c>
    </row>
    <row r="26" spans="1:20" x14ac:dyDescent="0.25">
      <c r="A26" s="1">
        <v>22</v>
      </c>
      <c r="B26" s="1" t="s">
        <v>84</v>
      </c>
      <c r="C26" s="5">
        <v>41411</v>
      </c>
      <c r="D26" s="1" t="s">
        <v>15</v>
      </c>
      <c r="E26" s="1" t="s">
        <v>72</v>
      </c>
      <c r="F26" s="1" t="s">
        <v>73</v>
      </c>
      <c r="G26" s="1" t="s">
        <v>30</v>
      </c>
      <c r="H26" s="1" t="s">
        <v>31</v>
      </c>
      <c r="I26" s="1" t="s">
        <v>32</v>
      </c>
      <c r="J26" s="1">
        <v>219</v>
      </c>
      <c r="K26" s="1" t="s">
        <v>32</v>
      </c>
      <c r="L26" s="1">
        <v>201</v>
      </c>
      <c r="M26" s="1">
        <v>1</v>
      </c>
      <c r="N26" s="2">
        <v>1.3059000000000001</v>
      </c>
      <c r="O26" s="2">
        <f t="shared" si="18"/>
        <v>262.48590000000002</v>
      </c>
      <c r="P26" s="2">
        <f t="shared" si="19"/>
        <v>23.5062</v>
      </c>
      <c r="Q26" s="1">
        <v>55.799210000000002</v>
      </c>
      <c r="R26" s="3">
        <f t="shared" si="20"/>
        <v>14646.505856139001</v>
      </c>
      <c r="S26" s="3">
        <f t="shared" si="21"/>
        <v>1311.6273901019999</v>
      </c>
      <c r="T26" s="4">
        <f t="shared" si="22"/>
        <v>8.955223880597013E-2</v>
      </c>
    </row>
    <row r="27" spans="1:20" x14ac:dyDescent="0.25">
      <c r="A27" s="1">
        <v>23</v>
      </c>
      <c r="B27" s="1" t="s">
        <v>85</v>
      </c>
      <c r="C27" s="5">
        <v>41411</v>
      </c>
      <c r="D27" s="1" t="s">
        <v>25</v>
      </c>
      <c r="E27" s="1" t="s">
        <v>86</v>
      </c>
      <c r="F27" s="1" t="s">
        <v>36</v>
      </c>
      <c r="G27" s="1" t="s">
        <v>87</v>
      </c>
      <c r="H27" s="1" t="s">
        <v>88</v>
      </c>
      <c r="I27" s="1" t="s">
        <v>89</v>
      </c>
      <c r="J27" s="1">
        <v>3000</v>
      </c>
      <c r="K27" s="1" t="s">
        <v>89</v>
      </c>
      <c r="L27" s="1">
        <v>2810</v>
      </c>
      <c r="M27" s="1">
        <v>1</v>
      </c>
      <c r="N27" s="2">
        <v>1.83E-2</v>
      </c>
      <c r="O27" s="2">
        <f t="shared" si="18"/>
        <v>51.423000000000002</v>
      </c>
      <c r="P27" s="2">
        <f t="shared" si="19"/>
        <v>3.4769999999999999</v>
      </c>
      <c r="Q27" s="1">
        <v>55.799210000000002</v>
      </c>
      <c r="R27" s="3">
        <f t="shared" si="20"/>
        <v>2869.3627758300004</v>
      </c>
      <c r="S27" s="3">
        <f t="shared" si="21"/>
        <v>194.01385317</v>
      </c>
      <c r="T27" s="4">
        <f t="shared" si="22"/>
        <v>6.7615658362989314E-2</v>
      </c>
    </row>
    <row r="28" spans="1:20" x14ac:dyDescent="0.25">
      <c r="A28" s="1">
        <v>24</v>
      </c>
      <c r="B28" s="1" t="s">
        <v>90</v>
      </c>
      <c r="C28" s="5">
        <v>41410</v>
      </c>
      <c r="D28" s="1" t="s">
        <v>15</v>
      </c>
      <c r="E28" s="1" t="s">
        <v>60</v>
      </c>
      <c r="F28" s="1" t="s">
        <v>91</v>
      </c>
      <c r="G28" s="1" t="s">
        <v>92</v>
      </c>
      <c r="H28" s="1" t="s">
        <v>50</v>
      </c>
      <c r="I28" s="1" t="s">
        <v>23</v>
      </c>
      <c r="J28" s="1">
        <v>160</v>
      </c>
      <c r="K28" s="1" t="s">
        <v>23</v>
      </c>
      <c r="L28" s="1">
        <v>150</v>
      </c>
      <c r="M28" s="1">
        <v>2</v>
      </c>
      <c r="N28" s="2">
        <v>1</v>
      </c>
      <c r="O28" s="2">
        <f t="shared" si="18"/>
        <v>300</v>
      </c>
      <c r="P28" s="2">
        <f t="shared" si="19"/>
        <v>20</v>
      </c>
      <c r="Q28" s="1">
        <v>55.799210000000002</v>
      </c>
      <c r="R28" s="3">
        <f t="shared" si="20"/>
        <v>16739.762999999999</v>
      </c>
      <c r="S28" s="3">
        <f t="shared" si="21"/>
        <v>1115.9842000000001</v>
      </c>
      <c r="T28" s="4">
        <f t="shared" si="22"/>
        <v>6.666666666666668E-2</v>
      </c>
    </row>
    <row r="29" spans="1:20" x14ac:dyDescent="0.25">
      <c r="A29" s="1">
        <v>25</v>
      </c>
      <c r="B29" s="1" t="s">
        <v>93</v>
      </c>
      <c r="C29" s="5">
        <v>41410</v>
      </c>
      <c r="D29" s="1" t="s">
        <v>15</v>
      </c>
      <c r="E29" s="1" t="s">
        <v>60</v>
      </c>
      <c r="F29" s="1" t="s">
        <v>94</v>
      </c>
      <c r="G29" s="1" t="s">
        <v>95</v>
      </c>
      <c r="H29" s="1" t="s">
        <v>83</v>
      </c>
      <c r="I29" s="1" t="s">
        <v>32</v>
      </c>
      <c r="J29" s="1">
        <v>189</v>
      </c>
      <c r="K29" s="1" t="s">
        <v>32</v>
      </c>
      <c r="L29" s="1">
        <v>179</v>
      </c>
      <c r="M29" s="1">
        <v>2</v>
      </c>
      <c r="N29" s="2">
        <v>1.3059000000000001</v>
      </c>
      <c r="O29" s="2">
        <f t="shared" si="18"/>
        <v>467.51220000000001</v>
      </c>
      <c r="P29" s="2">
        <f t="shared" si="19"/>
        <v>26.118000000000002</v>
      </c>
      <c r="Q29" s="1">
        <v>55.799210000000002</v>
      </c>
      <c r="R29" s="3">
        <f t="shared" si="20"/>
        <v>26086.811425362001</v>
      </c>
      <c r="S29" s="3">
        <f t="shared" si="21"/>
        <v>1457.3637667800001</v>
      </c>
      <c r="T29" s="4">
        <f t="shared" si="22"/>
        <v>5.5865921787709501E-2</v>
      </c>
    </row>
    <row r="30" spans="1:20" x14ac:dyDescent="0.25">
      <c r="A30" s="1">
        <v>26</v>
      </c>
      <c r="B30" s="1" t="s">
        <v>96</v>
      </c>
      <c r="C30" s="5">
        <v>41410</v>
      </c>
      <c r="D30" s="1" t="s">
        <v>15</v>
      </c>
      <c r="E30" s="1" t="s">
        <v>97</v>
      </c>
      <c r="F30" s="1" t="s">
        <v>98</v>
      </c>
      <c r="G30" s="1" t="s">
        <v>99</v>
      </c>
      <c r="H30" s="1" t="s">
        <v>50</v>
      </c>
      <c r="I30" s="1" t="s">
        <v>23</v>
      </c>
      <c r="J30" s="1">
        <v>145</v>
      </c>
      <c r="K30" s="1" t="s">
        <v>23</v>
      </c>
      <c r="L30" s="1">
        <v>135</v>
      </c>
      <c r="M30" s="1">
        <v>1</v>
      </c>
      <c r="N30" s="2">
        <v>1</v>
      </c>
      <c r="O30" s="2">
        <f t="shared" si="18"/>
        <v>135</v>
      </c>
      <c r="P30" s="2">
        <f t="shared" si="19"/>
        <v>10</v>
      </c>
      <c r="Q30" s="1">
        <v>55.799210000000002</v>
      </c>
      <c r="R30" s="3">
        <f t="shared" si="20"/>
        <v>7532.8933500000003</v>
      </c>
      <c r="S30" s="3">
        <f t="shared" si="21"/>
        <v>557.99210000000005</v>
      </c>
      <c r="T30" s="4">
        <f t="shared" si="22"/>
        <v>7.4074074074074084E-2</v>
      </c>
    </row>
    <row r="31" spans="1:20" x14ac:dyDescent="0.25">
      <c r="A31" s="1">
        <v>27</v>
      </c>
      <c r="B31" s="1" t="s">
        <v>100</v>
      </c>
      <c r="C31" s="5">
        <v>41410</v>
      </c>
      <c r="D31" s="1" t="s">
        <v>15</v>
      </c>
      <c r="E31" s="1" t="s">
        <v>97</v>
      </c>
      <c r="F31" s="1" t="s">
        <v>91</v>
      </c>
      <c r="G31" s="1" t="s">
        <v>92</v>
      </c>
      <c r="H31" s="1" t="s">
        <v>50</v>
      </c>
      <c r="I31" s="1" t="s">
        <v>23</v>
      </c>
      <c r="J31" s="1">
        <v>146</v>
      </c>
      <c r="K31" s="1" t="s">
        <v>23</v>
      </c>
      <c r="L31" s="1">
        <v>136</v>
      </c>
      <c r="M31" s="1">
        <v>2</v>
      </c>
      <c r="N31" s="2">
        <v>1</v>
      </c>
      <c r="O31" s="2">
        <f t="shared" si="18"/>
        <v>272</v>
      </c>
      <c r="P31" s="2">
        <f t="shared" si="19"/>
        <v>20</v>
      </c>
      <c r="Q31" s="1">
        <v>55.799210000000002</v>
      </c>
      <c r="R31" s="3">
        <f t="shared" si="20"/>
        <v>15177.385120000001</v>
      </c>
      <c r="S31" s="3">
        <f t="shared" si="21"/>
        <v>1115.9842000000001</v>
      </c>
      <c r="T31" s="4">
        <f t="shared" si="22"/>
        <v>7.3529411764705885E-2</v>
      </c>
    </row>
    <row r="32" spans="1:20" x14ac:dyDescent="0.25">
      <c r="A32" s="1">
        <v>28</v>
      </c>
      <c r="B32" s="1" t="s">
        <v>101</v>
      </c>
      <c r="C32" s="5">
        <v>41410</v>
      </c>
      <c r="D32" s="1" t="s">
        <v>15</v>
      </c>
      <c r="E32" s="1" t="s">
        <v>97</v>
      </c>
      <c r="F32" s="1" t="s">
        <v>94</v>
      </c>
      <c r="G32" s="1" t="s">
        <v>95</v>
      </c>
      <c r="H32" s="1" t="s">
        <v>83</v>
      </c>
      <c r="I32" s="1" t="s">
        <v>32</v>
      </c>
      <c r="J32" s="1">
        <v>155</v>
      </c>
      <c r="K32" s="1" t="s">
        <v>32</v>
      </c>
      <c r="L32" s="1">
        <v>145</v>
      </c>
      <c r="M32" s="1">
        <v>5</v>
      </c>
      <c r="N32" s="2">
        <v>1.3059000000000001</v>
      </c>
      <c r="O32" s="2">
        <f t="shared" si="18"/>
        <v>946.77750000000003</v>
      </c>
      <c r="P32" s="2">
        <f t="shared" si="19"/>
        <v>65.295000000000002</v>
      </c>
      <c r="Q32" s="1">
        <v>55.799210000000002</v>
      </c>
      <c r="R32" s="3">
        <f t="shared" si="20"/>
        <v>52829.436545775003</v>
      </c>
      <c r="S32" s="3">
        <f t="shared" si="21"/>
        <v>3643.4094169500004</v>
      </c>
      <c r="T32" s="4">
        <f t="shared" si="22"/>
        <v>6.8965517241379309E-2</v>
      </c>
    </row>
    <row r="33" spans="1:20" x14ac:dyDescent="0.25">
      <c r="A33" s="1">
        <v>29</v>
      </c>
      <c r="B33" s="1" t="s">
        <v>102</v>
      </c>
      <c r="C33" s="5">
        <v>41410</v>
      </c>
      <c r="D33" s="1" t="s">
        <v>15</v>
      </c>
      <c r="E33" s="1" t="s">
        <v>97</v>
      </c>
      <c r="F33" s="1" t="s">
        <v>103</v>
      </c>
      <c r="G33" s="1" t="s">
        <v>104</v>
      </c>
      <c r="H33" s="1" t="s">
        <v>105</v>
      </c>
      <c r="I33" s="1" t="s">
        <v>32</v>
      </c>
      <c r="J33" s="1">
        <v>221</v>
      </c>
      <c r="K33" s="1" t="s">
        <v>32</v>
      </c>
      <c r="L33" s="1">
        <v>211</v>
      </c>
      <c r="M33" s="1">
        <v>1</v>
      </c>
      <c r="N33" s="2">
        <v>1.3059000000000001</v>
      </c>
      <c r="O33" s="2">
        <f t="shared" si="18"/>
        <v>275.54490000000004</v>
      </c>
      <c r="P33" s="2">
        <f t="shared" si="19"/>
        <v>13.059000000000001</v>
      </c>
      <c r="Q33" s="1">
        <v>55.799210000000002</v>
      </c>
      <c r="R33" s="3">
        <f t="shared" si="20"/>
        <v>15375.187739529003</v>
      </c>
      <c r="S33" s="3">
        <f t="shared" si="21"/>
        <v>728.68188339000005</v>
      </c>
      <c r="T33" s="4">
        <f t="shared" si="22"/>
        <v>4.7393364928909949E-2</v>
      </c>
    </row>
    <row r="34" spans="1:20" x14ac:dyDescent="0.25">
      <c r="A34" s="1">
        <v>30</v>
      </c>
      <c r="B34" s="1" t="s">
        <v>106</v>
      </c>
      <c r="C34" s="5">
        <v>41409</v>
      </c>
      <c r="D34" s="1" t="s">
        <v>15</v>
      </c>
      <c r="E34" s="1" t="s">
        <v>60</v>
      </c>
      <c r="F34" s="1" t="s">
        <v>107</v>
      </c>
      <c r="G34" s="1" t="s">
        <v>108</v>
      </c>
      <c r="H34" s="1" t="s">
        <v>109</v>
      </c>
      <c r="I34" s="1" t="s">
        <v>110</v>
      </c>
      <c r="J34" s="1">
        <v>148</v>
      </c>
      <c r="K34" s="1" t="s">
        <v>110</v>
      </c>
      <c r="L34" s="1">
        <v>128</v>
      </c>
      <c r="M34" s="1">
        <v>2</v>
      </c>
      <c r="N34" s="2">
        <v>0.98131999999999997</v>
      </c>
      <c r="O34" s="2">
        <f t="shared" si="18"/>
        <v>251.21791999999999</v>
      </c>
      <c r="P34" s="2">
        <f t="shared" si="19"/>
        <v>39.252800000000001</v>
      </c>
      <c r="Q34" s="1">
        <v>55.799210000000002</v>
      </c>
      <c r="R34" s="3">
        <f t="shared" si="20"/>
        <v>14017.7614738432</v>
      </c>
      <c r="S34" s="3">
        <f t="shared" si="21"/>
        <v>2190.2752302880003</v>
      </c>
      <c r="T34" s="4">
        <f t="shared" si="22"/>
        <v>0.15625000000000003</v>
      </c>
    </row>
    <row r="35" spans="1:20" x14ac:dyDescent="0.25">
      <c r="A35" s="1">
        <v>31</v>
      </c>
      <c r="B35" s="1" t="s">
        <v>111</v>
      </c>
      <c r="C35" s="5">
        <v>41404</v>
      </c>
      <c r="D35" s="1" t="s">
        <v>15</v>
      </c>
      <c r="E35" s="1" t="s">
        <v>112</v>
      </c>
      <c r="F35" s="1" t="s">
        <v>113</v>
      </c>
      <c r="G35" s="1" t="s">
        <v>95</v>
      </c>
      <c r="H35" s="1" t="s">
        <v>83</v>
      </c>
      <c r="I35" s="1" t="s">
        <v>32</v>
      </c>
      <c r="J35" s="1">
        <v>141</v>
      </c>
      <c r="K35" s="1" t="s">
        <v>32</v>
      </c>
      <c r="L35" s="1">
        <v>131</v>
      </c>
      <c r="M35" s="1">
        <v>3</v>
      </c>
      <c r="N35" s="2">
        <v>1.3059000000000001</v>
      </c>
      <c r="O35" s="2">
        <f t="shared" si="18"/>
        <v>513.21870000000001</v>
      </c>
      <c r="P35" s="2">
        <f t="shared" si="19"/>
        <v>39.177</v>
      </c>
      <c r="Q35" s="1">
        <v>55.799210000000002</v>
      </c>
      <c r="R35" s="3">
        <f t="shared" si="20"/>
        <v>28637.198017227001</v>
      </c>
      <c r="S35" s="3">
        <f t="shared" si="21"/>
        <v>2186.04565017</v>
      </c>
      <c r="T35" s="4">
        <f t="shared" si="22"/>
        <v>7.6335877862595422E-2</v>
      </c>
    </row>
    <row r="36" spans="1:20" x14ac:dyDescent="0.25">
      <c r="A36" s="1">
        <v>32</v>
      </c>
      <c r="B36" s="1" t="s">
        <v>114</v>
      </c>
      <c r="C36" s="5">
        <v>41403</v>
      </c>
      <c r="D36" s="1" t="s">
        <v>25</v>
      </c>
      <c r="E36" s="1" t="s">
        <v>26</v>
      </c>
      <c r="F36" s="1" t="s">
        <v>115</v>
      </c>
      <c r="G36" s="1" t="s">
        <v>116</v>
      </c>
      <c r="H36" s="1" t="s">
        <v>117</v>
      </c>
      <c r="I36" s="1" t="s">
        <v>23</v>
      </c>
      <c r="J36" s="1">
        <v>93</v>
      </c>
      <c r="K36" s="1" t="s">
        <v>23</v>
      </c>
      <c r="L36" s="1">
        <v>83</v>
      </c>
      <c r="M36" s="1">
        <v>2</v>
      </c>
      <c r="N36" s="2">
        <v>1</v>
      </c>
      <c r="O36" s="2">
        <f t="shared" si="18"/>
        <v>166</v>
      </c>
      <c r="P36" s="2">
        <f t="shared" si="19"/>
        <v>20</v>
      </c>
      <c r="Q36" s="1">
        <v>55.799210000000002</v>
      </c>
      <c r="R36" s="3">
        <f t="shared" si="20"/>
        <v>9262.6688599999998</v>
      </c>
      <c r="S36" s="3">
        <f t="shared" si="21"/>
        <v>1115.9842000000001</v>
      </c>
      <c r="T36" s="4">
        <f t="shared" si="22"/>
        <v>0.12048192771084339</v>
      </c>
    </row>
    <row r="37" spans="1:20" x14ac:dyDescent="0.25">
      <c r="A37" s="1">
        <v>33</v>
      </c>
      <c r="B37" s="1" t="s">
        <v>118</v>
      </c>
      <c r="C37" s="5">
        <v>41403</v>
      </c>
      <c r="D37" s="1" t="s">
        <v>25</v>
      </c>
      <c r="E37" s="1" t="s">
        <v>26</v>
      </c>
      <c r="F37" s="1" t="s">
        <v>52</v>
      </c>
      <c r="G37" s="1" t="s">
        <v>53</v>
      </c>
      <c r="H37" s="1" t="s">
        <v>54</v>
      </c>
      <c r="I37" s="1" t="s">
        <v>119</v>
      </c>
      <c r="J37" s="1">
        <v>157</v>
      </c>
      <c r="K37" s="1" t="s">
        <v>119</v>
      </c>
      <c r="L37" s="1">
        <v>147</v>
      </c>
      <c r="M37" s="1">
        <v>1</v>
      </c>
      <c r="N37" s="2">
        <v>0.80105000000000004</v>
      </c>
      <c r="O37" s="2">
        <f t="shared" si="18"/>
        <v>117.75435</v>
      </c>
      <c r="P37" s="2">
        <f t="shared" si="19"/>
        <v>8.0105000000000004</v>
      </c>
      <c r="Q37" s="1">
        <v>55.799210000000002</v>
      </c>
      <c r="R37" s="3">
        <f t="shared" si="20"/>
        <v>6570.5997040635002</v>
      </c>
      <c r="S37" s="3">
        <f t="shared" si="21"/>
        <v>446.97957170500001</v>
      </c>
      <c r="T37" s="4">
        <f t="shared" si="22"/>
        <v>6.8027210884353748E-2</v>
      </c>
    </row>
    <row r="38" spans="1:20" x14ac:dyDescent="0.25">
      <c r="A38" s="1">
        <v>34</v>
      </c>
      <c r="B38" s="18" t="s">
        <v>120</v>
      </c>
      <c r="C38" s="19">
        <v>41401</v>
      </c>
      <c r="D38" s="18" t="s">
        <v>15</v>
      </c>
      <c r="E38" s="18" t="s">
        <v>121</v>
      </c>
      <c r="F38" s="18" t="s">
        <v>122</v>
      </c>
      <c r="G38" s="18" t="s">
        <v>123</v>
      </c>
      <c r="H38" s="18" t="s">
        <v>124</v>
      </c>
      <c r="I38" s="18" t="s">
        <v>32</v>
      </c>
      <c r="J38" s="18">
        <v>109</v>
      </c>
      <c r="K38" s="18" t="s">
        <v>32</v>
      </c>
      <c r="L38" s="18">
        <v>109</v>
      </c>
      <c r="M38" s="18">
        <v>2</v>
      </c>
      <c r="N38" s="20">
        <v>1.3059000000000001</v>
      </c>
      <c r="O38" s="20">
        <f t="shared" si="18"/>
        <v>284.68619999999999</v>
      </c>
      <c r="P38" s="20">
        <f t="shared" si="19"/>
        <v>0</v>
      </c>
      <c r="Q38" s="18">
        <v>55.799210000000002</v>
      </c>
      <c r="R38" s="21">
        <f t="shared" si="20"/>
        <v>15885.265057901999</v>
      </c>
      <c r="S38" s="21">
        <f t="shared" si="21"/>
        <v>0</v>
      </c>
      <c r="T38" s="22">
        <f t="shared" si="22"/>
        <v>0</v>
      </c>
    </row>
    <row r="39" spans="1:20" x14ac:dyDescent="0.25">
      <c r="A39" s="1">
        <v>35</v>
      </c>
      <c r="B39" s="18" t="s">
        <v>125</v>
      </c>
      <c r="C39" s="19">
        <v>41401</v>
      </c>
      <c r="D39" s="18" t="s">
        <v>15</v>
      </c>
      <c r="E39" s="18" t="s">
        <v>112</v>
      </c>
      <c r="F39" s="18" t="s">
        <v>122</v>
      </c>
      <c r="G39" s="18" t="s">
        <v>123</v>
      </c>
      <c r="H39" s="18" t="s">
        <v>124</v>
      </c>
      <c r="I39" s="18" t="s">
        <v>32</v>
      </c>
      <c r="J39" s="18">
        <v>109</v>
      </c>
      <c r="K39" s="18" t="s">
        <v>32</v>
      </c>
      <c r="L39" s="18">
        <v>109</v>
      </c>
      <c r="M39" s="18">
        <v>1</v>
      </c>
      <c r="N39" s="20">
        <v>1.3059000000000001</v>
      </c>
      <c r="O39" s="20">
        <f t="shared" si="18"/>
        <v>142.34309999999999</v>
      </c>
      <c r="P39" s="20">
        <f t="shared" si="19"/>
        <v>0</v>
      </c>
      <c r="Q39" s="18">
        <v>55.799210000000002</v>
      </c>
      <c r="R39" s="21">
        <f t="shared" si="20"/>
        <v>7942.6325289509996</v>
      </c>
      <c r="S39" s="21">
        <f t="shared" si="21"/>
        <v>0</v>
      </c>
      <c r="T39" s="22">
        <f t="shared" si="22"/>
        <v>0</v>
      </c>
    </row>
    <row r="40" spans="1:20" x14ac:dyDescent="0.25">
      <c r="A40" s="1">
        <v>36</v>
      </c>
      <c r="B40" s="1" t="s">
        <v>126</v>
      </c>
      <c r="C40" s="5">
        <v>41397</v>
      </c>
      <c r="D40" s="1" t="s">
        <v>15</v>
      </c>
      <c r="E40" s="1" t="s">
        <v>127</v>
      </c>
      <c r="F40" s="1" t="s">
        <v>128</v>
      </c>
      <c r="G40" s="1" t="s">
        <v>129</v>
      </c>
      <c r="H40" s="1" t="s">
        <v>50</v>
      </c>
      <c r="I40" s="1" t="s">
        <v>23</v>
      </c>
      <c r="J40" s="1">
        <v>233</v>
      </c>
      <c r="K40" s="1" t="s">
        <v>23</v>
      </c>
      <c r="L40" s="1">
        <v>189</v>
      </c>
      <c r="M40" s="1">
        <v>3</v>
      </c>
      <c r="N40" s="2">
        <v>1</v>
      </c>
      <c r="O40" s="2">
        <f t="shared" si="18"/>
        <v>567</v>
      </c>
      <c r="P40" s="2">
        <f t="shared" si="19"/>
        <v>132</v>
      </c>
      <c r="Q40" s="1">
        <v>55.799210000000002</v>
      </c>
      <c r="R40" s="3">
        <f t="shared" si="20"/>
        <v>31638.15207</v>
      </c>
      <c r="S40" s="3">
        <f t="shared" si="21"/>
        <v>7365.4957199999999</v>
      </c>
      <c r="T40" s="4">
        <f t="shared" si="22"/>
        <v>0.23280423280423279</v>
      </c>
    </row>
    <row r="41" spans="1:20" x14ac:dyDescent="0.25">
      <c r="A41" s="1">
        <v>37</v>
      </c>
      <c r="B41" s="1" t="s">
        <v>130</v>
      </c>
      <c r="C41" s="6" t="s">
        <v>131</v>
      </c>
      <c r="D41" s="1" t="s">
        <v>15</v>
      </c>
      <c r="E41" s="1" t="s">
        <v>133</v>
      </c>
      <c r="F41" s="1" t="s">
        <v>134</v>
      </c>
      <c r="G41" s="1" t="s">
        <v>135</v>
      </c>
      <c r="H41" s="1" t="s">
        <v>31</v>
      </c>
      <c r="I41" s="1" t="s">
        <v>32</v>
      </c>
      <c r="J41" s="1">
        <v>154</v>
      </c>
      <c r="K41" s="1" t="s">
        <v>32</v>
      </c>
      <c r="L41" s="1">
        <v>144</v>
      </c>
      <c r="M41" s="1">
        <v>5</v>
      </c>
      <c r="N41" s="2">
        <v>1.3059000000000001</v>
      </c>
      <c r="O41" s="2">
        <f t="shared" si="18"/>
        <v>940.24800000000005</v>
      </c>
      <c r="P41" s="2">
        <f t="shared" si="19"/>
        <v>65.295000000000002</v>
      </c>
      <c r="Q41" s="1">
        <v>55.799210000000002</v>
      </c>
      <c r="R41" s="3">
        <f t="shared" si="20"/>
        <v>52465.095604080008</v>
      </c>
      <c r="S41" s="3">
        <f t="shared" si="21"/>
        <v>3643.4094169500004</v>
      </c>
      <c r="T41" s="4">
        <f t="shared" si="22"/>
        <v>6.9444444444444448E-2</v>
      </c>
    </row>
    <row r="42" spans="1:20" x14ac:dyDescent="0.25">
      <c r="A42" s="1">
        <v>38</v>
      </c>
      <c r="B42" s="1" t="s">
        <v>136</v>
      </c>
      <c r="C42" s="6" t="s">
        <v>131</v>
      </c>
      <c r="D42" s="1" t="s">
        <v>15</v>
      </c>
      <c r="E42" s="1" t="s">
        <v>133</v>
      </c>
      <c r="F42" s="1" t="s">
        <v>138</v>
      </c>
      <c r="G42" s="1" t="s">
        <v>139</v>
      </c>
      <c r="H42" s="1" t="s">
        <v>140</v>
      </c>
      <c r="I42" s="1" t="s">
        <v>141</v>
      </c>
      <c r="J42" s="1">
        <v>121</v>
      </c>
      <c r="K42" s="1" t="s">
        <v>141</v>
      </c>
      <c r="L42" s="1">
        <v>111</v>
      </c>
      <c r="M42" s="1">
        <v>2</v>
      </c>
      <c r="N42" s="2">
        <v>1.5361800000000001</v>
      </c>
      <c r="O42" s="2">
        <f t="shared" si="18"/>
        <v>341.03196000000003</v>
      </c>
      <c r="P42" s="2">
        <f t="shared" si="19"/>
        <v>30.723600000000001</v>
      </c>
      <c r="Q42" s="1">
        <v>55.799210000000002</v>
      </c>
      <c r="R42" s="3">
        <f t="shared" si="20"/>
        <v>19029.313952751603</v>
      </c>
      <c r="S42" s="3">
        <f t="shared" si="21"/>
        <v>1714.352608356</v>
      </c>
      <c r="T42" s="4">
        <f t="shared" si="22"/>
        <v>9.0090090090090072E-2</v>
      </c>
    </row>
    <row r="43" spans="1:20" x14ac:dyDescent="0.25">
      <c r="A43" s="1">
        <v>39</v>
      </c>
      <c r="B43" s="1" t="s">
        <v>142</v>
      </c>
      <c r="C43" s="6" t="s">
        <v>131</v>
      </c>
      <c r="D43" s="1" t="s">
        <v>15</v>
      </c>
      <c r="E43" s="1" t="s">
        <v>133</v>
      </c>
      <c r="F43" s="1" t="s">
        <v>134</v>
      </c>
      <c r="G43" s="1" t="s">
        <v>135</v>
      </c>
      <c r="H43" s="1" t="s">
        <v>31</v>
      </c>
      <c r="I43" s="1" t="s">
        <v>32</v>
      </c>
      <c r="J43" s="1">
        <v>114</v>
      </c>
      <c r="K43" s="1" t="s">
        <v>32</v>
      </c>
      <c r="L43" s="1">
        <v>104</v>
      </c>
      <c r="M43" s="1">
        <v>4</v>
      </c>
      <c r="N43" s="2">
        <v>1.3059000000000001</v>
      </c>
      <c r="O43" s="2">
        <f t="shared" si="18"/>
        <v>543.25440000000003</v>
      </c>
      <c r="P43" s="2">
        <f t="shared" si="19"/>
        <v>52.236000000000004</v>
      </c>
      <c r="Q43" s="1">
        <v>55.799210000000002</v>
      </c>
      <c r="R43" s="3">
        <f t="shared" si="20"/>
        <v>30313.166349024003</v>
      </c>
      <c r="S43" s="3">
        <f t="shared" si="21"/>
        <v>2914.7275335600002</v>
      </c>
      <c r="T43" s="4">
        <f t="shared" si="22"/>
        <v>9.6153846153846159E-2</v>
      </c>
    </row>
    <row r="44" spans="1:20" x14ac:dyDescent="0.25">
      <c r="A44" s="1">
        <v>40</v>
      </c>
      <c r="B44" s="1" t="s">
        <v>143</v>
      </c>
      <c r="C44" s="6" t="s">
        <v>144</v>
      </c>
      <c r="D44" s="1" t="s">
        <v>15</v>
      </c>
      <c r="E44" s="1" t="s">
        <v>47</v>
      </c>
      <c r="F44" s="1" t="s">
        <v>145</v>
      </c>
      <c r="G44" s="1" t="s">
        <v>95</v>
      </c>
      <c r="H44" s="1" t="s">
        <v>83</v>
      </c>
      <c r="I44" s="1" t="s">
        <v>32</v>
      </c>
      <c r="J44" s="1">
        <v>168</v>
      </c>
      <c r="K44" s="1" t="s">
        <v>32</v>
      </c>
      <c r="L44" s="1">
        <v>158</v>
      </c>
      <c r="M44" s="1">
        <v>3</v>
      </c>
      <c r="N44" s="2">
        <v>1.3059000000000001</v>
      </c>
      <c r="O44" s="2">
        <f t="shared" si="18"/>
        <v>618.99660000000006</v>
      </c>
      <c r="P44" s="2">
        <f t="shared" si="19"/>
        <v>39.177</v>
      </c>
      <c r="Q44" s="1">
        <v>55.799210000000002</v>
      </c>
      <c r="R44" s="3">
        <f t="shared" si="20"/>
        <v>34539.521272686005</v>
      </c>
      <c r="S44" s="3">
        <f t="shared" si="21"/>
        <v>2186.04565017</v>
      </c>
      <c r="T44" s="4">
        <f t="shared" si="22"/>
        <v>6.3291139240506319E-2</v>
      </c>
    </row>
    <row r="45" spans="1:20" x14ac:dyDescent="0.25">
      <c r="A45" s="1">
        <v>41</v>
      </c>
      <c r="B45" s="1" t="s">
        <v>146</v>
      </c>
      <c r="C45" s="6" t="s">
        <v>144</v>
      </c>
      <c r="D45" s="1" t="s">
        <v>15</v>
      </c>
      <c r="E45" s="1" t="s">
        <v>47</v>
      </c>
      <c r="F45" s="1" t="s">
        <v>147</v>
      </c>
      <c r="G45" s="1" t="s">
        <v>30</v>
      </c>
      <c r="H45" s="1" t="s">
        <v>31</v>
      </c>
      <c r="I45" s="1" t="s">
        <v>32</v>
      </c>
      <c r="J45" s="1">
        <v>78</v>
      </c>
      <c r="K45" s="1" t="s">
        <v>32</v>
      </c>
      <c r="L45" s="1">
        <v>68</v>
      </c>
      <c r="M45" s="1">
        <v>2</v>
      </c>
      <c r="N45" s="2">
        <v>1.3059000000000001</v>
      </c>
      <c r="O45" s="2">
        <f t="shared" si="18"/>
        <v>177.60240000000002</v>
      </c>
      <c r="P45" s="2">
        <f t="shared" si="19"/>
        <v>26.118000000000002</v>
      </c>
      <c r="Q45" s="1">
        <v>55.799210000000002</v>
      </c>
      <c r="R45" s="3">
        <f t="shared" si="20"/>
        <v>9910.0736141040015</v>
      </c>
      <c r="S45" s="3">
        <f t="shared" si="21"/>
        <v>1457.3637667800001</v>
      </c>
      <c r="T45" s="4">
        <f t="shared" si="22"/>
        <v>0.14705882352941174</v>
      </c>
    </row>
    <row r="46" spans="1:20" x14ac:dyDescent="0.25">
      <c r="A46" s="1">
        <v>42</v>
      </c>
      <c r="B46" s="1" t="s">
        <v>148</v>
      </c>
      <c r="C46" s="6" t="s">
        <v>144</v>
      </c>
      <c r="D46" s="1" t="s">
        <v>15</v>
      </c>
      <c r="E46" s="1" t="s">
        <v>19</v>
      </c>
      <c r="F46" s="1" t="s">
        <v>20</v>
      </c>
      <c r="G46" s="1" t="s">
        <v>21</v>
      </c>
      <c r="H46" s="1" t="s">
        <v>22</v>
      </c>
      <c r="I46" s="1" t="s">
        <v>23</v>
      </c>
      <c r="J46" s="1">
        <v>99</v>
      </c>
      <c r="K46" s="1" t="s">
        <v>23</v>
      </c>
      <c r="L46" s="1">
        <v>89</v>
      </c>
      <c r="M46" s="1">
        <v>2</v>
      </c>
      <c r="N46" s="2">
        <v>1</v>
      </c>
      <c r="O46" s="2">
        <f t="shared" si="18"/>
        <v>178</v>
      </c>
      <c r="P46" s="2">
        <f t="shared" si="19"/>
        <v>20</v>
      </c>
      <c r="Q46" s="1">
        <v>55.799210000000002</v>
      </c>
      <c r="R46" s="3">
        <f t="shared" si="20"/>
        <v>9932.2593799999995</v>
      </c>
      <c r="S46" s="3">
        <f t="shared" si="21"/>
        <v>1115.9842000000001</v>
      </c>
      <c r="T46" s="4">
        <f t="shared" si="22"/>
        <v>0.11235955056179776</v>
      </c>
    </row>
    <row r="47" spans="1:20" x14ac:dyDescent="0.25">
      <c r="A47" s="1">
        <v>43</v>
      </c>
      <c r="B47" s="1" t="s">
        <v>149</v>
      </c>
      <c r="C47" s="6" t="s">
        <v>150</v>
      </c>
      <c r="D47" s="1" t="s">
        <v>25</v>
      </c>
      <c r="E47" s="1" t="s">
        <v>86</v>
      </c>
      <c r="F47" s="1" t="s">
        <v>20</v>
      </c>
      <c r="G47" s="1" t="s">
        <v>21</v>
      </c>
      <c r="H47" s="1" t="s">
        <v>22</v>
      </c>
      <c r="I47" s="1" t="s">
        <v>23</v>
      </c>
      <c r="J47" s="1">
        <v>99</v>
      </c>
      <c r="K47" s="1" t="s">
        <v>23</v>
      </c>
      <c r="L47" s="1">
        <v>89</v>
      </c>
      <c r="M47" s="1">
        <v>2</v>
      </c>
      <c r="N47" s="2">
        <v>1</v>
      </c>
      <c r="O47" s="2">
        <f t="shared" si="18"/>
        <v>178</v>
      </c>
      <c r="P47" s="2">
        <f t="shared" si="19"/>
        <v>20</v>
      </c>
      <c r="Q47" s="1">
        <v>55.799210000000002</v>
      </c>
      <c r="R47" s="3">
        <f t="shared" si="20"/>
        <v>9932.2593799999995</v>
      </c>
      <c r="S47" s="3">
        <f t="shared" si="21"/>
        <v>1115.9842000000001</v>
      </c>
      <c r="T47" s="4">
        <f t="shared" si="22"/>
        <v>0.11235955056179776</v>
      </c>
    </row>
    <row r="48" spans="1:20" x14ac:dyDescent="0.25">
      <c r="A48" s="1">
        <v>44</v>
      </c>
      <c r="B48" s="1" t="s">
        <v>151</v>
      </c>
      <c r="C48" s="6" t="s">
        <v>152</v>
      </c>
      <c r="D48" s="1" t="s">
        <v>15</v>
      </c>
      <c r="E48" s="1" t="s">
        <v>28</v>
      </c>
      <c r="F48" s="1" t="s">
        <v>147</v>
      </c>
      <c r="G48" s="1" t="s">
        <v>30</v>
      </c>
      <c r="H48" s="1" t="s">
        <v>31</v>
      </c>
      <c r="I48" s="1" t="s">
        <v>32</v>
      </c>
      <c r="J48" s="1">
        <v>75</v>
      </c>
      <c r="K48" s="1" t="s">
        <v>32</v>
      </c>
      <c r="L48" s="1">
        <v>63</v>
      </c>
      <c r="M48" s="1">
        <v>2</v>
      </c>
      <c r="N48" s="2">
        <v>1.3059000000000001</v>
      </c>
      <c r="O48" s="2">
        <f t="shared" si="18"/>
        <v>164.54340000000002</v>
      </c>
      <c r="P48" s="2">
        <f t="shared" si="19"/>
        <v>31.3416</v>
      </c>
      <c r="Q48" s="1">
        <v>55.799210000000002</v>
      </c>
      <c r="R48" s="3">
        <f t="shared" si="20"/>
        <v>9181.3917307140018</v>
      </c>
      <c r="S48" s="3">
        <f t="shared" si="21"/>
        <v>1748.836520136</v>
      </c>
      <c r="T48" s="4">
        <f t="shared" si="22"/>
        <v>0.19047619047619044</v>
      </c>
    </row>
    <row r="49" spans="1:20" x14ac:dyDescent="0.25">
      <c r="A49" s="1">
        <v>45</v>
      </c>
      <c r="B49" s="1" t="s">
        <v>153</v>
      </c>
      <c r="C49" s="6" t="s">
        <v>154</v>
      </c>
      <c r="D49" s="1" t="s">
        <v>15</v>
      </c>
      <c r="E49" s="1" t="s">
        <v>155</v>
      </c>
      <c r="F49" s="1" t="s">
        <v>156</v>
      </c>
      <c r="G49" s="1" t="s">
        <v>157</v>
      </c>
      <c r="H49" s="1" t="s">
        <v>158</v>
      </c>
      <c r="I49" s="1" t="s">
        <v>32</v>
      </c>
      <c r="J49" s="1">
        <v>177</v>
      </c>
      <c r="K49" s="1" t="s">
        <v>32</v>
      </c>
      <c r="L49" s="1">
        <v>167</v>
      </c>
      <c r="M49" s="1">
        <v>1</v>
      </c>
      <c r="N49" s="2">
        <v>1.3059000000000001</v>
      </c>
      <c r="O49" s="2">
        <f t="shared" si="18"/>
        <v>218.08530000000002</v>
      </c>
      <c r="P49" s="2">
        <f t="shared" si="19"/>
        <v>13.059000000000001</v>
      </c>
      <c r="Q49" s="1">
        <v>55.799210000000002</v>
      </c>
      <c r="R49" s="3">
        <f t="shared" si="20"/>
        <v>12168.987452613001</v>
      </c>
      <c r="S49" s="3">
        <f t="shared" si="21"/>
        <v>728.68188339000005</v>
      </c>
      <c r="T49" s="4">
        <f t="shared" si="22"/>
        <v>5.9880239520958084E-2</v>
      </c>
    </row>
    <row r="50" spans="1:20" x14ac:dyDescent="0.25">
      <c r="A50" s="1">
        <v>46</v>
      </c>
      <c r="B50" s="1" t="s">
        <v>159</v>
      </c>
      <c r="C50" s="6" t="s">
        <v>161</v>
      </c>
      <c r="D50" s="1" t="s">
        <v>15</v>
      </c>
      <c r="E50" s="1" t="s">
        <v>97</v>
      </c>
      <c r="F50" s="1" t="s">
        <v>156</v>
      </c>
      <c r="G50" s="1" t="s">
        <v>157</v>
      </c>
      <c r="H50" s="1" t="s">
        <v>158</v>
      </c>
      <c r="I50" s="1" t="s">
        <v>32</v>
      </c>
      <c r="J50" s="1">
        <v>229</v>
      </c>
      <c r="K50" s="1" t="s">
        <v>32</v>
      </c>
      <c r="L50" s="1">
        <v>219</v>
      </c>
      <c r="M50" s="1">
        <v>2</v>
      </c>
      <c r="N50" s="2">
        <v>1.3059000000000001</v>
      </c>
      <c r="O50" s="2">
        <f t="shared" si="18"/>
        <v>571.98419999999999</v>
      </c>
      <c r="P50" s="2">
        <f t="shared" si="19"/>
        <v>26.118000000000002</v>
      </c>
      <c r="Q50" s="1">
        <v>55.799210000000002</v>
      </c>
      <c r="R50" s="3">
        <f t="shared" si="20"/>
        <v>31916.266492482002</v>
      </c>
      <c r="S50" s="3">
        <f t="shared" si="21"/>
        <v>1457.3637667800001</v>
      </c>
      <c r="T50" s="4">
        <f t="shared" si="22"/>
        <v>4.5662100456621002E-2</v>
      </c>
    </row>
    <row r="51" spans="1:20" x14ac:dyDescent="0.25">
      <c r="A51" s="1">
        <v>47</v>
      </c>
      <c r="B51" s="1" t="s">
        <v>162</v>
      </c>
      <c r="C51" s="6" t="s">
        <v>161</v>
      </c>
      <c r="D51" s="1" t="s">
        <v>15</v>
      </c>
      <c r="E51" s="1" t="s">
        <v>97</v>
      </c>
      <c r="F51" s="1" t="s">
        <v>163</v>
      </c>
      <c r="G51" s="1" t="s">
        <v>164</v>
      </c>
      <c r="H51" s="1" t="s">
        <v>31</v>
      </c>
      <c r="I51" s="1" t="s">
        <v>32</v>
      </c>
      <c r="J51" s="1">
        <v>82</v>
      </c>
      <c r="K51" s="1" t="s">
        <v>32</v>
      </c>
      <c r="L51" s="1">
        <v>72</v>
      </c>
      <c r="M51" s="1">
        <v>2</v>
      </c>
      <c r="N51" s="2">
        <v>1.3059000000000001</v>
      </c>
      <c r="O51" s="2">
        <f t="shared" si="18"/>
        <v>188.0496</v>
      </c>
      <c r="P51" s="2">
        <f t="shared" si="19"/>
        <v>26.118000000000002</v>
      </c>
      <c r="Q51" s="1">
        <v>55.799210000000002</v>
      </c>
      <c r="R51" s="3">
        <f t="shared" si="20"/>
        <v>10493.019120815999</v>
      </c>
      <c r="S51" s="3">
        <f t="shared" si="21"/>
        <v>1457.3637667800001</v>
      </c>
      <c r="T51" s="4">
        <f t="shared" si="22"/>
        <v>0.1388888888888889</v>
      </c>
    </row>
    <row r="52" spans="1:20" x14ac:dyDescent="0.25">
      <c r="A52" s="1">
        <v>48</v>
      </c>
      <c r="B52" s="1" t="s">
        <v>165</v>
      </c>
      <c r="C52" s="6" t="s">
        <v>161</v>
      </c>
      <c r="D52" s="1" t="s">
        <v>15</v>
      </c>
      <c r="E52" s="1" t="s">
        <v>166</v>
      </c>
      <c r="F52" s="1" t="s">
        <v>163</v>
      </c>
      <c r="G52" s="1" t="s">
        <v>164</v>
      </c>
      <c r="H52" s="1" t="s">
        <v>31</v>
      </c>
      <c r="I52" s="1" t="s">
        <v>32</v>
      </c>
      <c r="J52" s="1">
        <v>82</v>
      </c>
      <c r="K52" s="1" t="s">
        <v>32</v>
      </c>
      <c r="L52" s="1">
        <v>72</v>
      </c>
      <c r="M52" s="1">
        <v>2</v>
      </c>
      <c r="N52" s="2">
        <v>1.3059000000000001</v>
      </c>
      <c r="O52" s="2">
        <f t="shared" si="18"/>
        <v>188.0496</v>
      </c>
      <c r="P52" s="2">
        <f t="shared" si="19"/>
        <v>26.118000000000002</v>
      </c>
      <c r="Q52" s="1">
        <v>55.799210000000002</v>
      </c>
      <c r="R52" s="3">
        <f t="shared" si="20"/>
        <v>10493.019120815999</v>
      </c>
      <c r="S52" s="3">
        <f t="shared" si="21"/>
        <v>1457.3637667800001</v>
      </c>
      <c r="T52" s="4">
        <f t="shared" si="22"/>
        <v>0.1388888888888889</v>
      </c>
    </row>
    <row r="53" spans="1:20" x14ac:dyDescent="0.25">
      <c r="A53" s="1">
        <v>49</v>
      </c>
      <c r="B53" s="1" t="s">
        <v>167</v>
      </c>
      <c r="C53" s="6" t="s">
        <v>160</v>
      </c>
      <c r="D53" s="1" t="s">
        <v>15</v>
      </c>
      <c r="E53" s="1" t="s">
        <v>67</v>
      </c>
      <c r="F53" s="1" t="s">
        <v>169</v>
      </c>
      <c r="G53" s="1" t="s">
        <v>21</v>
      </c>
      <c r="H53" s="1" t="s">
        <v>22</v>
      </c>
      <c r="I53" s="1" t="s">
        <v>23</v>
      </c>
      <c r="J53" s="1">
        <v>207</v>
      </c>
      <c r="K53" s="1" t="s">
        <v>23</v>
      </c>
      <c r="L53" s="1">
        <v>143</v>
      </c>
      <c r="M53" s="1">
        <v>3</v>
      </c>
      <c r="N53" s="2">
        <v>1</v>
      </c>
      <c r="O53" s="2">
        <f t="shared" si="18"/>
        <v>429</v>
      </c>
      <c r="P53" s="2">
        <f t="shared" si="19"/>
        <v>192</v>
      </c>
      <c r="Q53" s="1">
        <v>55.799210000000002</v>
      </c>
      <c r="R53" s="3">
        <f t="shared" si="20"/>
        <v>23937.861090000002</v>
      </c>
      <c r="S53" s="3">
        <f t="shared" si="21"/>
        <v>10713.44832</v>
      </c>
      <c r="T53" s="4">
        <f t="shared" si="22"/>
        <v>0.4475524475524475</v>
      </c>
    </row>
    <row r="54" spans="1:20" x14ac:dyDescent="0.25">
      <c r="A54" s="1">
        <v>50</v>
      </c>
      <c r="B54" s="1" t="s">
        <v>170</v>
      </c>
      <c r="C54" s="6" t="s">
        <v>168</v>
      </c>
      <c r="D54" s="1" t="s">
        <v>15</v>
      </c>
      <c r="E54" s="1" t="s">
        <v>171</v>
      </c>
      <c r="F54" s="1" t="s">
        <v>172</v>
      </c>
      <c r="G54" s="1" t="s">
        <v>173</v>
      </c>
      <c r="H54" s="1" t="s">
        <v>50</v>
      </c>
      <c r="I54" s="1" t="s">
        <v>23</v>
      </c>
      <c r="J54" s="1">
        <v>170</v>
      </c>
      <c r="K54" s="1" t="s">
        <v>23</v>
      </c>
      <c r="L54" s="1">
        <v>163</v>
      </c>
      <c r="M54" s="1">
        <v>1</v>
      </c>
      <c r="N54" s="2">
        <v>1</v>
      </c>
      <c r="O54" s="2">
        <f t="shared" si="18"/>
        <v>163</v>
      </c>
      <c r="P54" s="2">
        <f t="shared" si="19"/>
        <v>7</v>
      </c>
      <c r="Q54" s="1">
        <v>55.799210000000002</v>
      </c>
      <c r="R54" s="3">
        <f t="shared" si="20"/>
        <v>9095.2712300000003</v>
      </c>
      <c r="S54" s="3">
        <f t="shared" si="21"/>
        <v>390.59447</v>
      </c>
      <c r="T54" s="4">
        <f t="shared" si="22"/>
        <v>4.2944785276073622E-2</v>
      </c>
    </row>
    <row r="55" spans="1:20" x14ac:dyDescent="0.25">
      <c r="A55" s="1">
        <v>51</v>
      </c>
      <c r="B55" s="1" t="s">
        <v>174</v>
      </c>
      <c r="C55" s="1" t="s">
        <v>175</v>
      </c>
      <c r="D55" s="1" t="s">
        <v>25</v>
      </c>
      <c r="E55" s="1" t="s">
        <v>176</v>
      </c>
      <c r="F55" s="1" t="s">
        <v>177</v>
      </c>
      <c r="G55" s="1" t="s">
        <v>178</v>
      </c>
      <c r="H55" s="1" t="s">
        <v>140</v>
      </c>
      <c r="I55" s="1" t="s">
        <v>141</v>
      </c>
      <c r="J55" s="1">
        <v>105</v>
      </c>
      <c r="K55" s="1" t="s">
        <v>141</v>
      </c>
      <c r="L55" s="1">
        <v>95</v>
      </c>
      <c r="M55" s="1">
        <v>2</v>
      </c>
      <c r="N55" s="2">
        <v>1.5499700000000001</v>
      </c>
      <c r="O55" s="2">
        <f t="shared" si="18"/>
        <v>294.49430000000001</v>
      </c>
      <c r="P55" s="2">
        <f t="shared" si="19"/>
        <v>30.999400000000001</v>
      </c>
      <c r="Q55" s="1">
        <v>62.243479999999998</v>
      </c>
      <c r="R55" s="3">
        <f t="shared" si="20"/>
        <v>18330.350072164001</v>
      </c>
      <c r="S55" s="3">
        <f t="shared" si="21"/>
        <v>1929.510533912</v>
      </c>
      <c r="T55" s="4">
        <f t="shared" si="22"/>
        <v>0.10526315789473684</v>
      </c>
    </row>
    <row r="56" spans="1:20" x14ac:dyDescent="0.25">
      <c r="A56" s="1">
        <v>52</v>
      </c>
      <c r="B56" s="1" t="s">
        <v>179</v>
      </c>
      <c r="C56" s="1" t="s">
        <v>175</v>
      </c>
      <c r="D56" s="1" t="s">
        <v>25</v>
      </c>
      <c r="E56" s="1" t="s">
        <v>180</v>
      </c>
      <c r="F56" s="1" t="s">
        <v>177</v>
      </c>
      <c r="G56" s="1" t="s">
        <v>178</v>
      </c>
      <c r="H56" s="1" t="s">
        <v>140</v>
      </c>
      <c r="I56" s="1" t="s">
        <v>141</v>
      </c>
      <c r="J56" s="1">
        <v>105</v>
      </c>
      <c r="K56" s="1" t="s">
        <v>141</v>
      </c>
      <c r="L56" s="1">
        <v>95</v>
      </c>
      <c r="M56" s="1">
        <v>2</v>
      </c>
      <c r="N56" s="2">
        <v>1.5499700000000001</v>
      </c>
      <c r="O56" s="2">
        <f t="shared" si="18"/>
        <v>294.49430000000001</v>
      </c>
      <c r="P56" s="2">
        <f t="shared" si="19"/>
        <v>30.999400000000001</v>
      </c>
      <c r="Q56" s="1">
        <v>62.243479999999998</v>
      </c>
      <c r="R56" s="3">
        <f t="shared" si="20"/>
        <v>18330.350072164001</v>
      </c>
      <c r="S56" s="3">
        <f t="shared" si="21"/>
        <v>1929.510533912</v>
      </c>
      <c r="T56" s="4">
        <f t="shared" si="22"/>
        <v>0.10526315789473684</v>
      </c>
    </row>
    <row r="57" spans="1:20" x14ac:dyDescent="0.25">
      <c r="A57" s="1">
        <v>53</v>
      </c>
      <c r="B57" s="1" t="s">
        <v>181</v>
      </c>
      <c r="C57" s="1" t="s">
        <v>182</v>
      </c>
      <c r="D57" s="1" t="s">
        <v>25</v>
      </c>
      <c r="E57" s="1" t="s">
        <v>183</v>
      </c>
      <c r="F57" s="1" t="s">
        <v>184</v>
      </c>
      <c r="G57" s="1" t="s">
        <v>185</v>
      </c>
      <c r="H57" s="1" t="s">
        <v>83</v>
      </c>
      <c r="I57" s="1" t="s">
        <v>32</v>
      </c>
      <c r="J57" s="1">
        <v>175</v>
      </c>
      <c r="K57" s="1" t="s">
        <v>32</v>
      </c>
      <c r="L57" s="1">
        <v>165</v>
      </c>
      <c r="M57" s="1">
        <v>1</v>
      </c>
      <c r="N57" s="2">
        <v>1.3247</v>
      </c>
      <c r="O57" s="2">
        <f t="shared" si="18"/>
        <v>218.57550000000001</v>
      </c>
      <c r="P57" s="2">
        <f t="shared" si="19"/>
        <v>13.247</v>
      </c>
      <c r="Q57" s="1">
        <v>62.243479999999998</v>
      </c>
      <c r="R57" s="3">
        <f t="shared" si="20"/>
        <v>13604.89976274</v>
      </c>
      <c r="S57" s="3">
        <f t="shared" si="21"/>
        <v>824.53937955999993</v>
      </c>
      <c r="T57" s="4">
        <f t="shared" si="22"/>
        <v>6.0606060606060601E-2</v>
      </c>
    </row>
    <row r="58" spans="1:20" x14ac:dyDescent="0.25">
      <c r="A58" s="1">
        <v>54</v>
      </c>
      <c r="B58" s="1" t="s">
        <v>186</v>
      </c>
      <c r="C58" s="1" t="s">
        <v>182</v>
      </c>
      <c r="D58" s="1" t="s">
        <v>25</v>
      </c>
      <c r="E58" s="1" t="s">
        <v>183</v>
      </c>
      <c r="F58" s="1" t="s">
        <v>122</v>
      </c>
      <c r="G58" s="1" t="s">
        <v>123</v>
      </c>
      <c r="H58" s="1" t="s">
        <v>124</v>
      </c>
      <c r="I58" s="1" t="s">
        <v>32</v>
      </c>
      <c r="J58" s="1">
        <v>112</v>
      </c>
      <c r="K58" s="1" t="s">
        <v>32</v>
      </c>
      <c r="L58" s="1">
        <v>102</v>
      </c>
      <c r="M58" s="1">
        <v>1</v>
      </c>
      <c r="N58" s="7">
        <v>1.3247</v>
      </c>
      <c r="O58" s="2">
        <f t="shared" si="18"/>
        <v>135.11939999999998</v>
      </c>
      <c r="P58" s="2">
        <f t="shared" si="19"/>
        <v>13.247</v>
      </c>
      <c r="Q58" s="1">
        <v>62.243479999999998</v>
      </c>
      <c r="R58" s="3">
        <f t="shared" si="20"/>
        <v>8410.3016715119993</v>
      </c>
      <c r="S58" s="3">
        <f t="shared" si="21"/>
        <v>824.53937955999993</v>
      </c>
      <c r="T58" s="4">
        <f t="shared" si="22"/>
        <v>9.8039215686274508E-2</v>
      </c>
    </row>
    <row r="59" spans="1:20" x14ac:dyDescent="0.25">
      <c r="A59" s="1">
        <v>55</v>
      </c>
      <c r="B59" s="1" t="s">
        <v>187</v>
      </c>
      <c r="C59" s="1" t="s">
        <v>182</v>
      </c>
      <c r="D59" s="1" t="s">
        <v>25</v>
      </c>
      <c r="E59" s="1" t="s">
        <v>183</v>
      </c>
      <c r="F59" s="1" t="s">
        <v>188</v>
      </c>
      <c r="G59" s="1" t="s">
        <v>189</v>
      </c>
      <c r="H59" s="1" t="s">
        <v>140</v>
      </c>
      <c r="I59" s="1" t="s">
        <v>141</v>
      </c>
      <c r="J59" s="1">
        <v>68</v>
      </c>
      <c r="K59" s="1" t="s">
        <v>141</v>
      </c>
      <c r="L59" s="1">
        <v>58</v>
      </c>
      <c r="M59" s="1">
        <v>1</v>
      </c>
      <c r="N59" s="2">
        <v>1.5499700000000001</v>
      </c>
      <c r="O59" s="2">
        <f t="shared" si="18"/>
        <v>89.898260000000008</v>
      </c>
      <c r="P59" s="2">
        <f t="shared" si="19"/>
        <v>15.499700000000001</v>
      </c>
      <c r="Q59" s="1">
        <v>62.243479999999998</v>
      </c>
      <c r="R59" s="3">
        <f t="shared" si="20"/>
        <v>5595.5805483448003</v>
      </c>
      <c r="S59" s="3">
        <f t="shared" si="21"/>
        <v>964.75526695600001</v>
      </c>
      <c r="T59" s="4">
        <f t="shared" si="22"/>
        <v>0.17241379310344826</v>
      </c>
    </row>
    <row r="60" spans="1:20" x14ac:dyDescent="0.25">
      <c r="A60" s="1">
        <v>56</v>
      </c>
      <c r="B60" s="1" t="s">
        <v>190</v>
      </c>
      <c r="C60" s="1" t="s">
        <v>182</v>
      </c>
      <c r="D60" s="1" t="s">
        <v>25</v>
      </c>
      <c r="E60" s="1" t="s">
        <v>183</v>
      </c>
      <c r="F60" s="1" t="s">
        <v>188</v>
      </c>
      <c r="G60" s="1" t="s">
        <v>189</v>
      </c>
      <c r="H60" s="1" t="s">
        <v>140</v>
      </c>
      <c r="I60" s="1" t="s">
        <v>141</v>
      </c>
      <c r="J60" s="1">
        <v>75</v>
      </c>
      <c r="K60" s="1" t="s">
        <v>141</v>
      </c>
      <c r="L60" s="1">
        <v>65</v>
      </c>
      <c r="M60" s="1">
        <v>1</v>
      </c>
      <c r="N60" s="2">
        <v>1.5499700000000001</v>
      </c>
      <c r="O60" s="2">
        <f t="shared" si="18"/>
        <v>100.74805000000001</v>
      </c>
      <c r="P60" s="2">
        <f t="shared" si="19"/>
        <v>15.499700000000001</v>
      </c>
      <c r="Q60" s="1">
        <v>62.243479999999998</v>
      </c>
      <c r="R60" s="3">
        <f t="shared" si="20"/>
        <v>6270.9092352140005</v>
      </c>
      <c r="S60" s="3">
        <f t="shared" si="21"/>
        <v>964.75526695600001</v>
      </c>
      <c r="T60" s="4">
        <f t="shared" si="22"/>
        <v>0.15384615384615383</v>
      </c>
    </row>
    <row r="61" spans="1:20" x14ac:dyDescent="0.25">
      <c r="A61" s="1">
        <v>57</v>
      </c>
      <c r="B61" s="1" t="s">
        <v>191</v>
      </c>
      <c r="C61" s="1" t="s">
        <v>192</v>
      </c>
      <c r="D61" s="1" t="s">
        <v>25</v>
      </c>
      <c r="E61" s="1" t="s">
        <v>35</v>
      </c>
      <c r="F61" s="1" t="s">
        <v>193</v>
      </c>
      <c r="G61" s="1" t="s">
        <v>53</v>
      </c>
      <c r="H61" s="1" t="s">
        <v>54</v>
      </c>
      <c r="I61" s="1" t="s">
        <v>23</v>
      </c>
      <c r="J61" s="1">
        <v>200</v>
      </c>
      <c r="K61" s="1" t="s">
        <v>23</v>
      </c>
      <c r="L61" s="1">
        <v>190</v>
      </c>
      <c r="M61" s="1">
        <v>4</v>
      </c>
      <c r="N61" s="2">
        <v>1</v>
      </c>
      <c r="O61" s="2">
        <f t="shared" si="18"/>
        <v>760</v>
      </c>
      <c r="P61" s="2">
        <f t="shared" si="19"/>
        <v>40</v>
      </c>
      <c r="Q61" s="1">
        <v>62.243479999999998</v>
      </c>
      <c r="R61" s="3">
        <f t="shared" si="20"/>
        <v>47305.044799999996</v>
      </c>
      <c r="S61" s="3">
        <f t="shared" si="21"/>
        <v>2489.7392</v>
      </c>
      <c r="T61" s="4">
        <f t="shared" si="22"/>
        <v>5.2631578947368425E-2</v>
      </c>
    </row>
    <row r="62" spans="1:20" x14ac:dyDescent="0.25">
      <c r="A62" s="1">
        <v>58</v>
      </c>
      <c r="B62" s="1" t="s">
        <v>194</v>
      </c>
      <c r="C62" s="1" t="s">
        <v>192</v>
      </c>
      <c r="D62" s="1" t="s">
        <v>15</v>
      </c>
      <c r="E62" s="1" t="s">
        <v>121</v>
      </c>
      <c r="F62" s="1" t="s">
        <v>195</v>
      </c>
      <c r="G62" s="1" t="s">
        <v>196</v>
      </c>
      <c r="H62" s="1" t="s">
        <v>140</v>
      </c>
      <c r="I62" s="1" t="s">
        <v>141</v>
      </c>
      <c r="J62" s="1">
        <v>119</v>
      </c>
      <c r="K62" s="1" t="s">
        <v>141</v>
      </c>
      <c r="L62" s="1">
        <v>109</v>
      </c>
      <c r="M62" s="1">
        <v>5</v>
      </c>
      <c r="N62" s="2">
        <v>1.5499700000000001</v>
      </c>
      <c r="O62" s="2">
        <f t="shared" si="18"/>
        <v>844.73365000000001</v>
      </c>
      <c r="P62" s="2">
        <f t="shared" si="19"/>
        <v>77.498500000000007</v>
      </c>
      <c r="Q62" s="1">
        <v>62.243479999999998</v>
      </c>
      <c r="R62" s="3">
        <f t="shared" si="20"/>
        <v>52579.162049102</v>
      </c>
      <c r="S62" s="3">
        <f t="shared" si="21"/>
        <v>4823.7763347800001</v>
      </c>
      <c r="T62" s="4">
        <f t="shared" si="22"/>
        <v>9.1743119266055051E-2</v>
      </c>
    </row>
    <row r="63" spans="1:20" x14ac:dyDescent="0.25">
      <c r="A63" s="1">
        <v>59</v>
      </c>
      <c r="B63" s="1" t="s">
        <v>197</v>
      </c>
      <c r="C63" s="1" t="s">
        <v>192</v>
      </c>
      <c r="D63" s="1" t="s">
        <v>15</v>
      </c>
      <c r="E63" s="1" t="s">
        <v>121</v>
      </c>
      <c r="F63" s="1" t="s">
        <v>122</v>
      </c>
      <c r="G63" s="1" t="s">
        <v>123</v>
      </c>
      <c r="H63" s="1" t="s">
        <v>124</v>
      </c>
      <c r="I63" s="1" t="s">
        <v>32</v>
      </c>
      <c r="J63" s="1">
        <v>112</v>
      </c>
      <c r="K63" s="1" t="s">
        <v>32</v>
      </c>
      <c r="L63" s="1">
        <v>102</v>
      </c>
      <c r="M63" s="1">
        <v>2</v>
      </c>
      <c r="N63" s="7">
        <v>1.3247</v>
      </c>
      <c r="O63" s="2">
        <f t="shared" si="18"/>
        <v>270.23879999999997</v>
      </c>
      <c r="P63" s="2">
        <f t="shared" si="19"/>
        <v>26.494</v>
      </c>
      <c r="Q63" s="1">
        <v>62.243479999999998</v>
      </c>
      <c r="R63" s="3">
        <f t="shared" si="20"/>
        <v>16820.603343023999</v>
      </c>
      <c r="S63" s="3">
        <f t="shared" si="21"/>
        <v>1649.0787591199999</v>
      </c>
      <c r="T63" s="4">
        <f t="shared" si="22"/>
        <v>9.8039215686274508E-2</v>
      </c>
    </row>
    <row r="64" spans="1:20" x14ac:dyDescent="0.25">
      <c r="A64" s="1">
        <v>60</v>
      </c>
      <c r="B64" s="1" t="s">
        <v>198</v>
      </c>
      <c r="C64" s="1" t="s">
        <v>199</v>
      </c>
      <c r="D64" s="1" t="s">
        <v>200</v>
      </c>
      <c r="E64" s="1" t="s">
        <v>166</v>
      </c>
      <c r="F64" s="1" t="s">
        <v>201</v>
      </c>
      <c r="G64" s="1" t="s">
        <v>202</v>
      </c>
      <c r="H64" s="1" t="s">
        <v>140</v>
      </c>
      <c r="I64" s="1" t="s">
        <v>141</v>
      </c>
      <c r="J64" s="1">
        <v>99</v>
      </c>
      <c r="K64" s="1" t="s">
        <v>141</v>
      </c>
      <c r="L64" s="1">
        <v>89</v>
      </c>
      <c r="M64" s="1">
        <v>6</v>
      </c>
      <c r="N64" s="2">
        <v>1.5499700000000001</v>
      </c>
      <c r="O64" s="2">
        <f t="shared" si="18"/>
        <v>827.68398000000002</v>
      </c>
      <c r="P64" s="2">
        <f t="shared" si="19"/>
        <v>92.998199999999997</v>
      </c>
      <c r="Q64" s="1">
        <v>62.243479999999998</v>
      </c>
      <c r="R64" s="3">
        <f t="shared" si="20"/>
        <v>51517.931255450399</v>
      </c>
      <c r="S64" s="3">
        <f t="shared" si="21"/>
        <v>5788.5316017360001</v>
      </c>
      <c r="T64" s="4">
        <f t="shared" si="22"/>
        <v>0.11235955056179775</v>
      </c>
    </row>
    <row r="65" spans="1:20" x14ac:dyDescent="0.25">
      <c r="A65" s="1">
        <v>61</v>
      </c>
      <c r="B65" s="1" t="s">
        <v>203</v>
      </c>
      <c r="C65" s="1" t="s">
        <v>199</v>
      </c>
      <c r="D65" s="1" t="s">
        <v>200</v>
      </c>
      <c r="E65" s="1" t="s">
        <v>166</v>
      </c>
      <c r="F65" s="1" t="s">
        <v>204</v>
      </c>
      <c r="G65" s="1" t="s">
        <v>185</v>
      </c>
      <c r="H65" s="1" t="s">
        <v>83</v>
      </c>
      <c r="I65" s="1" t="s">
        <v>32</v>
      </c>
      <c r="J65" s="1">
        <v>108</v>
      </c>
      <c r="K65" s="1" t="s">
        <v>32</v>
      </c>
      <c r="L65" s="1">
        <v>98</v>
      </c>
      <c r="M65" s="1">
        <v>1</v>
      </c>
      <c r="N65" s="7">
        <v>1.3247</v>
      </c>
      <c r="O65" s="2">
        <f t="shared" si="18"/>
        <v>129.82060000000001</v>
      </c>
      <c r="P65" s="2">
        <f t="shared" si="19"/>
        <v>13.247</v>
      </c>
      <c r="Q65" s="1">
        <v>62.243479999999998</v>
      </c>
      <c r="R65" s="3">
        <f t="shared" si="20"/>
        <v>8080.4859196880006</v>
      </c>
      <c r="S65" s="3">
        <f t="shared" si="21"/>
        <v>824.53937955999993</v>
      </c>
      <c r="T65" s="4">
        <f t="shared" si="22"/>
        <v>0.1020408163265306</v>
      </c>
    </row>
    <row r="66" spans="1:20" x14ac:dyDescent="0.25">
      <c r="A66" s="1">
        <v>62</v>
      </c>
      <c r="B66" s="1" t="s">
        <v>205</v>
      </c>
      <c r="C66" s="1" t="s">
        <v>199</v>
      </c>
      <c r="D66" s="1" t="s">
        <v>200</v>
      </c>
      <c r="E66" s="1" t="s">
        <v>166</v>
      </c>
      <c r="F66" s="1" t="s">
        <v>206</v>
      </c>
      <c r="G66" s="1" t="s">
        <v>202</v>
      </c>
      <c r="H66" s="1" t="s">
        <v>140</v>
      </c>
      <c r="I66" s="1" t="s">
        <v>141</v>
      </c>
      <c r="J66" s="1">
        <v>104</v>
      </c>
      <c r="K66" s="1" t="s">
        <v>141</v>
      </c>
      <c r="L66" s="1">
        <v>94</v>
      </c>
      <c r="M66" s="1">
        <v>2</v>
      </c>
      <c r="N66" s="2">
        <v>1.5499700000000001</v>
      </c>
      <c r="O66" s="2">
        <f t="shared" si="18"/>
        <v>291.39436000000001</v>
      </c>
      <c r="P66" s="2">
        <f t="shared" si="19"/>
        <v>30.999400000000001</v>
      </c>
      <c r="Q66" s="1">
        <v>62.243479999999998</v>
      </c>
      <c r="R66" s="3">
        <f t="shared" si="20"/>
        <v>18137.399018772801</v>
      </c>
      <c r="S66" s="3">
        <f t="shared" si="21"/>
        <v>1929.510533912</v>
      </c>
      <c r="T66" s="4">
        <f t="shared" si="22"/>
        <v>0.10638297872340424</v>
      </c>
    </row>
    <row r="67" spans="1:20" x14ac:dyDescent="0.25">
      <c r="A67" s="1">
        <v>63</v>
      </c>
      <c r="B67" s="1" t="s">
        <v>207</v>
      </c>
      <c r="C67" s="1" t="s">
        <v>199</v>
      </c>
      <c r="D67" s="1" t="s">
        <v>200</v>
      </c>
      <c r="E67" s="1" t="s">
        <v>166</v>
      </c>
      <c r="F67" s="1" t="s">
        <v>122</v>
      </c>
      <c r="G67" s="1" t="s">
        <v>123</v>
      </c>
      <c r="H67" s="1" t="s">
        <v>124</v>
      </c>
      <c r="I67" s="1" t="s">
        <v>32</v>
      </c>
      <c r="J67" s="1">
        <v>112</v>
      </c>
      <c r="K67" s="1" t="s">
        <v>32</v>
      </c>
      <c r="L67" s="1">
        <v>102</v>
      </c>
      <c r="M67" s="1">
        <v>1</v>
      </c>
      <c r="N67" s="7">
        <v>1.3247</v>
      </c>
      <c r="O67" s="2">
        <f t="shared" si="18"/>
        <v>135.11939999999998</v>
      </c>
      <c r="P67" s="2">
        <f t="shared" si="19"/>
        <v>13.247</v>
      </c>
      <c r="Q67" s="1">
        <v>62.243479999999998</v>
      </c>
      <c r="R67" s="3">
        <f t="shared" si="20"/>
        <v>8410.3016715119993</v>
      </c>
      <c r="S67" s="3">
        <f t="shared" si="21"/>
        <v>824.53937955999993</v>
      </c>
      <c r="T67" s="4">
        <f t="shared" si="22"/>
        <v>9.8039215686274508E-2</v>
      </c>
    </row>
    <row r="68" spans="1:20" x14ac:dyDescent="0.25">
      <c r="A68" s="1">
        <v>64</v>
      </c>
      <c r="B68" s="1" t="s">
        <v>208</v>
      </c>
      <c r="C68" s="1" t="s">
        <v>199</v>
      </c>
      <c r="D68" s="1" t="s">
        <v>200</v>
      </c>
      <c r="E68" s="1" t="s">
        <v>166</v>
      </c>
      <c r="F68" s="1" t="s">
        <v>201</v>
      </c>
      <c r="G68" s="1" t="s">
        <v>202</v>
      </c>
      <c r="H68" s="1" t="s">
        <v>140</v>
      </c>
      <c r="I68" s="1" t="s">
        <v>141</v>
      </c>
      <c r="J68" s="1">
        <v>108</v>
      </c>
      <c r="K68" s="1" t="s">
        <v>141</v>
      </c>
      <c r="L68" s="1">
        <v>98</v>
      </c>
      <c r="M68" s="1">
        <v>1</v>
      </c>
      <c r="N68" s="2">
        <v>1.5499700000000001</v>
      </c>
      <c r="O68" s="2">
        <f t="shared" si="18"/>
        <v>151.89706000000001</v>
      </c>
      <c r="P68" s="2">
        <f t="shared" si="19"/>
        <v>15.499700000000001</v>
      </c>
      <c r="Q68" s="1">
        <v>62.243479999999998</v>
      </c>
      <c r="R68" s="3">
        <f t="shared" si="20"/>
        <v>9454.6016161688003</v>
      </c>
      <c r="S68" s="3">
        <f t="shared" si="21"/>
        <v>964.75526695600001</v>
      </c>
      <c r="T68" s="4">
        <f t="shared" si="22"/>
        <v>0.10204081632653061</v>
      </c>
    </row>
    <row r="69" spans="1:20" x14ac:dyDescent="0.25">
      <c r="A69" s="1">
        <v>65</v>
      </c>
      <c r="B69" s="1" t="s">
        <v>209</v>
      </c>
      <c r="C69" s="1" t="s">
        <v>210</v>
      </c>
      <c r="D69" s="1" t="s">
        <v>15</v>
      </c>
      <c r="E69" s="1" t="s">
        <v>211</v>
      </c>
      <c r="F69" s="1" t="s">
        <v>212</v>
      </c>
      <c r="G69" s="1" t="s">
        <v>104</v>
      </c>
      <c r="H69" s="1" t="s">
        <v>105</v>
      </c>
      <c r="I69" s="1" t="s">
        <v>32</v>
      </c>
      <c r="J69" s="1">
        <v>99</v>
      </c>
      <c r="K69" s="1" t="s">
        <v>32</v>
      </c>
      <c r="L69" s="1">
        <v>89</v>
      </c>
      <c r="M69" s="1">
        <v>1</v>
      </c>
      <c r="N69" s="7">
        <v>1.3247</v>
      </c>
      <c r="O69" s="2">
        <f t="shared" si="18"/>
        <v>117.89830000000001</v>
      </c>
      <c r="P69" s="2">
        <f t="shared" si="19"/>
        <v>13.247</v>
      </c>
      <c r="Q69" s="1">
        <v>62.243479999999998</v>
      </c>
      <c r="R69" s="3">
        <f t="shared" si="20"/>
        <v>7338.4004780840005</v>
      </c>
      <c r="S69" s="3">
        <f t="shared" si="21"/>
        <v>824.53937955999993</v>
      </c>
      <c r="T69" s="4">
        <f t="shared" si="22"/>
        <v>0.11235955056179774</v>
      </c>
    </row>
    <row r="70" spans="1:20" x14ac:dyDescent="0.25">
      <c r="A70" s="1">
        <v>66</v>
      </c>
      <c r="B70" s="1" t="s">
        <v>213</v>
      </c>
      <c r="C70" s="1" t="s">
        <v>214</v>
      </c>
      <c r="D70" s="1" t="s">
        <v>15</v>
      </c>
      <c r="E70" s="1" t="s">
        <v>67</v>
      </c>
      <c r="F70" s="1" t="s">
        <v>215</v>
      </c>
      <c r="G70" s="1" t="s">
        <v>216</v>
      </c>
      <c r="H70" s="1" t="s">
        <v>217</v>
      </c>
      <c r="I70" s="1" t="s">
        <v>23</v>
      </c>
      <c r="J70" s="1">
        <v>130</v>
      </c>
      <c r="K70" s="1" t="s">
        <v>23</v>
      </c>
      <c r="L70" s="1">
        <v>120</v>
      </c>
      <c r="M70" s="1">
        <v>5</v>
      </c>
      <c r="N70" s="2">
        <v>1</v>
      </c>
      <c r="O70" s="2">
        <f t="shared" si="18"/>
        <v>600</v>
      </c>
      <c r="P70" s="2">
        <f t="shared" si="19"/>
        <v>50</v>
      </c>
      <c r="Q70" s="1">
        <v>62.243479999999998</v>
      </c>
      <c r="R70" s="3">
        <f t="shared" si="20"/>
        <v>37346.087999999996</v>
      </c>
      <c r="S70" s="3">
        <f t="shared" si="21"/>
        <v>3112.174</v>
      </c>
      <c r="T70" s="4">
        <f t="shared" si="22"/>
        <v>8.3333333333333343E-2</v>
      </c>
    </row>
    <row r="71" spans="1:20" x14ac:dyDescent="0.25">
      <c r="A71" s="1">
        <v>67</v>
      </c>
      <c r="B71" s="1" t="s">
        <v>218</v>
      </c>
      <c r="C71" s="1" t="s">
        <v>214</v>
      </c>
      <c r="D71" s="1" t="s">
        <v>15</v>
      </c>
      <c r="E71" s="1" t="s">
        <v>219</v>
      </c>
      <c r="F71" s="1" t="s">
        <v>215</v>
      </c>
      <c r="G71" s="1" t="s">
        <v>216</v>
      </c>
      <c r="H71" s="1" t="s">
        <v>217</v>
      </c>
      <c r="I71" s="1" t="s">
        <v>23</v>
      </c>
      <c r="J71" s="1">
        <v>130</v>
      </c>
      <c r="K71" s="1" t="s">
        <v>23</v>
      </c>
      <c r="L71" s="1">
        <v>120</v>
      </c>
      <c r="M71" s="1">
        <v>5</v>
      </c>
      <c r="N71" s="2">
        <v>1</v>
      </c>
      <c r="O71" s="2">
        <f t="shared" si="18"/>
        <v>600</v>
      </c>
      <c r="P71" s="2">
        <f t="shared" si="19"/>
        <v>50</v>
      </c>
      <c r="Q71" s="1">
        <v>62.243479999999998</v>
      </c>
      <c r="R71" s="3">
        <f t="shared" si="20"/>
        <v>37346.087999999996</v>
      </c>
      <c r="S71" s="3">
        <f t="shared" si="21"/>
        <v>3112.174</v>
      </c>
      <c r="T71" s="4">
        <f t="shared" si="22"/>
        <v>8.3333333333333343E-2</v>
      </c>
    </row>
    <row r="72" spans="1:20" x14ac:dyDescent="0.25">
      <c r="A72" s="1">
        <v>68</v>
      </c>
      <c r="B72" s="1" t="s">
        <v>220</v>
      </c>
      <c r="C72" s="1" t="s">
        <v>214</v>
      </c>
      <c r="D72" s="1" t="s">
        <v>15</v>
      </c>
      <c r="E72" s="1" t="s">
        <v>72</v>
      </c>
      <c r="F72" s="1" t="s">
        <v>221</v>
      </c>
      <c r="G72" s="1" t="s">
        <v>222</v>
      </c>
      <c r="H72" s="1" t="s">
        <v>158</v>
      </c>
      <c r="I72" s="1" t="s">
        <v>32</v>
      </c>
      <c r="J72" s="1">
        <v>64</v>
      </c>
      <c r="K72" s="1" t="s">
        <v>32</v>
      </c>
      <c r="L72" s="1">
        <v>54</v>
      </c>
      <c r="M72" s="1">
        <v>1</v>
      </c>
      <c r="N72" s="7">
        <v>1.3247</v>
      </c>
      <c r="O72" s="2">
        <f t="shared" si="18"/>
        <v>71.533799999999999</v>
      </c>
      <c r="P72" s="2">
        <f t="shared" si="19"/>
        <v>13.247</v>
      </c>
      <c r="Q72" s="1">
        <v>62.243479999999998</v>
      </c>
      <c r="R72" s="3">
        <f t="shared" si="20"/>
        <v>4452.512649624</v>
      </c>
      <c r="S72" s="3">
        <f t="shared" si="21"/>
        <v>824.53937955999993</v>
      </c>
      <c r="T72" s="4">
        <f t="shared" si="22"/>
        <v>0.18518518518518517</v>
      </c>
    </row>
    <row r="73" spans="1:20" x14ac:dyDescent="0.25">
      <c r="A73" s="1">
        <v>69</v>
      </c>
      <c r="B73" s="1" t="s">
        <v>223</v>
      </c>
      <c r="C73" s="1" t="s">
        <v>214</v>
      </c>
      <c r="D73" s="1" t="s">
        <v>15</v>
      </c>
      <c r="E73" s="1" t="s">
        <v>72</v>
      </c>
      <c r="F73" s="1" t="s">
        <v>134</v>
      </c>
      <c r="G73" s="1" t="s">
        <v>135</v>
      </c>
      <c r="H73" s="1" t="s">
        <v>31</v>
      </c>
      <c r="I73" s="1" t="s">
        <v>32</v>
      </c>
      <c r="J73" s="1">
        <v>125</v>
      </c>
      <c r="K73" s="1" t="s">
        <v>32</v>
      </c>
      <c r="L73" s="1">
        <v>115</v>
      </c>
      <c r="M73" s="1">
        <v>4</v>
      </c>
      <c r="N73" s="7">
        <v>1.3247</v>
      </c>
      <c r="O73" s="2">
        <f t="shared" si="18"/>
        <v>609.36199999999997</v>
      </c>
      <c r="P73" s="2">
        <f t="shared" si="19"/>
        <v>52.988</v>
      </c>
      <c r="Q73" s="1">
        <v>62.243479999999998</v>
      </c>
      <c r="R73" s="3">
        <f t="shared" si="20"/>
        <v>37928.81145976</v>
      </c>
      <c r="S73" s="3">
        <f t="shared" si="21"/>
        <v>3298.1575182399997</v>
      </c>
      <c r="T73" s="4">
        <f t="shared" si="22"/>
        <v>8.6956521739130432E-2</v>
      </c>
    </row>
    <row r="74" spans="1:20" x14ac:dyDescent="0.25">
      <c r="A74" s="1">
        <v>70</v>
      </c>
      <c r="B74" s="1" t="s">
        <v>224</v>
      </c>
      <c r="C74" s="1" t="s">
        <v>225</v>
      </c>
      <c r="D74" s="1" t="s">
        <v>25</v>
      </c>
      <c r="E74" s="1" t="s">
        <v>86</v>
      </c>
      <c r="F74" s="1" t="s">
        <v>226</v>
      </c>
      <c r="G74" s="1" t="s">
        <v>227</v>
      </c>
      <c r="H74" s="1" t="s">
        <v>88</v>
      </c>
      <c r="I74" s="1" t="s">
        <v>89</v>
      </c>
      <c r="J74" s="1">
        <v>4375</v>
      </c>
      <c r="K74" s="1" t="s">
        <v>89</v>
      </c>
      <c r="L74" s="1">
        <v>4275</v>
      </c>
      <c r="M74" s="1">
        <v>1</v>
      </c>
      <c r="N74" s="2">
        <v>1.6619999999999999E-2</v>
      </c>
      <c r="O74" s="2">
        <f t="shared" si="18"/>
        <v>71.0505</v>
      </c>
      <c r="P74" s="2">
        <f t="shared" si="19"/>
        <v>1.6619999999999999</v>
      </c>
      <c r="Q74" s="1">
        <v>62.243479999999998</v>
      </c>
      <c r="R74" s="3">
        <f t="shared" si="20"/>
        <v>4422.4303757400003</v>
      </c>
      <c r="S74" s="3">
        <f t="shared" si="21"/>
        <v>103.44866375999999</v>
      </c>
      <c r="T74" s="4">
        <f t="shared" si="22"/>
        <v>2.3391812865497071E-2</v>
      </c>
    </row>
    <row r="75" spans="1:20" x14ac:dyDescent="0.25">
      <c r="A75" s="1">
        <v>71</v>
      </c>
      <c r="B75" s="1" t="s">
        <v>228</v>
      </c>
      <c r="C75" s="1" t="s">
        <v>225</v>
      </c>
      <c r="D75" s="1" t="s">
        <v>25</v>
      </c>
      <c r="E75" s="1" t="s">
        <v>229</v>
      </c>
      <c r="F75" s="1" t="s">
        <v>226</v>
      </c>
      <c r="G75" s="1" t="s">
        <v>227</v>
      </c>
      <c r="H75" s="1" t="s">
        <v>88</v>
      </c>
      <c r="I75" s="1" t="s">
        <v>89</v>
      </c>
      <c r="J75" s="1">
        <v>4375</v>
      </c>
      <c r="K75" s="1" t="s">
        <v>89</v>
      </c>
      <c r="L75" s="1">
        <v>4275</v>
      </c>
      <c r="M75" s="1">
        <v>1</v>
      </c>
      <c r="N75" s="2">
        <v>1.6619999999999999E-2</v>
      </c>
      <c r="O75" s="2">
        <f t="shared" si="18"/>
        <v>71.0505</v>
      </c>
      <c r="P75" s="2">
        <f t="shared" si="19"/>
        <v>1.6619999999999999</v>
      </c>
      <c r="Q75" s="1">
        <v>62.243479999999998</v>
      </c>
      <c r="R75" s="3">
        <f t="shared" si="20"/>
        <v>4422.4303757400003</v>
      </c>
      <c r="S75" s="3">
        <f t="shared" si="21"/>
        <v>103.44866375999999</v>
      </c>
      <c r="T75" s="4">
        <f t="shared" si="22"/>
        <v>2.3391812865497071E-2</v>
      </c>
    </row>
    <row r="76" spans="1:20" x14ac:dyDescent="0.25">
      <c r="A76" s="1">
        <v>72</v>
      </c>
      <c r="B76" s="1" t="s">
        <v>230</v>
      </c>
      <c r="C76" s="1" t="s">
        <v>225</v>
      </c>
      <c r="D76" s="1" t="s">
        <v>25</v>
      </c>
      <c r="E76" s="1" t="s">
        <v>35</v>
      </c>
      <c r="F76" s="1" t="s">
        <v>226</v>
      </c>
      <c r="G76" s="1" t="s">
        <v>227</v>
      </c>
      <c r="H76" s="1" t="s">
        <v>88</v>
      </c>
      <c r="I76" s="1" t="s">
        <v>89</v>
      </c>
      <c r="J76" s="1">
        <v>4375</v>
      </c>
      <c r="K76" s="1" t="s">
        <v>89</v>
      </c>
      <c r="L76" s="1">
        <v>4275</v>
      </c>
      <c r="M76" s="1">
        <v>1</v>
      </c>
      <c r="N76" s="2">
        <v>1.6619999999999999E-2</v>
      </c>
      <c r="O76" s="2">
        <f t="shared" si="18"/>
        <v>71.0505</v>
      </c>
      <c r="P76" s="2">
        <f t="shared" si="19"/>
        <v>1.6619999999999999</v>
      </c>
      <c r="Q76" s="1">
        <v>62.243479999999998</v>
      </c>
      <c r="R76" s="3">
        <f t="shared" si="20"/>
        <v>4422.4303757400003</v>
      </c>
      <c r="S76" s="3">
        <f t="shared" si="21"/>
        <v>103.44866375999999</v>
      </c>
      <c r="T76" s="4">
        <f t="shared" si="22"/>
        <v>2.3391812865497071E-2</v>
      </c>
    </row>
    <row r="77" spans="1:20" x14ac:dyDescent="0.25">
      <c r="A77" s="1">
        <v>73</v>
      </c>
      <c r="B77" s="1" t="s">
        <v>231</v>
      </c>
      <c r="C77" s="1" t="s">
        <v>232</v>
      </c>
      <c r="D77" s="1" t="s">
        <v>25</v>
      </c>
      <c r="E77" s="1" t="s">
        <v>26</v>
      </c>
      <c r="F77" s="1" t="s">
        <v>233</v>
      </c>
      <c r="G77" s="1" t="s">
        <v>21</v>
      </c>
      <c r="H77" s="1" t="s">
        <v>22</v>
      </c>
      <c r="I77" s="1" t="s">
        <v>23</v>
      </c>
      <c r="J77" s="1">
        <v>96</v>
      </c>
      <c r="K77" s="1" t="s">
        <v>23</v>
      </c>
      <c r="L77" s="1">
        <v>86</v>
      </c>
      <c r="M77" s="1">
        <v>3</v>
      </c>
      <c r="N77" s="2">
        <v>1</v>
      </c>
      <c r="O77" s="2">
        <f t="shared" si="18"/>
        <v>258</v>
      </c>
      <c r="P77" s="2">
        <f t="shared" si="19"/>
        <v>30</v>
      </c>
      <c r="Q77" s="1">
        <v>62.243479999999998</v>
      </c>
      <c r="R77" s="3">
        <f t="shared" si="20"/>
        <v>16058.81784</v>
      </c>
      <c r="S77" s="3">
        <f t="shared" si="21"/>
        <v>1867.3044</v>
      </c>
      <c r="T77" s="4">
        <f t="shared" si="22"/>
        <v>0.11627906976744186</v>
      </c>
    </row>
    <row r="78" spans="1:20" x14ac:dyDescent="0.25">
      <c r="A78" s="1">
        <v>74</v>
      </c>
      <c r="B78" s="1" t="s">
        <v>234</v>
      </c>
      <c r="C78" s="1" t="s">
        <v>235</v>
      </c>
      <c r="D78" s="1" t="s">
        <v>25</v>
      </c>
      <c r="E78" s="1" t="s">
        <v>236</v>
      </c>
      <c r="F78" s="1" t="s">
        <v>237</v>
      </c>
      <c r="G78" s="1" t="s">
        <v>238</v>
      </c>
      <c r="H78" s="1" t="s">
        <v>117</v>
      </c>
      <c r="I78" s="1" t="s">
        <v>23</v>
      </c>
      <c r="J78" s="1">
        <v>89</v>
      </c>
      <c r="K78" s="1" t="s">
        <v>23</v>
      </c>
      <c r="L78" s="1">
        <v>79</v>
      </c>
      <c r="M78" s="1">
        <v>1</v>
      </c>
      <c r="N78" s="2">
        <v>1</v>
      </c>
      <c r="O78" s="2">
        <f t="shared" si="18"/>
        <v>79</v>
      </c>
      <c r="P78" s="2">
        <f t="shared" si="19"/>
        <v>10</v>
      </c>
      <c r="Q78" s="1">
        <v>62.243479999999998</v>
      </c>
      <c r="R78" s="3">
        <f t="shared" si="20"/>
        <v>4917.2349199999999</v>
      </c>
      <c r="S78" s="3">
        <f t="shared" si="21"/>
        <v>622.4348</v>
      </c>
      <c r="T78" s="4">
        <f t="shared" si="22"/>
        <v>0.12658227848101267</v>
      </c>
    </row>
    <row r="79" spans="1:20" x14ac:dyDescent="0.25">
      <c r="A79" s="1">
        <v>75</v>
      </c>
      <c r="B79" s="1" t="s">
        <v>239</v>
      </c>
      <c r="C79" s="1" t="s">
        <v>240</v>
      </c>
      <c r="D79" s="1" t="s">
        <v>15</v>
      </c>
      <c r="E79" s="1" t="s">
        <v>97</v>
      </c>
      <c r="F79" s="1" t="s">
        <v>212</v>
      </c>
      <c r="G79" s="1" t="s">
        <v>104</v>
      </c>
      <c r="H79" s="1" t="s">
        <v>105</v>
      </c>
      <c r="I79" s="1" t="s">
        <v>32</v>
      </c>
      <c r="J79" s="1">
        <v>80</v>
      </c>
      <c r="K79" s="1" t="s">
        <v>32</v>
      </c>
      <c r="L79" s="1">
        <v>70</v>
      </c>
      <c r="M79" s="1">
        <v>2</v>
      </c>
      <c r="N79" s="7">
        <v>1.3247</v>
      </c>
      <c r="O79" s="2">
        <f t="shared" si="18"/>
        <v>185.458</v>
      </c>
      <c r="P79" s="2">
        <f t="shared" si="19"/>
        <v>26.494</v>
      </c>
      <c r="Q79" s="1">
        <v>62.243479999999998</v>
      </c>
      <c r="R79" s="3">
        <f t="shared" si="20"/>
        <v>11543.55131384</v>
      </c>
      <c r="S79" s="3">
        <f t="shared" si="21"/>
        <v>1649.0787591199999</v>
      </c>
      <c r="T79" s="4">
        <f t="shared" si="22"/>
        <v>0.14285714285714285</v>
      </c>
    </row>
    <row r="80" spans="1:20" x14ac:dyDescent="0.25">
      <c r="A80" s="1">
        <v>76</v>
      </c>
      <c r="B80" s="1" t="s">
        <v>241</v>
      </c>
      <c r="C80" s="1" t="s">
        <v>240</v>
      </c>
      <c r="D80" s="1" t="s">
        <v>15</v>
      </c>
      <c r="E80" s="1" t="s">
        <v>97</v>
      </c>
      <c r="F80" s="1" t="s">
        <v>242</v>
      </c>
      <c r="G80" s="1" t="s">
        <v>243</v>
      </c>
      <c r="H80" s="1" t="s">
        <v>140</v>
      </c>
      <c r="I80" s="1" t="s">
        <v>141</v>
      </c>
      <c r="J80" s="1">
        <v>129</v>
      </c>
      <c r="K80" s="1" t="s">
        <v>141</v>
      </c>
      <c r="L80" s="1">
        <v>119</v>
      </c>
      <c r="M80" s="1">
        <v>3</v>
      </c>
      <c r="N80" s="2">
        <v>1.5499700000000001</v>
      </c>
      <c r="O80" s="2">
        <f t="shared" si="18"/>
        <v>553.33929000000001</v>
      </c>
      <c r="P80" s="2">
        <f t="shared" si="19"/>
        <v>46.499099999999999</v>
      </c>
      <c r="Q80" s="1">
        <v>62.243479999999998</v>
      </c>
      <c r="R80" s="3">
        <f t="shared" si="20"/>
        <v>34441.763030329203</v>
      </c>
      <c r="S80" s="3">
        <f t="shared" si="21"/>
        <v>2894.265800868</v>
      </c>
      <c r="T80" s="4">
        <f t="shared" si="22"/>
        <v>8.4033613445378144E-2</v>
      </c>
    </row>
    <row r="81" spans="1:20" x14ac:dyDescent="0.25">
      <c r="A81" s="1">
        <v>77</v>
      </c>
      <c r="B81" s="1" t="s">
        <v>244</v>
      </c>
      <c r="C81" s="1" t="s">
        <v>240</v>
      </c>
      <c r="D81" s="1" t="s">
        <v>15</v>
      </c>
      <c r="E81" s="1" t="s">
        <v>97</v>
      </c>
      <c r="F81" s="1" t="s">
        <v>94</v>
      </c>
      <c r="G81" s="1" t="s">
        <v>95</v>
      </c>
      <c r="H81" s="1" t="s">
        <v>83</v>
      </c>
      <c r="I81" s="1" t="s">
        <v>32</v>
      </c>
      <c r="J81" s="1">
        <v>146</v>
      </c>
      <c r="K81" s="1" t="s">
        <v>32</v>
      </c>
      <c r="L81" s="1">
        <v>136</v>
      </c>
      <c r="M81" s="1">
        <v>1</v>
      </c>
      <c r="N81" s="7">
        <v>1.3247</v>
      </c>
      <c r="O81" s="2">
        <f t="shared" si="18"/>
        <v>180.1592</v>
      </c>
      <c r="P81" s="2">
        <f t="shared" si="19"/>
        <v>13.247</v>
      </c>
      <c r="Q81" s="1">
        <v>62.243479999999998</v>
      </c>
      <c r="R81" s="3">
        <f t="shared" si="20"/>
        <v>11213.735562016</v>
      </c>
      <c r="S81" s="3">
        <f t="shared" si="21"/>
        <v>824.53937955999993</v>
      </c>
      <c r="T81" s="4">
        <f t="shared" si="22"/>
        <v>7.3529411764705885E-2</v>
      </c>
    </row>
    <row r="82" spans="1:20" x14ac:dyDescent="0.25">
      <c r="A82" s="1">
        <v>78</v>
      </c>
      <c r="B82" s="1" t="s">
        <v>245</v>
      </c>
      <c r="C82" s="1" t="s">
        <v>132</v>
      </c>
      <c r="D82" s="1" t="s">
        <v>15</v>
      </c>
      <c r="E82" s="1" t="s">
        <v>246</v>
      </c>
      <c r="F82" s="1" t="s">
        <v>247</v>
      </c>
      <c r="G82" s="1" t="s">
        <v>164</v>
      </c>
      <c r="H82" s="1" t="s">
        <v>31</v>
      </c>
      <c r="I82" s="1" t="s">
        <v>32</v>
      </c>
      <c r="J82" s="1">
        <v>82</v>
      </c>
      <c r="K82" s="1" t="s">
        <v>32</v>
      </c>
      <c r="L82" s="1">
        <v>72</v>
      </c>
      <c r="M82" s="1">
        <v>6</v>
      </c>
      <c r="N82" s="7">
        <v>1.3247</v>
      </c>
      <c r="O82" s="2">
        <f t="shared" si="18"/>
        <v>572.2704</v>
      </c>
      <c r="P82" s="2">
        <f t="shared" si="19"/>
        <v>79.481999999999999</v>
      </c>
      <c r="Q82" s="1">
        <v>62.243479999999998</v>
      </c>
      <c r="R82" s="3">
        <f t="shared" si="20"/>
        <v>35620.101196992</v>
      </c>
      <c r="S82" s="3">
        <f t="shared" si="21"/>
        <v>4947.2362773599998</v>
      </c>
      <c r="T82" s="4">
        <f t="shared" si="22"/>
        <v>0.1388888888888889</v>
      </c>
    </row>
    <row r="83" spans="1:20" x14ac:dyDescent="0.25">
      <c r="A83" s="1">
        <v>79</v>
      </c>
      <c r="B83" s="1" t="s">
        <v>248</v>
      </c>
      <c r="C83" s="1" t="s">
        <v>249</v>
      </c>
      <c r="D83" s="1" t="s">
        <v>15</v>
      </c>
      <c r="E83" s="1" t="s">
        <v>250</v>
      </c>
      <c r="F83" s="1" t="s">
        <v>251</v>
      </c>
      <c r="G83" s="1" t="s">
        <v>252</v>
      </c>
      <c r="H83" s="1" t="s">
        <v>253</v>
      </c>
      <c r="I83" s="1" t="s">
        <v>23</v>
      </c>
      <c r="J83" s="1">
        <v>91</v>
      </c>
      <c r="K83" s="1" t="s">
        <v>23</v>
      </c>
      <c r="L83" s="1">
        <v>81</v>
      </c>
      <c r="M83" s="1">
        <v>72</v>
      </c>
      <c r="N83" s="2">
        <v>1</v>
      </c>
      <c r="O83" s="2">
        <f t="shared" ref="O83:O88" si="23">(L83*M83)*N83</f>
        <v>5832</v>
      </c>
      <c r="P83" s="2">
        <f t="shared" ref="P83:P87" si="24">(J83-L83)*M83*N83</f>
        <v>720</v>
      </c>
      <c r="Q83" s="1">
        <v>62.243479999999998</v>
      </c>
      <c r="R83" s="3">
        <f t="shared" ref="R83:R88" si="25">O83*Q83</f>
        <v>363003.97535999998</v>
      </c>
      <c r="S83" s="3">
        <f t="shared" ref="S83:S88" si="26">P83*Q83</f>
        <v>44815.3056</v>
      </c>
      <c r="T83" s="4">
        <f t="shared" ref="T83:T87" si="27">S83/R83</f>
        <v>0.1234567901234568</v>
      </c>
    </row>
    <row r="84" spans="1:20" x14ac:dyDescent="0.25">
      <c r="A84" s="1">
        <v>80</v>
      </c>
      <c r="B84" s="1" t="s">
        <v>254</v>
      </c>
      <c r="C84" s="1" t="s">
        <v>137</v>
      </c>
      <c r="D84" s="1" t="s">
        <v>15</v>
      </c>
      <c r="E84" s="1" t="s">
        <v>255</v>
      </c>
      <c r="F84" s="1" t="s">
        <v>256</v>
      </c>
      <c r="G84" s="1" t="s">
        <v>243</v>
      </c>
      <c r="H84" s="1" t="s">
        <v>140</v>
      </c>
      <c r="I84" s="1" t="s">
        <v>141</v>
      </c>
      <c r="J84" s="1">
        <v>129</v>
      </c>
      <c r="K84" s="1" t="s">
        <v>141</v>
      </c>
      <c r="L84" s="1">
        <v>113</v>
      </c>
      <c r="M84" s="1">
        <v>13</v>
      </c>
      <c r="N84" s="2">
        <v>1.5499700000000001</v>
      </c>
      <c r="O84" s="2">
        <f t="shared" si="23"/>
        <v>2276.9059299999999</v>
      </c>
      <c r="P84" s="2">
        <f t="shared" si="24"/>
        <v>322.39376000000004</v>
      </c>
      <c r="Q84" s="1">
        <v>62.243479999999998</v>
      </c>
      <c r="R84" s="3">
        <f t="shared" si="25"/>
        <v>141722.5487158364</v>
      </c>
      <c r="S84" s="3">
        <f t="shared" si="26"/>
        <v>20066.909552684803</v>
      </c>
      <c r="T84" s="4">
        <f t="shared" si="27"/>
        <v>0.14159292035398233</v>
      </c>
    </row>
    <row r="85" spans="1:20" x14ac:dyDescent="0.25">
      <c r="A85" s="1">
        <v>81</v>
      </c>
      <c r="B85" s="1" t="s">
        <v>257</v>
      </c>
      <c r="C85" s="1" t="s">
        <v>258</v>
      </c>
      <c r="D85" s="1" t="s">
        <v>15</v>
      </c>
      <c r="E85" s="1" t="s">
        <v>259</v>
      </c>
      <c r="F85" s="1" t="s">
        <v>260</v>
      </c>
      <c r="G85" s="1" t="s">
        <v>261</v>
      </c>
      <c r="H85" s="1" t="s">
        <v>262</v>
      </c>
      <c r="I85" s="1" t="s">
        <v>23</v>
      </c>
      <c r="J85" s="1">
        <v>209</v>
      </c>
      <c r="K85" s="1" t="s">
        <v>23</v>
      </c>
      <c r="L85" s="1">
        <v>199</v>
      </c>
      <c r="M85" s="1">
        <v>3</v>
      </c>
      <c r="N85" s="2">
        <v>1</v>
      </c>
      <c r="O85" s="2">
        <f t="shared" si="23"/>
        <v>597</v>
      </c>
      <c r="P85" s="2">
        <f t="shared" si="24"/>
        <v>30</v>
      </c>
      <c r="Q85" s="1">
        <v>62.243479999999998</v>
      </c>
      <c r="R85" s="3">
        <f t="shared" si="25"/>
        <v>37159.357559999997</v>
      </c>
      <c r="S85" s="3">
        <f t="shared" si="26"/>
        <v>1867.3044</v>
      </c>
      <c r="T85" s="4">
        <f t="shared" si="27"/>
        <v>5.0251256281407038E-2</v>
      </c>
    </row>
    <row r="86" spans="1:20" x14ac:dyDescent="0.25">
      <c r="A86" s="1">
        <v>82</v>
      </c>
      <c r="B86" s="1" t="s">
        <v>263</v>
      </c>
      <c r="C86" s="1" t="s">
        <v>258</v>
      </c>
      <c r="D86" s="1" t="s">
        <v>15</v>
      </c>
      <c r="E86" s="1" t="s">
        <v>67</v>
      </c>
      <c r="F86" s="1" t="s">
        <v>260</v>
      </c>
      <c r="G86" s="1" t="s">
        <v>261</v>
      </c>
      <c r="H86" s="1" t="s">
        <v>262</v>
      </c>
      <c r="I86" s="1" t="s">
        <v>23</v>
      </c>
      <c r="J86" s="1">
        <v>209</v>
      </c>
      <c r="K86" s="1" t="s">
        <v>23</v>
      </c>
      <c r="L86" s="1">
        <v>199</v>
      </c>
      <c r="M86" s="1">
        <v>4</v>
      </c>
      <c r="N86" s="2">
        <v>1</v>
      </c>
      <c r="O86" s="2">
        <f t="shared" si="23"/>
        <v>796</v>
      </c>
      <c r="P86" s="2">
        <f t="shared" si="24"/>
        <v>40</v>
      </c>
      <c r="Q86" s="1">
        <v>62.243479999999998</v>
      </c>
      <c r="R86" s="3">
        <f t="shared" si="25"/>
        <v>49545.810079999996</v>
      </c>
      <c r="S86" s="3">
        <f t="shared" si="26"/>
        <v>2489.7392</v>
      </c>
      <c r="T86" s="4">
        <f t="shared" si="27"/>
        <v>5.0251256281407038E-2</v>
      </c>
    </row>
    <row r="87" spans="1:20" x14ac:dyDescent="0.25">
      <c r="A87" s="1">
        <v>83</v>
      </c>
      <c r="B87" s="1" t="s">
        <v>264</v>
      </c>
      <c r="C87" s="1" t="s">
        <v>258</v>
      </c>
      <c r="D87" s="1" t="s">
        <v>15</v>
      </c>
      <c r="E87" s="1" t="s">
        <v>47</v>
      </c>
      <c r="F87" s="1" t="s">
        <v>147</v>
      </c>
      <c r="G87" s="1" t="s">
        <v>30</v>
      </c>
      <c r="H87" s="1" t="s">
        <v>31</v>
      </c>
      <c r="I87" s="1" t="s">
        <v>32</v>
      </c>
      <c r="J87" s="1">
        <v>76</v>
      </c>
      <c r="K87" s="1" t="s">
        <v>32</v>
      </c>
      <c r="L87" s="1">
        <v>66</v>
      </c>
      <c r="M87" s="1">
        <v>1</v>
      </c>
      <c r="N87" s="7">
        <v>1.3247</v>
      </c>
      <c r="O87" s="2">
        <f t="shared" si="23"/>
        <v>87.430199999999999</v>
      </c>
      <c r="P87" s="2">
        <f t="shared" si="24"/>
        <v>13.247</v>
      </c>
      <c r="Q87" s="1">
        <v>62.243479999999998</v>
      </c>
      <c r="R87" s="3">
        <f t="shared" si="25"/>
        <v>5441.9599050959996</v>
      </c>
      <c r="S87" s="3">
        <f t="shared" si="26"/>
        <v>824.53937955999993</v>
      </c>
      <c r="T87" s="4">
        <f t="shared" si="27"/>
        <v>0.15151515151515152</v>
      </c>
    </row>
    <row r="88" spans="1:20" x14ac:dyDescent="0.25">
      <c r="A88" s="1">
        <v>84</v>
      </c>
      <c r="B88" s="18" t="s">
        <v>265</v>
      </c>
      <c r="C88" s="19">
        <v>41516</v>
      </c>
      <c r="D88" s="18" t="s">
        <v>25</v>
      </c>
      <c r="E88" s="18" t="s">
        <v>266</v>
      </c>
      <c r="F88" s="18" t="s">
        <v>773</v>
      </c>
      <c r="G88" s="18" t="s">
        <v>185</v>
      </c>
      <c r="H88" s="18"/>
      <c r="I88" s="18" t="s">
        <v>32</v>
      </c>
      <c r="J88" s="18">
        <v>135</v>
      </c>
      <c r="K88" s="18" t="s">
        <v>32</v>
      </c>
      <c r="L88" s="18">
        <v>130</v>
      </c>
      <c r="M88" s="18">
        <v>1</v>
      </c>
      <c r="N88" s="23">
        <v>1.3247</v>
      </c>
      <c r="O88" s="20">
        <f t="shared" si="23"/>
        <v>172.21100000000001</v>
      </c>
      <c r="P88" s="20">
        <f>(J88-L88)*M88*N88</f>
        <v>6.6234999999999999</v>
      </c>
      <c r="Q88" s="18">
        <v>62.243479999999998</v>
      </c>
      <c r="R88" s="21">
        <f t="shared" si="25"/>
        <v>10719.011934280001</v>
      </c>
      <c r="S88" s="21">
        <f t="shared" si="26"/>
        <v>412.26968977999996</v>
      </c>
      <c r="T88" s="22">
        <f>S88/R88</f>
        <v>3.8461538461538457E-2</v>
      </c>
    </row>
    <row r="89" spans="1:20" x14ac:dyDescent="0.25">
      <c r="A89" s="1">
        <v>85</v>
      </c>
      <c r="B89" s="1" t="s">
        <v>267</v>
      </c>
      <c r="C89" s="5">
        <v>41516</v>
      </c>
      <c r="D89" s="1" t="s">
        <v>15</v>
      </c>
      <c r="E89" s="1" t="s">
        <v>268</v>
      </c>
      <c r="F89" s="1" t="s">
        <v>269</v>
      </c>
      <c r="G89" s="1" t="s">
        <v>185</v>
      </c>
      <c r="H89" s="1" t="s">
        <v>83</v>
      </c>
      <c r="I89" s="1" t="s">
        <v>32</v>
      </c>
      <c r="J89" s="1">
        <v>125</v>
      </c>
      <c r="K89" s="1" t="s">
        <v>32</v>
      </c>
      <c r="L89" s="1">
        <v>115</v>
      </c>
      <c r="M89" s="1">
        <v>1</v>
      </c>
      <c r="N89" s="7">
        <v>1.3247</v>
      </c>
      <c r="O89" s="2">
        <f t="shared" ref="O89" si="28">(L89*M89)*N89</f>
        <v>152.34049999999999</v>
      </c>
      <c r="P89" s="2">
        <f>(J89-L89)*M89*N89</f>
        <v>13.247</v>
      </c>
      <c r="Q89" s="1">
        <v>62.243479999999998</v>
      </c>
      <c r="R89" s="3">
        <f t="shared" ref="R89" si="29">O89*Q89</f>
        <v>9482.2028649399999</v>
      </c>
      <c r="S89" s="3">
        <f t="shared" ref="S89" si="30">P89*Q89</f>
        <v>824.53937955999993</v>
      </c>
      <c r="T89" s="4">
        <f>S89/R89</f>
        <v>8.6956521739130432E-2</v>
      </c>
    </row>
    <row r="90" spans="1:20" x14ac:dyDescent="0.25">
      <c r="A90" s="1">
        <v>86</v>
      </c>
      <c r="B90" s="1" t="s">
        <v>270</v>
      </c>
      <c r="C90" s="5">
        <v>41516</v>
      </c>
      <c r="D90" s="1" t="s">
        <v>25</v>
      </c>
      <c r="E90" s="1" t="s">
        <v>266</v>
      </c>
      <c r="F90" s="1" t="s">
        <v>774</v>
      </c>
      <c r="G90" s="1" t="s">
        <v>273</v>
      </c>
      <c r="H90" s="1"/>
      <c r="I90" s="1" t="s">
        <v>32</v>
      </c>
      <c r="J90" s="1">
        <v>147</v>
      </c>
      <c r="K90" s="1" t="s">
        <v>32</v>
      </c>
      <c r="L90" s="1">
        <v>137</v>
      </c>
      <c r="M90" s="1">
        <v>6</v>
      </c>
      <c r="N90" s="7">
        <v>1.3247</v>
      </c>
      <c r="O90" s="2">
        <f t="shared" ref="O90" si="31">(L90*M90)*N90</f>
        <v>1088.9033999999999</v>
      </c>
      <c r="P90" s="2">
        <f>(J90-L90)*M90*N90</f>
        <v>79.481999999999999</v>
      </c>
      <c r="Q90" s="1">
        <v>62.243479999999998</v>
      </c>
      <c r="R90" s="3">
        <f t="shared" ref="R90" si="32">O90*Q90</f>
        <v>67777.136999831986</v>
      </c>
      <c r="S90" s="3">
        <f t="shared" ref="S90" si="33">P90*Q90</f>
        <v>4947.2362773599998</v>
      </c>
      <c r="T90" s="4">
        <f>S90/R90</f>
        <v>7.2992700729927015E-2</v>
      </c>
    </row>
    <row r="91" spans="1:20" x14ac:dyDescent="0.25">
      <c r="A91" s="1">
        <v>87</v>
      </c>
      <c r="B91" s="1" t="s">
        <v>271</v>
      </c>
      <c r="C91" s="5">
        <v>41516</v>
      </c>
      <c r="D91" s="1" t="s">
        <v>15</v>
      </c>
      <c r="E91" s="1" t="s">
        <v>268</v>
      </c>
      <c r="F91" s="1" t="s">
        <v>272</v>
      </c>
      <c r="G91" s="1" t="s">
        <v>273</v>
      </c>
      <c r="H91" s="1" t="s">
        <v>274</v>
      </c>
      <c r="I91" s="1" t="s">
        <v>32</v>
      </c>
      <c r="J91" s="1">
        <v>147</v>
      </c>
      <c r="K91" s="1" t="s">
        <v>32</v>
      </c>
      <c r="L91" s="1">
        <v>137</v>
      </c>
      <c r="M91" s="1">
        <v>6</v>
      </c>
      <c r="N91" s="7">
        <v>1.3247</v>
      </c>
      <c r="O91" s="2">
        <f t="shared" ref="O91:O105" si="34">(L91*M91)*N91</f>
        <v>1088.9033999999999</v>
      </c>
      <c r="P91" s="2">
        <f t="shared" ref="P91:P105" si="35">(J91-L91)*M91*N91</f>
        <v>79.481999999999999</v>
      </c>
      <c r="Q91" s="1">
        <v>62.243479999999998</v>
      </c>
      <c r="R91" s="3">
        <f t="shared" ref="R91:R105" si="36">O91*Q91</f>
        <v>67777.136999831986</v>
      </c>
      <c r="S91" s="3">
        <f t="shared" ref="S91:S105" si="37">P91*Q91</f>
        <v>4947.2362773599998</v>
      </c>
      <c r="T91" s="4">
        <f t="shared" ref="T91:T105" si="38">S91/R91</f>
        <v>7.2992700729927015E-2</v>
      </c>
    </row>
    <row r="92" spans="1:20" x14ac:dyDescent="0.25">
      <c r="A92" s="1">
        <v>88</v>
      </c>
      <c r="B92" s="1" t="s">
        <v>275</v>
      </c>
      <c r="C92" s="5">
        <v>41515</v>
      </c>
      <c r="D92" s="1" t="s">
        <v>15</v>
      </c>
      <c r="E92" s="1" t="s">
        <v>276</v>
      </c>
      <c r="F92" s="1" t="s">
        <v>277</v>
      </c>
      <c r="G92" s="1" t="s">
        <v>30</v>
      </c>
      <c r="H92" s="1" t="s">
        <v>31</v>
      </c>
      <c r="I92" s="1" t="s">
        <v>32</v>
      </c>
      <c r="J92" s="1">
        <v>104</v>
      </c>
      <c r="K92" s="1" t="s">
        <v>32</v>
      </c>
      <c r="L92" s="1">
        <v>94</v>
      </c>
      <c r="M92" s="1">
        <v>1</v>
      </c>
      <c r="N92" s="7">
        <v>1.3247</v>
      </c>
      <c r="O92" s="2">
        <f t="shared" si="34"/>
        <v>124.5218</v>
      </c>
      <c r="P92" s="2">
        <f t="shared" si="35"/>
        <v>13.247</v>
      </c>
      <c r="Q92" s="1">
        <v>62.243479999999998</v>
      </c>
      <c r="R92" s="3">
        <f t="shared" si="36"/>
        <v>7750.6701678639993</v>
      </c>
      <c r="S92" s="3">
        <f t="shared" si="37"/>
        <v>824.53937955999993</v>
      </c>
      <c r="T92" s="4">
        <f t="shared" si="38"/>
        <v>0.10638297872340426</v>
      </c>
    </row>
    <row r="93" spans="1:20" x14ac:dyDescent="0.25">
      <c r="A93" s="1">
        <v>89</v>
      </c>
      <c r="B93" s="1" t="s">
        <v>278</v>
      </c>
      <c r="C93" s="5">
        <v>41515</v>
      </c>
      <c r="D93" s="1" t="s">
        <v>15</v>
      </c>
      <c r="E93" s="1" t="s">
        <v>166</v>
      </c>
      <c r="F93" s="1" t="s">
        <v>277</v>
      </c>
      <c r="G93" s="1" t="s">
        <v>30</v>
      </c>
      <c r="H93" s="1" t="s">
        <v>31</v>
      </c>
      <c r="I93" s="1" t="s">
        <v>32</v>
      </c>
      <c r="J93" s="1">
        <v>104</v>
      </c>
      <c r="K93" s="1" t="s">
        <v>32</v>
      </c>
      <c r="L93" s="1">
        <v>94</v>
      </c>
      <c r="M93" s="1">
        <v>1</v>
      </c>
      <c r="N93" s="7">
        <v>1.3247</v>
      </c>
      <c r="O93" s="2">
        <f t="shared" si="34"/>
        <v>124.5218</v>
      </c>
      <c r="P93" s="2">
        <f t="shared" si="35"/>
        <v>13.247</v>
      </c>
      <c r="Q93" s="1">
        <v>62.243479999999998</v>
      </c>
      <c r="R93" s="3">
        <f t="shared" si="36"/>
        <v>7750.6701678639993</v>
      </c>
      <c r="S93" s="3">
        <f t="shared" si="37"/>
        <v>824.53937955999993</v>
      </c>
      <c r="T93" s="4">
        <f t="shared" si="38"/>
        <v>0.10638297872340426</v>
      </c>
    </row>
    <row r="94" spans="1:20" x14ac:dyDescent="0.25">
      <c r="A94" s="1">
        <v>90</v>
      </c>
      <c r="B94" s="1" t="s">
        <v>279</v>
      </c>
      <c r="C94" s="5">
        <v>41514</v>
      </c>
      <c r="D94" s="1" t="s">
        <v>25</v>
      </c>
      <c r="E94" s="1" t="s">
        <v>280</v>
      </c>
      <c r="F94" s="1" t="s">
        <v>193</v>
      </c>
      <c r="G94" s="1" t="s">
        <v>53</v>
      </c>
      <c r="H94" s="1" t="s">
        <v>54</v>
      </c>
      <c r="I94" s="1" t="s">
        <v>23</v>
      </c>
      <c r="J94" s="1">
        <v>189</v>
      </c>
      <c r="K94" s="1" t="s">
        <v>23</v>
      </c>
      <c r="L94" s="1">
        <v>179</v>
      </c>
      <c r="M94" s="1">
        <v>2</v>
      </c>
      <c r="N94" s="2">
        <v>1</v>
      </c>
      <c r="O94" s="2">
        <f t="shared" si="34"/>
        <v>358</v>
      </c>
      <c r="P94" s="2">
        <f t="shared" si="35"/>
        <v>20</v>
      </c>
      <c r="Q94" s="1">
        <v>62.243479999999998</v>
      </c>
      <c r="R94" s="3">
        <f t="shared" si="36"/>
        <v>22283.165839999998</v>
      </c>
      <c r="S94" s="3">
        <f t="shared" si="37"/>
        <v>1244.8696</v>
      </c>
      <c r="T94" s="4">
        <f t="shared" si="38"/>
        <v>5.5865921787709501E-2</v>
      </c>
    </row>
    <row r="95" spans="1:20" x14ac:dyDescent="0.25">
      <c r="A95" s="1">
        <v>91</v>
      </c>
      <c r="B95" s="1" t="s">
        <v>281</v>
      </c>
      <c r="C95" s="5">
        <v>41514</v>
      </c>
      <c r="D95" s="1" t="s">
        <v>15</v>
      </c>
      <c r="E95" s="1" t="s">
        <v>166</v>
      </c>
      <c r="F95" s="1" t="s">
        <v>282</v>
      </c>
      <c r="G95" s="1" t="s">
        <v>283</v>
      </c>
      <c r="H95" s="1" t="s">
        <v>88</v>
      </c>
      <c r="I95" s="1" t="s">
        <v>89</v>
      </c>
      <c r="J95" s="1">
        <v>7106</v>
      </c>
      <c r="K95" s="1" t="s">
        <v>89</v>
      </c>
      <c r="L95" s="1">
        <v>7006</v>
      </c>
      <c r="M95" s="1">
        <v>1</v>
      </c>
      <c r="N95" s="2">
        <v>1.6619999999999999E-2</v>
      </c>
      <c r="O95" s="2">
        <f t="shared" si="34"/>
        <v>116.43971999999999</v>
      </c>
      <c r="P95" s="2">
        <f t="shared" si="35"/>
        <v>1.6619999999999999</v>
      </c>
      <c r="Q95" s="1">
        <v>62.243479999999998</v>
      </c>
      <c r="R95" s="3">
        <f t="shared" si="36"/>
        <v>7247.6133830255994</v>
      </c>
      <c r="S95" s="3">
        <f t="shared" si="37"/>
        <v>103.44866375999999</v>
      </c>
      <c r="T95" s="4">
        <f t="shared" si="38"/>
        <v>1.4273479874393376E-2</v>
      </c>
    </row>
    <row r="96" spans="1:20" x14ac:dyDescent="0.25">
      <c r="A96" s="1">
        <v>92</v>
      </c>
      <c r="B96" s="1" t="s">
        <v>284</v>
      </c>
      <c r="C96" s="5">
        <v>41508</v>
      </c>
      <c r="D96" s="1" t="s">
        <v>25</v>
      </c>
      <c r="E96" s="1" t="s">
        <v>285</v>
      </c>
      <c r="F96" s="1" t="s">
        <v>107</v>
      </c>
      <c r="G96" s="1" t="s">
        <v>286</v>
      </c>
      <c r="H96" s="1" t="s">
        <v>109</v>
      </c>
      <c r="I96" s="1" t="s">
        <v>110</v>
      </c>
      <c r="J96" s="1">
        <v>115</v>
      </c>
      <c r="K96" s="1" t="s">
        <v>110</v>
      </c>
      <c r="L96" s="1">
        <v>101</v>
      </c>
      <c r="M96" s="1">
        <v>15</v>
      </c>
      <c r="N96" s="2">
        <v>0.96245000000000003</v>
      </c>
      <c r="O96" s="2">
        <f t="shared" si="34"/>
        <v>1458.11175</v>
      </c>
      <c r="P96" s="2">
        <f t="shared" si="35"/>
        <v>202.11449999999999</v>
      </c>
      <c r="Q96" s="1">
        <v>62.243479999999998</v>
      </c>
      <c r="R96" s="3">
        <f t="shared" si="36"/>
        <v>90757.949548889999</v>
      </c>
      <c r="S96" s="3">
        <f t="shared" si="37"/>
        <v>12580.30983846</v>
      </c>
      <c r="T96" s="4">
        <f t="shared" si="38"/>
        <v>0.13861386138613863</v>
      </c>
    </row>
    <row r="97" spans="1:20" x14ac:dyDescent="0.25">
      <c r="A97" s="1">
        <v>93</v>
      </c>
      <c r="B97" s="1" t="s">
        <v>287</v>
      </c>
      <c r="C97" s="5">
        <v>41508</v>
      </c>
      <c r="D97" s="1" t="s">
        <v>15</v>
      </c>
      <c r="E97" s="1" t="s">
        <v>67</v>
      </c>
      <c r="F97" s="1" t="s">
        <v>212</v>
      </c>
      <c r="G97" s="1" t="s">
        <v>104</v>
      </c>
      <c r="H97" s="1" t="s">
        <v>105</v>
      </c>
      <c r="I97" s="1" t="s">
        <v>32</v>
      </c>
      <c r="J97" s="1">
        <v>116</v>
      </c>
      <c r="K97" s="1" t="s">
        <v>32</v>
      </c>
      <c r="L97" s="1">
        <v>106</v>
      </c>
      <c r="M97" s="1">
        <v>1</v>
      </c>
      <c r="N97" s="7">
        <v>1.3247</v>
      </c>
      <c r="O97" s="2">
        <f t="shared" si="34"/>
        <v>140.41820000000001</v>
      </c>
      <c r="P97" s="2">
        <f t="shared" si="35"/>
        <v>13.247</v>
      </c>
      <c r="Q97" s="1">
        <v>62.243479999999998</v>
      </c>
      <c r="R97" s="3">
        <f t="shared" si="36"/>
        <v>8740.1174233359998</v>
      </c>
      <c r="S97" s="3">
        <f t="shared" si="37"/>
        <v>824.53937955999993</v>
      </c>
      <c r="T97" s="4">
        <f t="shared" si="38"/>
        <v>9.4339622641509427E-2</v>
      </c>
    </row>
    <row r="98" spans="1:20" x14ac:dyDescent="0.25">
      <c r="A98" s="1">
        <v>94</v>
      </c>
      <c r="B98" s="1" t="s">
        <v>288</v>
      </c>
      <c r="C98" s="5">
        <v>41508</v>
      </c>
      <c r="D98" s="1" t="s">
        <v>15</v>
      </c>
      <c r="E98" s="1" t="s">
        <v>67</v>
      </c>
      <c r="F98" s="1" t="s">
        <v>94</v>
      </c>
      <c r="G98" s="1" t="s">
        <v>95</v>
      </c>
      <c r="H98" s="1" t="s">
        <v>83</v>
      </c>
      <c r="I98" s="1" t="s">
        <v>32</v>
      </c>
      <c r="J98" s="1">
        <v>180</v>
      </c>
      <c r="K98" s="1" t="s">
        <v>32</v>
      </c>
      <c r="L98" s="1">
        <v>170</v>
      </c>
      <c r="M98" s="1">
        <v>1</v>
      </c>
      <c r="N98" s="7">
        <v>1.3247</v>
      </c>
      <c r="O98" s="2">
        <f t="shared" si="34"/>
        <v>225.19900000000001</v>
      </c>
      <c r="P98" s="2">
        <f t="shared" si="35"/>
        <v>13.247</v>
      </c>
      <c r="Q98" s="1">
        <v>62.243479999999998</v>
      </c>
      <c r="R98" s="3">
        <f t="shared" si="36"/>
        <v>14017.16945252</v>
      </c>
      <c r="S98" s="3">
        <f t="shared" si="37"/>
        <v>824.53937955999993</v>
      </c>
      <c r="T98" s="4">
        <f t="shared" si="38"/>
        <v>5.8823529411764698E-2</v>
      </c>
    </row>
    <row r="99" spans="1:20" x14ac:dyDescent="0.25">
      <c r="A99" s="1">
        <v>95</v>
      </c>
      <c r="B99" s="1" t="s">
        <v>289</v>
      </c>
      <c r="C99" s="5">
        <v>41507</v>
      </c>
      <c r="D99" s="1" t="s">
        <v>15</v>
      </c>
      <c r="E99" s="1" t="s">
        <v>72</v>
      </c>
      <c r="F99" s="1" t="s">
        <v>290</v>
      </c>
      <c r="G99" s="1" t="s">
        <v>291</v>
      </c>
      <c r="H99" s="1" t="s">
        <v>77</v>
      </c>
      <c r="I99" s="1" t="s">
        <v>32</v>
      </c>
      <c r="J99" s="1">
        <v>115</v>
      </c>
      <c r="K99" s="1" t="s">
        <v>32</v>
      </c>
      <c r="L99" s="1">
        <v>105</v>
      </c>
      <c r="M99" s="1">
        <v>1</v>
      </c>
      <c r="N99" s="7">
        <v>1.3247</v>
      </c>
      <c r="O99" s="2">
        <f t="shared" si="34"/>
        <v>139.09350000000001</v>
      </c>
      <c r="P99" s="2">
        <f t="shared" si="35"/>
        <v>13.247</v>
      </c>
      <c r="Q99" s="1">
        <v>62.243479999999998</v>
      </c>
      <c r="R99" s="3">
        <f t="shared" si="36"/>
        <v>8657.6634853800006</v>
      </c>
      <c r="S99" s="3">
        <f t="shared" si="37"/>
        <v>824.53937955999993</v>
      </c>
      <c r="T99" s="4">
        <f t="shared" si="38"/>
        <v>9.5238095238095219E-2</v>
      </c>
    </row>
    <row r="100" spans="1:20" x14ac:dyDescent="0.25">
      <c r="A100" s="1">
        <v>96</v>
      </c>
      <c r="B100" s="1" t="s">
        <v>292</v>
      </c>
      <c r="C100" s="5">
        <v>41507</v>
      </c>
      <c r="D100" s="1" t="s">
        <v>15</v>
      </c>
      <c r="E100" s="1" t="s">
        <v>72</v>
      </c>
      <c r="F100" s="1" t="s">
        <v>293</v>
      </c>
      <c r="G100" s="1" t="s">
        <v>294</v>
      </c>
      <c r="H100" s="1" t="s">
        <v>31</v>
      </c>
      <c r="I100" s="1" t="s">
        <v>32</v>
      </c>
      <c r="J100" s="1">
        <v>68</v>
      </c>
      <c r="K100" s="1" t="s">
        <v>32</v>
      </c>
      <c r="L100" s="1">
        <v>58</v>
      </c>
      <c r="M100" s="1">
        <v>2</v>
      </c>
      <c r="N100" s="7">
        <v>1.3247</v>
      </c>
      <c r="O100" s="2">
        <f t="shared" si="34"/>
        <v>153.6652</v>
      </c>
      <c r="P100" s="2">
        <f t="shared" si="35"/>
        <v>26.494</v>
      </c>
      <c r="Q100" s="1">
        <v>62.243479999999998</v>
      </c>
      <c r="R100" s="3">
        <f t="shared" si="36"/>
        <v>9564.6568028959991</v>
      </c>
      <c r="S100" s="3">
        <f t="shared" si="37"/>
        <v>1649.0787591199999</v>
      </c>
      <c r="T100" s="4">
        <f t="shared" si="38"/>
        <v>0.17241379310344829</v>
      </c>
    </row>
    <row r="101" spans="1:20" x14ac:dyDescent="0.25">
      <c r="A101" s="1">
        <v>97</v>
      </c>
      <c r="B101" s="1" t="s">
        <v>295</v>
      </c>
      <c r="C101" s="5">
        <v>41507</v>
      </c>
      <c r="D101" s="1" t="s">
        <v>15</v>
      </c>
      <c r="E101" s="1" t="s">
        <v>28</v>
      </c>
      <c r="F101" s="1" t="s">
        <v>296</v>
      </c>
      <c r="G101" s="1" t="s">
        <v>297</v>
      </c>
      <c r="H101" s="1" t="s">
        <v>140</v>
      </c>
      <c r="I101" s="1" t="s">
        <v>141</v>
      </c>
      <c r="J101" s="1">
        <v>80</v>
      </c>
      <c r="K101" s="1" t="s">
        <v>141</v>
      </c>
      <c r="L101" s="1">
        <v>70</v>
      </c>
      <c r="M101" s="1">
        <v>1</v>
      </c>
      <c r="N101" s="2">
        <v>1.5499700000000001</v>
      </c>
      <c r="O101" s="2">
        <f t="shared" si="34"/>
        <v>108.4979</v>
      </c>
      <c r="P101" s="2">
        <f t="shared" si="35"/>
        <v>15.499700000000001</v>
      </c>
      <c r="Q101" s="1">
        <v>62.243479999999998</v>
      </c>
      <c r="R101" s="3">
        <f t="shared" si="36"/>
        <v>6753.2868686920001</v>
      </c>
      <c r="S101" s="3">
        <f t="shared" si="37"/>
        <v>964.75526695600001</v>
      </c>
      <c r="T101" s="4">
        <f t="shared" si="38"/>
        <v>0.14285714285714285</v>
      </c>
    </row>
    <row r="102" spans="1:20" x14ac:dyDescent="0.25">
      <c r="A102" s="1">
        <v>98</v>
      </c>
      <c r="B102" s="1" t="s">
        <v>298</v>
      </c>
      <c r="C102" s="5">
        <v>41507</v>
      </c>
      <c r="D102" s="1" t="s">
        <v>15</v>
      </c>
      <c r="E102" s="1" t="s">
        <v>28</v>
      </c>
      <c r="F102" s="1" t="s">
        <v>94</v>
      </c>
      <c r="G102" s="1" t="s">
        <v>95</v>
      </c>
      <c r="H102" s="1" t="s">
        <v>83</v>
      </c>
      <c r="I102" s="1" t="s">
        <v>32</v>
      </c>
      <c r="J102" s="1">
        <v>172</v>
      </c>
      <c r="K102" s="1" t="s">
        <v>32</v>
      </c>
      <c r="L102" s="1">
        <v>162</v>
      </c>
      <c r="M102" s="1">
        <v>1</v>
      </c>
      <c r="N102" s="7">
        <v>1.3247</v>
      </c>
      <c r="O102" s="2">
        <f t="shared" si="34"/>
        <v>214.60140000000001</v>
      </c>
      <c r="P102" s="2">
        <f t="shared" si="35"/>
        <v>13.247</v>
      </c>
      <c r="Q102" s="1">
        <v>62.243479999999998</v>
      </c>
      <c r="R102" s="3">
        <f t="shared" si="36"/>
        <v>13357.537948872001</v>
      </c>
      <c r="S102" s="3">
        <f t="shared" si="37"/>
        <v>824.53937955999993</v>
      </c>
      <c r="T102" s="4">
        <f t="shared" si="38"/>
        <v>6.1728395061728385E-2</v>
      </c>
    </row>
    <row r="103" spans="1:20" x14ac:dyDescent="0.25">
      <c r="A103" s="1">
        <v>99</v>
      </c>
      <c r="B103" s="1" t="s">
        <v>299</v>
      </c>
      <c r="C103" s="5">
        <v>41507</v>
      </c>
      <c r="D103" s="1" t="s">
        <v>15</v>
      </c>
      <c r="E103" s="1" t="s">
        <v>28</v>
      </c>
      <c r="F103" s="1" t="s">
        <v>147</v>
      </c>
      <c r="G103" s="1" t="s">
        <v>30</v>
      </c>
      <c r="H103" s="1" t="s">
        <v>31</v>
      </c>
      <c r="I103" s="1" t="s">
        <v>32</v>
      </c>
      <c r="J103" s="1">
        <v>85</v>
      </c>
      <c r="K103" s="1" t="s">
        <v>32</v>
      </c>
      <c r="L103" s="1">
        <v>75</v>
      </c>
      <c r="M103" s="1">
        <v>2</v>
      </c>
      <c r="N103" s="7">
        <v>1.3247</v>
      </c>
      <c r="O103" s="2">
        <f t="shared" si="34"/>
        <v>198.70499999999998</v>
      </c>
      <c r="P103" s="2">
        <f t="shared" si="35"/>
        <v>26.494</v>
      </c>
      <c r="Q103" s="1">
        <v>62.243479999999998</v>
      </c>
      <c r="R103" s="3">
        <f t="shared" si="36"/>
        <v>12368.0906934</v>
      </c>
      <c r="S103" s="3">
        <f t="shared" si="37"/>
        <v>1649.0787591199999</v>
      </c>
      <c r="T103" s="4">
        <f t="shared" si="38"/>
        <v>0.13333333333333333</v>
      </c>
    </row>
    <row r="104" spans="1:20" x14ac:dyDescent="0.25">
      <c r="A104" s="1">
        <v>100</v>
      </c>
      <c r="B104" s="1" t="s">
        <v>300</v>
      </c>
      <c r="C104" s="5">
        <v>41505</v>
      </c>
      <c r="D104" s="1" t="s">
        <v>25</v>
      </c>
      <c r="E104" s="1" t="s">
        <v>183</v>
      </c>
      <c r="F104" s="1" t="s">
        <v>282</v>
      </c>
      <c r="G104" s="1" t="s">
        <v>283</v>
      </c>
      <c r="H104" s="1" t="s">
        <v>88</v>
      </c>
      <c r="I104" s="1" t="s">
        <v>89</v>
      </c>
      <c r="J104" s="1">
        <v>5166</v>
      </c>
      <c r="K104" s="1" t="s">
        <v>89</v>
      </c>
      <c r="L104" s="1">
        <v>5066</v>
      </c>
      <c r="M104" s="1">
        <v>1</v>
      </c>
      <c r="N104" s="2">
        <v>1.6619999999999999E-2</v>
      </c>
      <c r="O104" s="2">
        <f t="shared" si="34"/>
        <v>84.196919999999992</v>
      </c>
      <c r="P104" s="2">
        <f t="shared" si="35"/>
        <v>1.6619999999999999</v>
      </c>
      <c r="Q104" s="1">
        <v>62.243479999999998</v>
      </c>
      <c r="R104" s="3">
        <f t="shared" si="36"/>
        <v>5240.7093060815996</v>
      </c>
      <c r="S104" s="3">
        <f t="shared" si="37"/>
        <v>103.44866375999999</v>
      </c>
      <c r="T104" s="4">
        <f t="shared" si="38"/>
        <v>1.9739439399921042E-2</v>
      </c>
    </row>
    <row r="105" spans="1:20" x14ac:dyDescent="0.25">
      <c r="A105" s="1">
        <v>101</v>
      </c>
      <c r="B105" s="1" t="s">
        <v>301</v>
      </c>
      <c r="C105" s="5">
        <v>41500</v>
      </c>
      <c r="D105" s="1" t="s">
        <v>15</v>
      </c>
      <c r="E105" s="1" t="s">
        <v>67</v>
      </c>
      <c r="F105" s="1" t="s">
        <v>212</v>
      </c>
      <c r="G105" s="1" t="s">
        <v>104</v>
      </c>
      <c r="H105" s="1" t="s">
        <v>105</v>
      </c>
      <c r="I105" s="1" t="s">
        <v>32</v>
      </c>
      <c r="J105" s="1">
        <v>106</v>
      </c>
      <c r="K105" s="1" t="s">
        <v>32</v>
      </c>
      <c r="L105" s="1">
        <v>96</v>
      </c>
      <c r="M105" s="1">
        <v>1</v>
      </c>
      <c r="N105" s="7">
        <v>1.3247</v>
      </c>
      <c r="O105" s="2">
        <f t="shared" si="34"/>
        <v>127.1712</v>
      </c>
      <c r="P105" s="2">
        <f t="shared" si="35"/>
        <v>13.247</v>
      </c>
      <c r="Q105" s="1">
        <v>62.243479999999998</v>
      </c>
      <c r="R105" s="3">
        <f t="shared" si="36"/>
        <v>7915.5780437759995</v>
      </c>
      <c r="S105" s="3">
        <f t="shared" si="37"/>
        <v>824.53937955999993</v>
      </c>
      <c r="T105" s="4">
        <f t="shared" si="38"/>
        <v>0.10416666666666666</v>
      </c>
    </row>
    <row r="106" spans="1:20" x14ac:dyDescent="0.25">
      <c r="A106" s="1">
        <v>102</v>
      </c>
      <c r="B106" s="1" t="s">
        <v>302</v>
      </c>
      <c r="C106" s="5">
        <v>41500</v>
      </c>
      <c r="D106" s="1" t="s">
        <v>15</v>
      </c>
      <c r="E106" s="1" t="s">
        <v>67</v>
      </c>
      <c r="F106" s="1" t="s">
        <v>303</v>
      </c>
      <c r="G106" s="1" t="s">
        <v>95</v>
      </c>
      <c r="H106" s="1"/>
      <c r="I106" s="1" t="s">
        <v>32</v>
      </c>
      <c r="J106" s="1">
        <v>175</v>
      </c>
      <c r="K106" s="1" t="s">
        <v>32</v>
      </c>
      <c r="L106" s="1">
        <v>165</v>
      </c>
      <c r="M106" s="1">
        <v>1</v>
      </c>
      <c r="N106" s="7">
        <v>1.3247</v>
      </c>
      <c r="O106" s="2">
        <f t="shared" ref="O106" si="39">(L106*M106)*N106</f>
        <v>218.57550000000001</v>
      </c>
      <c r="P106" s="2">
        <f t="shared" ref="P106" si="40">(J106-L106)*M106*N106</f>
        <v>13.247</v>
      </c>
      <c r="Q106" s="1">
        <v>62.243479999999998</v>
      </c>
      <c r="R106" s="3">
        <f t="shared" ref="R106" si="41">O106*Q106</f>
        <v>13604.89976274</v>
      </c>
      <c r="S106" s="3">
        <f t="shared" ref="S106" si="42">P106*Q106</f>
        <v>824.53937955999993</v>
      </c>
      <c r="T106" s="4">
        <f t="shared" ref="T106" si="43">S106/R106</f>
        <v>6.0606060606060601E-2</v>
      </c>
    </row>
    <row r="107" spans="1:20" x14ac:dyDescent="0.25">
      <c r="A107" s="1">
        <v>103</v>
      </c>
      <c r="B107" s="1" t="s">
        <v>304</v>
      </c>
      <c r="C107" s="5">
        <v>41500</v>
      </c>
      <c r="D107" s="1" t="s">
        <v>15</v>
      </c>
      <c r="E107" s="1" t="s">
        <v>67</v>
      </c>
      <c r="F107" s="1" t="s">
        <v>212</v>
      </c>
      <c r="G107" s="1" t="s">
        <v>104</v>
      </c>
      <c r="H107" s="1" t="s">
        <v>105</v>
      </c>
      <c r="I107" s="1" t="s">
        <v>32</v>
      </c>
      <c r="J107" s="1">
        <v>106</v>
      </c>
      <c r="K107" s="1" t="s">
        <v>32</v>
      </c>
      <c r="L107" s="1">
        <v>96</v>
      </c>
      <c r="M107" s="1">
        <v>2</v>
      </c>
      <c r="N107" s="7">
        <v>1.3247</v>
      </c>
      <c r="O107" s="2">
        <f t="shared" ref="O107:O111" si="44">(L107*M107)*N107</f>
        <v>254.3424</v>
      </c>
      <c r="P107" s="2">
        <f t="shared" ref="P107:P111" si="45">(J107-L107)*M107*N107</f>
        <v>26.494</v>
      </c>
      <c r="Q107" s="1">
        <v>62.243479999999998</v>
      </c>
      <c r="R107" s="3">
        <f t="shared" ref="R107:R111" si="46">O107*Q107</f>
        <v>15831.156087551999</v>
      </c>
      <c r="S107" s="3">
        <f t="shared" ref="S107:S111" si="47">P107*Q107</f>
        <v>1649.0787591199999</v>
      </c>
      <c r="T107" s="4">
        <f t="shared" ref="T107:T111" si="48">S107/R107</f>
        <v>0.10416666666666666</v>
      </c>
    </row>
    <row r="108" spans="1:20" x14ac:dyDescent="0.25">
      <c r="A108" s="1">
        <v>104</v>
      </c>
      <c r="B108" s="1" t="s">
        <v>305</v>
      </c>
      <c r="C108" s="5">
        <v>41499</v>
      </c>
      <c r="D108" s="1" t="s">
        <v>25</v>
      </c>
      <c r="E108" s="1" t="s">
        <v>26</v>
      </c>
      <c r="F108" s="1" t="s">
        <v>306</v>
      </c>
      <c r="G108" s="1" t="s">
        <v>54</v>
      </c>
      <c r="H108" s="1" t="s">
        <v>54</v>
      </c>
      <c r="I108" s="1" t="s">
        <v>119</v>
      </c>
      <c r="J108" s="1">
        <v>180</v>
      </c>
      <c r="K108" s="1" t="s">
        <v>119</v>
      </c>
      <c r="L108" s="1">
        <v>170</v>
      </c>
      <c r="M108" s="1">
        <v>3</v>
      </c>
      <c r="N108" s="2">
        <v>0.78891999999999995</v>
      </c>
      <c r="O108" s="2">
        <f t="shared" si="44"/>
        <v>402.3492</v>
      </c>
      <c r="P108" s="2">
        <f t="shared" si="45"/>
        <v>23.6676</v>
      </c>
      <c r="Q108" s="1">
        <v>62.243479999999998</v>
      </c>
      <c r="R108" s="3">
        <f t="shared" si="46"/>
        <v>25043.614383215998</v>
      </c>
      <c r="S108" s="3">
        <f t="shared" si="47"/>
        <v>1473.1537872480001</v>
      </c>
      <c r="T108" s="4">
        <f t="shared" si="48"/>
        <v>5.8823529411764712E-2</v>
      </c>
    </row>
    <row r="109" spans="1:20" x14ac:dyDescent="0.25">
      <c r="A109" s="1">
        <v>105</v>
      </c>
      <c r="B109" s="1" t="s">
        <v>307</v>
      </c>
      <c r="C109" s="5">
        <v>41498</v>
      </c>
      <c r="D109" s="1" t="s">
        <v>25</v>
      </c>
      <c r="E109" s="1" t="s">
        <v>280</v>
      </c>
      <c r="F109" s="1" t="s">
        <v>308</v>
      </c>
      <c r="G109" s="1" t="s">
        <v>54</v>
      </c>
      <c r="H109" s="1" t="s">
        <v>54</v>
      </c>
      <c r="I109" s="1" t="s">
        <v>23</v>
      </c>
      <c r="J109" s="1">
        <v>168</v>
      </c>
      <c r="K109" s="1" t="s">
        <v>23</v>
      </c>
      <c r="L109" s="1">
        <v>158</v>
      </c>
      <c r="M109" s="1">
        <v>2</v>
      </c>
      <c r="N109" s="2">
        <v>1</v>
      </c>
      <c r="O109" s="2">
        <f t="shared" si="44"/>
        <v>316</v>
      </c>
      <c r="P109" s="2">
        <f t="shared" si="45"/>
        <v>20</v>
      </c>
      <c r="Q109" s="1">
        <v>62.243479999999998</v>
      </c>
      <c r="R109" s="3">
        <f t="shared" si="46"/>
        <v>19668.939679999999</v>
      </c>
      <c r="S109" s="3">
        <f t="shared" si="47"/>
        <v>1244.8696</v>
      </c>
      <c r="T109" s="4">
        <f t="shared" si="48"/>
        <v>6.3291139240506333E-2</v>
      </c>
    </row>
    <row r="110" spans="1:20" x14ac:dyDescent="0.25">
      <c r="A110" s="1">
        <v>106</v>
      </c>
      <c r="B110" s="1" t="s">
        <v>309</v>
      </c>
      <c r="C110" s="5">
        <v>41498</v>
      </c>
      <c r="D110" s="1" t="s">
        <v>25</v>
      </c>
      <c r="E110" s="1" t="s">
        <v>236</v>
      </c>
      <c r="F110" s="1" t="s">
        <v>308</v>
      </c>
      <c r="G110" s="1" t="s">
        <v>54</v>
      </c>
      <c r="H110" s="1" t="s">
        <v>54</v>
      </c>
      <c r="I110" s="1" t="s">
        <v>23</v>
      </c>
      <c r="J110" s="1">
        <v>168</v>
      </c>
      <c r="K110" s="1" t="s">
        <v>23</v>
      </c>
      <c r="L110" s="1">
        <v>155</v>
      </c>
      <c r="M110" s="1">
        <v>2</v>
      </c>
      <c r="N110" s="2">
        <v>1</v>
      </c>
      <c r="O110" s="2">
        <f t="shared" si="44"/>
        <v>310</v>
      </c>
      <c r="P110" s="2">
        <f t="shared" si="45"/>
        <v>26</v>
      </c>
      <c r="Q110" s="1">
        <v>62.243479999999998</v>
      </c>
      <c r="R110" s="3">
        <f t="shared" si="46"/>
        <v>19295.478800000001</v>
      </c>
      <c r="S110" s="3">
        <f t="shared" si="47"/>
        <v>1618.3304799999999</v>
      </c>
      <c r="T110" s="4">
        <f t="shared" si="48"/>
        <v>8.3870967741935476E-2</v>
      </c>
    </row>
    <row r="111" spans="1:20" x14ac:dyDescent="0.25">
      <c r="A111" s="1">
        <v>107</v>
      </c>
      <c r="B111" s="1" t="s">
        <v>310</v>
      </c>
      <c r="C111" s="5">
        <v>41494</v>
      </c>
      <c r="D111" s="1" t="s">
        <v>25</v>
      </c>
      <c r="E111" s="1" t="s">
        <v>311</v>
      </c>
      <c r="F111" s="1" t="s">
        <v>312</v>
      </c>
      <c r="G111" s="1" t="s">
        <v>438</v>
      </c>
      <c r="H111" s="1" t="s">
        <v>88</v>
      </c>
      <c r="I111" s="1" t="s">
        <v>89</v>
      </c>
      <c r="J111" s="1">
        <v>5000</v>
      </c>
      <c r="K111" s="1" t="s">
        <v>89</v>
      </c>
      <c r="L111" s="1">
        <v>4550</v>
      </c>
      <c r="M111" s="1">
        <v>1</v>
      </c>
      <c r="N111" s="2">
        <v>1.6619999999999999E-2</v>
      </c>
      <c r="O111" s="2">
        <f t="shared" si="44"/>
        <v>75.620999999999995</v>
      </c>
      <c r="P111" s="2">
        <f t="shared" si="45"/>
        <v>7.4790000000000001</v>
      </c>
      <c r="Q111" s="1">
        <v>62.243479999999998</v>
      </c>
      <c r="R111" s="3">
        <f t="shared" si="46"/>
        <v>4706.9142010799997</v>
      </c>
      <c r="S111" s="3">
        <f t="shared" si="47"/>
        <v>465.51898691999997</v>
      </c>
      <c r="T111" s="4">
        <f t="shared" si="48"/>
        <v>9.8901098901098897E-2</v>
      </c>
    </row>
    <row r="112" spans="1:20" x14ac:dyDescent="0.25">
      <c r="A112" s="1">
        <v>108</v>
      </c>
      <c r="B112" s="1" t="s">
        <v>313</v>
      </c>
      <c r="C112" s="5">
        <v>41494</v>
      </c>
      <c r="D112" s="1" t="s">
        <v>25</v>
      </c>
      <c r="E112" s="1" t="s">
        <v>314</v>
      </c>
      <c r="F112" s="1" t="s">
        <v>107</v>
      </c>
      <c r="G112" s="1" t="s">
        <v>286</v>
      </c>
      <c r="H112" s="1" t="s">
        <v>109</v>
      </c>
      <c r="I112" s="1" t="s">
        <v>110</v>
      </c>
      <c r="J112" s="1">
        <v>115</v>
      </c>
      <c r="K112" s="1" t="s">
        <v>110</v>
      </c>
      <c r="L112" s="1">
        <v>101</v>
      </c>
      <c r="M112" s="1">
        <v>16</v>
      </c>
      <c r="N112" s="2">
        <v>0.96245000000000003</v>
      </c>
      <c r="O112" s="2">
        <f t="shared" ref="O112:O115" si="49">(L112*M112)*N112</f>
        <v>1555.3192000000001</v>
      </c>
      <c r="P112" s="2">
        <f t="shared" ref="P112:P115" si="50">(J112-L112)*M112*N112</f>
        <v>215.58879999999999</v>
      </c>
      <c r="Q112" s="1">
        <v>62.243479999999998</v>
      </c>
      <c r="R112" s="3">
        <f t="shared" ref="R112:R115" si="51">O112*Q112</f>
        <v>96808.479518816006</v>
      </c>
      <c r="S112" s="3">
        <f t="shared" ref="S112:S115" si="52">P112*Q112</f>
        <v>13418.997161023999</v>
      </c>
      <c r="T112" s="4">
        <f t="shared" ref="T112:T115" si="53">S112/R112</f>
        <v>0.1386138613861386</v>
      </c>
    </row>
    <row r="113" spans="1:20" x14ac:dyDescent="0.25">
      <c r="A113" s="1">
        <v>109</v>
      </c>
      <c r="B113" s="1" t="s">
        <v>315</v>
      </c>
      <c r="C113" s="5">
        <v>41494</v>
      </c>
      <c r="D113" s="1" t="s">
        <v>25</v>
      </c>
      <c r="E113" s="1" t="s">
        <v>285</v>
      </c>
      <c r="F113" s="1" t="s">
        <v>107</v>
      </c>
      <c r="G113" s="1" t="s">
        <v>286</v>
      </c>
      <c r="H113" s="1" t="s">
        <v>109</v>
      </c>
      <c r="I113" s="1" t="s">
        <v>110</v>
      </c>
      <c r="J113" s="1">
        <v>115</v>
      </c>
      <c r="K113" s="1" t="s">
        <v>110</v>
      </c>
      <c r="L113" s="1">
        <v>105</v>
      </c>
      <c r="M113" s="1">
        <v>10</v>
      </c>
      <c r="N113" s="2">
        <v>0.96245000000000003</v>
      </c>
      <c r="O113" s="2">
        <f t="shared" si="49"/>
        <v>1010.5725</v>
      </c>
      <c r="P113" s="2">
        <f t="shared" si="50"/>
        <v>96.245000000000005</v>
      </c>
      <c r="Q113" s="1">
        <v>62.243479999999998</v>
      </c>
      <c r="R113" s="3">
        <f t="shared" si="51"/>
        <v>62901.549192300001</v>
      </c>
      <c r="S113" s="3">
        <f t="shared" si="52"/>
        <v>5990.6237326</v>
      </c>
      <c r="T113" s="4">
        <f t="shared" si="53"/>
        <v>9.5238095238095233E-2</v>
      </c>
    </row>
    <row r="114" spans="1:20" x14ac:dyDescent="0.25">
      <c r="A114" s="1">
        <v>110</v>
      </c>
      <c r="B114" s="1" t="s">
        <v>316</v>
      </c>
      <c r="C114" s="5">
        <v>41494</v>
      </c>
      <c r="D114" s="1" t="s">
        <v>15</v>
      </c>
      <c r="E114" s="1" t="s">
        <v>112</v>
      </c>
      <c r="F114" s="1" t="s">
        <v>312</v>
      </c>
      <c r="G114" s="1" t="s">
        <v>438</v>
      </c>
      <c r="H114" s="1" t="s">
        <v>88</v>
      </c>
      <c r="I114" s="1" t="s">
        <v>89</v>
      </c>
      <c r="J114" s="1">
        <v>5000</v>
      </c>
      <c r="K114" s="1" t="s">
        <v>89</v>
      </c>
      <c r="L114" s="1">
        <v>4550</v>
      </c>
      <c r="M114" s="1">
        <v>2</v>
      </c>
      <c r="N114" s="2">
        <v>1.6619999999999999E-2</v>
      </c>
      <c r="O114" s="2">
        <f t="shared" si="49"/>
        <v>151.24199999999999</v>
      </c>
      <c r="P114" s="2">
        <f t="shared" si="50"/>
        <v>14.958</v>
      </c>
      <c r="Q114" s="1">
        <v>62.243479999999998</v>
      </c>
      <c r="R114" s="3">
        <f t="shared" si="51"/>
        <v>9413.8284021599993</v>
      </c>
      <c r="S114" s="3">
        <f t="shared" si="52"/>
        <v>931.03797383999995</v>
      </c>
      <c r="T114" s="4">
        <f t="shared" si="53"/>
        <v>9.8901098901098897E-2</v>
      </c>
    </row>
    <row r="115" spans="1:20" x14ac:dyDescent="0.25">
      <c r="A115" s="1">
        <v>111</v>
      </c>
      <c r="B115" s="1" t="s">
        <v>317</v>
      </c>
      <c r="C115" s="5">
        <v>41494</v>
      </c>
      <c r="D115" s="1" t="s">
        <v>25</v>
      </c>
      <c r="E115" s="1" t="s">
        <v>86</v>
      </c>
      <c r="F115" s="1" t="s">
        <v>312</v>
      </c>
      <c r="G115" s="1" t="s">
        <v>438</v>
      </c>
      <c r="H115" s="1" t="s">
        <v>88</v>
      </c>
      <c r="I115" s="1" t="s">
        <v>89</v>
      </c>
      <c r="J115" s="1">
        <v>5000</v>
      </c>
      <c r="K115" s="1" t="s">
        <v>89</v>
      </c>
      <c r="L115" s="1">
        <v>4550</v>
      </c>
      <c r="M115" s="1">
        <v>1</v>
      </c>
      <c r="N115" s="2">
        <v>1.6619999999999999E-2</v>
      </c>
      <c r="O115" s="2">
        <f t="shared" si="49"/>
        <v>75.620999999999995</v>
      </c>
      <c r="P115" s="2">
        <f t="shared" si="50"/>
        <v>7.4790000000000001</v>
      </c>
      <c r="Q115" s="1">
        <v>62.243479999999998</v>
      </c>
      <c r="R115" s="3">
        <f t="shared" si="51"/>
        <v>4706.9142010799997</v>
      </c>
      <c r="S115" s="3">
        <f t="shared" si="52"/>
        <v>465.51898691999997</v>
      </c>
      <c r="T115" s="4">
        <f t="shared" si="53"/>
        <v>9.8901098901098897E-2</v>
      </c>
    </row>
    <row r="116" spans="1:20" x14ac:dyDescent="0.25">
      <c r="A116" s="1">
        <v>112</v>
      </c>
      <c r="B116" s="1" t="s">
        <v>318</v>
      </c>
      <c r="C116" s="5">
        <v>41494</v>
      </c>
      <c r="D116" s="1" t="s">
        <v>15</v>
      </c>
      <c r="E116" s="1" t="s">
        <v>97</v>
      </c>
      <c r="F116" s="1" t="s">
        <v>147</v>
      </c>
      <c r="G116" s="1" t="s">
        <v>30</v>
      </c>
      <c r="H116" s="1" t="s">
        <v>31</v>
      </c>
      <c r="I116" s="1" t="s">
        <v>32</v>
      </c>
      <c r="J116" s="1">
        <v>82</v>
      </c>
      <c r="K116" s="1" t="s">
        <v>32</v>
      </c>
      <c r="L116" s="1">
        <v>72</v>
      </c>
      <c r="M116" s="1">
        <v>2</v>
      </c>
      <c r="N116" s="7">
        <v>1.3247</v>
      </c>
      <c r="O116" s="2">
        <f t="shared" ref="O116:O179" si="54">(L116*M116)*N116</f>
        <v>190.7568</v>
      </c>
      <c r="P116" s="2">
        <f t="shared" ref="P116:P179" si="55">(J116-L116)*M116*N116</f>
        <v>26.494</v>
      </c>
      <c r="Q116" s="1">
        <v>62.243479999999998</v>
      </c>
      <c r="R116" s="3">
        <f t="shared" ref="R116:R179" si="56">O116*Q116</f>
        <v>11873.367065663999</v>
      </c>
      <c r="S116" s="3">
        <f t="shared" ref="S116:S179" si="57">P116*Q116</f>
        <v>1649.0787591199999</v>
      </c>
      <c r="T116" s="4">
        <f t="shared" ref="T116:T179" si="58">S116/R116</f>
        <v>0.1388888888888889</v>
      </c>
    </row>
    <row r="117" spans="1:20" x14ac:dyDescent="0.25">
      <c r="A117" s="1">
        <v>113</v>
      </c>
      <c r="B117" s="1" t="s">
        <v>319</v>
      </c>
      <c r="C117" s="5">
        <v>41494</v>
      </c>
      <c r="D117" s="1" t="s">
        <v>15</v>
      </c>
      <c r="E117" s="1" t="s">
        <v>97</v>
      </c>
      <c r="F117" s="1" t="s">
        <v>212</v>
      </c>
      <c r="G117" s="1" t="s">
        <v>104</v>
      </c>
      <c r="H117" s="1" t="s">
        <v>105</v>
      </c>
      <c r="I117" s="1" t="s">
        <v>141</v>
      </c>
      <c r="J117" s="1">
        <v>94</v>
      </c>
      <c r="K117" s="1" t="s">
        <v>141</v>
      </c>
      <c r="L117" s="1">
        <v>84</v>
      </c>
      <c r="M117" s="1">
        <v>1</v>
      </c>
      <c r="N117" s="2">
        <v>1.5499700000000001</v>
      </c>
      <c r="O117" s="2">
        <f t="shared" si="54"/>
        <v>130.19748000000001</v>
      </c>
      <c r="P117" s="2">
        <f t="shared" si="55"/>
        <v>15.499700000000001</v>
      </c>
      <c r="Q117" s="1">
        <v>62.243479999999998</v>
      </c>
      <c r="R117" s="3">
        <f t="shared" si="56"/>
        <v>8103.9442424304007</v>
      </c>
      <c r="S117" s="3">
        <f t="shared" si="57"/>
        <v>964.75526695600001</v>
      </c>
      <c r="T117" s="4">
        <f t="shared" si="58"/>
        <v>0.11904761904761904</v>
      </c>
    </row>
    <row r="118" spans="1:20" x14ac:dyDescent="0.25">
      <c r="A118" s="1">
        <v>114</v>
      </c>
      <c r="B118" s="18" t="s">
        <v>320</v>
      </c>
      <c r="C118" s="19">
        <v>41492</v>
      </c>
      <c r="D118" s="18" t="s">
        <v>25</v>
      </c>
      <c r="E118" s="18" t="s">
        <v>236</v>
      </c>
      <c r="F118" s="18" t="s">
        <v>321</v>
      </c>
      <c r="G118" s="18" t="s">
        <v>322</v>
      </c>
      <c r="H118" s="18" t="s">
        <v>323</v>
      </c>
      <c r="I118" s="18" t="s">
        <v>324</v>
      </c>
      <c r="J118" s="18">
        <v>131</v>
      </c>
      <c r="K118" s="18" t="s">
        <v>324</v>
      </c>
      <c r="L118" s="18">
        <v>131</v>
      </c>
      <c r="M118" s="18">
        <v>5</v>
      </c>
      <c r="N118" s="20">
        <v>0.90476000000000001</v>
      </c>
      <c r="O118" s="20">
        <f t="shared" si="54"/>
        <v>592.61779999999999</v>
      </c>
      <c r="P118" s="20">
        <f t="shared" si="55"/>
        <v>0</v>
      </c>
      <c r="Q118" s="18">
        <v>62.243479999999998</v>
      </c>
      <c r="R118" s="21">
        <f t="shared" si="56"/>
        <v>36886.594181943998</v>
      </c>
      <c r="S118" s="21">
        <f t="shared" si="57"/>
        <v>0</v>
      </c>
      <c r="T118" s="22">
        <f t="shared" si="58"/>
        <v>0</v>
      </c>
    </row>
    <row r="119" spans="1:20" x14ac:dyDescent="0.25">
      <c r="A119" s="1">
        <v>115</v>
      </c>
      <c r="B119" s="1" t="s">
        <v>325</v>
      </c>
      <c r="C119" s="5">
        <v>41492</v>
      </c>
      <c r="D119" s="1" t="s">
        <v>25</v>
      </c>
      <c r="E119" s="1" t="s">
        <v>326</v>
      </c>
      <c r="F119" s="1" t="s">
        <v>321</v>
      </c>
      <c r="G119" s="1" t="s">
        <v>322</v>
      </c>
      <c r="H119" s="1" t="s">
        <v>323</v>
      </c>
      <c r="I119" s="1" t="s">
        <v>324</v>
      </c>
      <c r="J119" s="1">
        <v>144</v>
      </c>
      <c r="K119" s="1" t="s">
        <v>324</v>
      </c>
      <c r="L119" s="1">
        <v>134</v>
      </c>
      <c r="M119" s="1">
        <v>6</v>
      </c>
      <c r="N119" s="2">
        <v>0.90476000000000001</v>
      </c>
      <c r="O119" s="2">
        <f t="shared" si="54"/>
        <v>727.42704000000003</v>
      </c>
      <c r="P119" s="2">
        <f t="shared" si="55"/>
        <v>54.285600000000002</v>
      </c>
      <c r="Q119" s="1">
        <v>62.243479999999998</v>
      </c>
      <c r="R119" s="3">
        <f t="shared" si="56"/>
        <v>45277.590415699204</v>
      </c>
      <c r="S119" s="3">
        <f t="shared" si="57"/>
        <v>3378.9246578880002</v>
      </c>
      <c r="T119" s="4">
        <f t="shared" si="58"/>
        <v>7.4626865671641784E-2</v>
      </c>
    </row>
    <row r="120" spans="1:20" x14ac:dyDescent="0.25">
      <c r="A120" s="1">
        <v>116</v>
      </c>
      <c r="B120" s="1" t="s">
        <v>327</v>
      </c>
      <c r="C120" s="5">
        <v>41492</v>
      </c>
      <c r="D120" s="1" t="s">
        <v>25</v>
      </c>
      <c r="E120" s="1" t="s">
        <v>328</v>
      </c>
      <c r="F120" s="1" t="s">
        <v>329</v>
      </c>
      <c r="G120" s="1" t="s">
        <v>330</v>
      </c>
      <c r="H120" s="1" t="s">
        <v>140</v>
      </c>
      <c r="I120" s="1" t="s">
        <v>141</v>
      </c>
      <c r="J120" s="1">
        <v>146</v>
      </c>
      <c r="K120" s="1" t="s">
        <v>141</v>
      </c>
      <c r="L120" s="1">
        <v>136</v>
      </c>
      <c r="M120" s="1">
        <v>3</v>
      </c>
      <c r="N120" s="2">
        <v>1.5499700000000001</v>
      </c>
      <c r="O120" s="2">
        <f t="shared" si="54"/>
        <v>632.38776000000007</v>
      </c>
      <c r="P120" s="2">
        <f t="shared" si="55"/>
        <v>46.499099999999999</v>
      </c>
      <c r="Q120" s="1">
        <v>62.243479999999998</v>
      </c>
      <c r="R120" s="3">
        <f t="shared" si="56"/>
        <v>39362.0148918048</v>
      </c>
      <c r="S120" s="3">
        <f t="shared" si="57"/>
        <v>2894.265800868</v>
      </c>
      <c r="T120" s="4">
        <f t="shared" si="58"/>
        <v>7.3529411764705885E-2</v>
      </c>
    </row>
    <row r="121" spans="1:20" x14ac:dyDescent="0.25">
      <c r="A121" s="1">
        <v>117</v>
      </c>
      <c r="B121" s="1" t="s">
        <v>331</v>
      </c>
      <c r="C121" s="5">
        <v>41492</v>
      </c>
      <c r="D121" s="1" t="s">
        <v>15</v>
      </c>
      <c r="E121" s="1" t="s">
        <v>332</v>
      </c>
      <c r="F121" s="1" t="s">
        <v>195</v>
      </c>
      <c r="G121" s="1" t="s">
        <v>196</v>
      </c>
      <c r="H121" s="1" t="s">
        <v>140</v>
      </c>
      <c r="I121" s="1" t="s">
        <v>141</v>
      </c>
      <c r="J121" s="1">
        <v>119</v>
      </c>
      <c r="K121" s="1" t="s">
        <v>141</v>
      </c>
      <c r="L121" s="1">
        <v>111</v>
      </c>
      <c r="M121" s="1">
        <v>8</v>
      </c>
      <c r="N121" s="2">
        <v>1.5499700000000001</v>
      </c>
      <c r="O121" s="2">
        <f t="shared" si="54"/>
        <v>1376.37336</v>
      </c>
      <c r="P121" s="2">
        <f t="shared" si="55"/>
        <v>99.198080000000004</v>
      </c>
      <c r="Q121" s="1">
        <v>62.243479999999998</v>
      </c>
      <c r="R121" s="3">
        <f t="shared" si="56"/>
        <v>85670.267705692793</v>
      </c>
      <c r="S121" s="3">
        <f t="shared" si="57"/>
        <v>6174.4337085183997</v>
      </c>
      <c r="T121" s="4">
        <f t="shared" si="58"/>
        <v>7.2072072072072071E-2</v>
      </c>
    </row>
    <row r="122" spans="1:20" x14ac:dyDescent="0.25">
      <c r="A122" s="1">
        <v>118</v>
      </c>
      <c r="B122" s="1" t="s">
        <v>333</v>
      </c>
      <c r="C122" s="5">
        <v>41489</v>
      </c>
      <c r="D122" s="1" t="s">
        <v>25</v>
      </c>
      <c r="E122" s="1" t="s">
        <v>183</v>
      </c>
      <c r="F122" s="1" t="s">
        <v>334</v>
      </c>
      <c r="G122" s="1" t="s">
        <v>335</v>
      </c>
      <c r="H122" s="1" t="s">
        <v>140</v>
      </c>
      <c r="I122" s="1" t="s">
        <v>141</v>
      </c>
      <c r="J122" s="1">
        <v>128</v>
      </c>
      <c r="K122" s="1" t="s">
        <v>141</v>
      </c>
      <c r="L122" s="1">
        <v>118</v>
      </c>
      <c r="M122" s="1">
        <v>2</v>
      </c>
      <c r="N122" s="2">
        <v>1.5499700000000001</v>
      </c>
      <c r="O122" s="2">
        <f t="shared" si="54"/>
        <v>365.79292000000004</v>
      </c>
      <c r="P122" s="2">
        <f t="shared" si="55"/>
        <v>30.999400000000001</v>
      </c>
      <c r="Q122" s="1">
        <v>62.243479999999998</v>
      </c>
      <c r="R122" s="3">
        <f t="shared" si="56"/>
        <v>22768.224300161601</v>
      </c>
      <c r="S122" s="3">
        <f t="shared" si="57"/>
        <v>1929.510533912</v>
      </c>
      <c r="T122" s="4">
        <f t="shared" si="58"/>
        <v>8.4745762711864403E-2</v>
      </c>
    </row>
    <row r="123" spans="1:20" x14ac:dyDescent="0.25">
      <c r="A123" s="1">
        <v>119</v>
      </c>
      <c r="B123" s="1" t="s">
        <v>336</v>
      </c>
      <c r="C123" s="5">
        <v>41489</v>
      </c>
      <c r="D123" s="1" t="s">
        <v>25</v>
      </c>
      <c r="E123" s="1" t="s">
        <v>183</v>
      </c>
      <c r="F123" s="1" t="s">
        <v>334</v>
      </c>
      <c r="G123" s="1" t="s">
        <v>335</v>
      </c>
      <c r="H123" s="1" t="s">
        <v>140</v>
      </c>
      <c r="I123" s="1" t="s">
        <v>141</v>
      </c>
      <c r="J123" s="1">
        <v>124</v>
      </c>
      <c r="K123" s="1" t="s">
        <v>141</v>
      </c>
      <c r="L123" s="1">
        <v>114</v>
      </c>
      <c r="M123" s="1">
        <v>1</v>
      </c>
      <c r="N123" s="2">
        <v>1.5499700000000001</v>
      </c>
      <c r="O123" s="2">
        <f t="shared" si="54"/>
        <v>176.69658000000001</v>
      </c>
      <c r="P123" s="2">
        <f t="shared" si="55"/>
        <v>15.499700000000001</v>
      </c>
      <c r="Q123" s="1">
        <v>62.243479999999998</v>
      </c>
      <c r="R123" s="3">
        <f t="shared" si="56"/>
        <v>10998.210043298401</v>
      </c>
      <c r="S123" s="3">
        <f t="shared" si="57"/>
        <v>964.75526695600001</v>
      </c>
      <c r="T123" s="4">
        <f t="shared" si="58"/>
        <v>8.771929824561403E-2</v>
      </c>
    </row>
    <row r="124" spans="1:20" x14ac:dyDescent="0.25">
      <c r="A124" s="1">
        <v>120</v>
      </c>
      <c r="B124" s="1" t="s">
        <v>337</v>
      </c>
      <c r="C124" s="5">
        <v>41487</v>
      </c>
      <c r="D124" s="1" t="s">
        <v>25</v>
      </c>
      <c r="E124" s="1" t="s">
        <v>280</v>
      </c>
      <c r="F124" s="1" t="s">
        <v>193</v>
      </c>
      <c r="G124" s="1" t="s">
        <v>53</v>
      </c>
      <c r="H124" s="1" t="s">
        <v>54</v>
      </c>
      <c r="I124" s="1" t="s">
        <v>23</v>
      </c>
      <c r="J124" s="1">
        <v>199</v>
      </c>
      <c r="K124" s="1" t="s">
        <v>23</v>
      </c>
      <c r="L124" s="1">
        <v>189</v>
      </c>
      <c r="M124" s="1">
        <v>3</v>
      </c>
      <c r="N124" s="2">
        <v>1</v>
      </c>
      <c r="O124" s="2">
        <f t="shared" si="54"/>
        <v>567</v>
      </c>
      <c r="P124" s="2">
        <f t="shared" si="55"/>
        <v>30</v>
      </c>
      <c r="Q124" s="1">
        <v>62.243479999999998</v>
      </c>
      <c r="R124" s="3">
        <f t="shared" si="56"/>
        <v>35292.053159999996</v>
      </c>
      <c r="S124" s="3">
        <f t="shared" si="57"/>
        <v>1867.3044</v>
      </c>
      <c r="T124" s="4">
        <f t="shared" si="58"/>
        <v>5.2910052910052914E-2</v>
      </c>
    </row>
    <row r="125" spans="1:20" x14ac:dyDescent="0.25">
      <c r="A125" s="1">
        <v>121</v>
      </c>
      <c r="B125" s="1" t="s">
        <v>338</v>
      </c>
      <c r="C125" s="5">
        <v>41487</v>
      </c>
      <c r="D125" s="1" t="s">
        <v>15</v>
      </c>
      <c r="E125" s="1" t="s">
        <v>35</v>
      </c>
      <c r="F125" s="1" t="s">
        <v>226</v>
      </c>
      <c r="G125" s="1" t="s">
        <v>227</v>
      </c>
      <c r="H125" s="1" t="s">
        <v>88</v>
      </c>
      <c r="I125" s="1" t="s">
        <v>89</v>
      </c>
      <c r="J125" s="1">
        <v>4328</v>
      </c>
      <c r="K125" s="1" t="s">
        <v>89</v>
      </c>
      <c r="L125" s="1">
        <v>4228</v>
      </c>
      <c r="M125" s="1">
        <v>1</v>
      </c>
      <c r="N125" s="2">
        <v>1.6619999999999999E-2</v>
      </c>
      <c r="O125" s="2">
        <f t="shared" si="54"/>
        <v>70.269359999999992</v>
      </c>
      <c r="P125" s="2">
        <f t="shared" si="55"/>
        <v>1.6619999999999999</v>
      </c>
      <c r="Q125" s="1">
        <v>62.243479999999998</v>
      </c>
      <c r="R125" s="3">
        <f t="shared" si="56"/>
        <v>4373.809503772799</v>
      </c>
      <c r="S125" s="3">
        <f t="shared" si="57"/>
        <v>103.44866375999999</v>
      </c>
      <c r="T125" s="4">
        <f t="shared" si="58"/>
        <v>2.3651844843897828E-2</v>
      </c>
    </row>
    <row r="126" spans="1:20" x14ac:dyDescent="0.25">
      <c r="A126" s="1">
        <v>122</v>
      </c>
      <c r="B126" s="1" t="s">
        <v>339</v>
      </c>
      <c r="C126" s="1" t="s">
        <v>340</v>
      </c>
      <c r="D126" s="1" t="s">
        <v>15</v>
      </c>
      <c r="E126" s="1" t="s">
        <v>67</v>
      </c>
      <c r="F126" s="1" t="s">
        <v>341</v>
      </c>
      <c r="G126" s="1" t="s">
        <v>322</v>
      </c>
      <c r="H126" s="1" t="s">
        <v>323</v>
      </c>
      <c r="I126" s="1" t="s">
        <v>23</v>
      </c>
      <c r="J126" s="1">
        <v>235</v>
      </c>
      <c r="K126" s="1" t="s">
        <v>23</v>
      </c>
      <c r="L126" s="1">
        <v>225</v>
      </c>
      <c r="M126" s="1">
        <v>5</v>
      </c>
      <c r="N126" s="2">
        <v>1</v>
      </c>
      <c r="O126" s="2">
        <f t="shared" si="54"/>
        <v>1125</v>
      </c>
      <c r="P126" s="2">
        <f t="shared" si="55"/>
        <v>50</v>
      </c>
      <c r="Q126" s="1">
        <v>62.243479999999998</v>
      </c>
      <c r="R126" s="3">
        <f t="shared" si="56"/>
        <v>70023.914999999994</v>
      </c>
      <c r="S126" s="3">
        <f t="shared" si="57"/>
        <v>3112.174</v>
      </c>
      <c r="T126" s="4">
        <f t="shared" si="58"/>
        <v>4.4444444444444446E-2</v>
      </c>
    </row>
    <row r="127" spans="1:20" x14ac:dyDescent="0.25">
      <c r="A127" s="1">
        <v>123</v>
      </c>
      <c r="B127" s="1" t="s">
        <v>342</v>
      </c>
      <c r="C127" s="1" t="s">
        <v>340</v>
      </c>
      <c r="D127" s="1" t="s">
        <v>15</v>
      </c>
      <c r="E127" s="1" t="s">
        <v>343</v>
      </c>
      <c r="F127" s="1" t="s">
        <v>344</v>
      </c>
      <c r="G127" s="1" t="s">
        <v>335</v>
      </c>
      <c r="H127" s="1" t="s">
        <v>140</v>
      </c>
      <c r="I127" s="1" t="s">
        <v>141</v>
      </c>
      <c r="J127" s="1">
        <v>91</v>
      </c>
      <c r="K127" s="1" t="s">
        <v>141</v>
      </c>
      <c r="L127" s="1">
        <v>81</v>
      </c>
      <c r="M127" s="1">
        <v>5</v>
      </c>
      <c r="N127" s="2">
        <v>1.5499700000000001</v>
      </c>
      <c r="O127" s="2">
        <f t="shared" si="54"/>
        <v>627.73784999999998</v>
      </c>
      <c r="P127" s="2">
        <f t="shared" si="55"/>
        <v>77.498500000000007</v>
      </c>
      <c r="Q127" s="1">
        <v>62.243479999999998</v>
      </c>
      <c r="R127" s="3">
        <f t="shared" si="56"/>
        <v>39072.588311717998</v>
      </c>
      <c r="S127" s="3">
        <f t="shared" si="57"/>
        <v>4823.7763347800001</v>
      </c>
      <c r="T127" s="4">
        <f t="shared" si="58"/>
        <v>0.1234567901234568</v>
      </c>
    </row>
    <row r="128" spans="1:20" x14ac:dyDescent="0.25">
      <c r="A128" s="1">
        <v>124</v>
      </c>
      <c r="B128" s="1" t="s">
        <v>345</v>
      </c>
      <c r="C128" s="1" t="s">
        <v>340</v>
      </c>
      <c r="D128" s="1" t="s">
        <v>15</v>
      </c>
      <c r="E128" s="1" t="s">
        <v>343</v>
      </c>
      <c r="F128" s="1" t="s">
        <v>346</v>
      </c>
      <c r="G128" s="1" t="s">
        <v>76</v>
      </c>
      <c r="H128" s="1" t="s">
        <v>77</v>
      </c>
      <c r="I128" s="1" t="s">
        <v>32</v>
      </c>
      <c r="J128" s="1">
        <v>153</v>
      </c>
      <c r="K128" s="1" t="s">
        <v>32</v>
      </c>
      <c r="L128" s="1">
        <v>143</v>
      </c>
      <c r="M128" s="1">
        <v>1</v>
      </c>
      <c r="N128" s="7">
        <v>1.3247</v>
      </c>
      <c r="O128" s="2">
        <f t="shared" si="54"/>
        <v>189.43209999999999</v>
      </c>
      <c r="P128" s="2">
        <f t="shared" si="55"/>
        <v>13.247</v>
      </c>
      <c r="Q128" s="1">
        <v>62.243479999999998</v>
      </c>
      <c r="R128" s="3">
        <f t="shared" si="56"/>
        <v>11790.913127708</v>
      </c>
      <c r="S128" s="3">
        <f t="shared" si="57"/>
        <v>824.53937955999993</v>
      </c>
      <c r="T128" s="4">
        <f t="shared" si="58"/>
        <v>6.9930069930069921E-2</v>
      </c>
    </row>
    <row r="129" spans="1:20" x14ac:dyDescent="0.25">
      <c r="A129" s="1">
        <v>125</v>
      </c>
      <c r="B129" s="1" t="s">
        <v>347</v>
      </c>
      <c r="C129" s="1" t="s">
        <v>340</v>
      </c>
      <c r="D129" s="1" t="s">
        <v>15</v>
      </c>
      <c r="E129" s="1" t="s">
        <v>343</v>
      </c>
      <c r="F129" s="1" t="s">
        <v>348</v>
      </c>
      <c r="G129" s="1" t="s">
        <v>30</v>
      </c>
      <c r="H129" s="1" t="s">
        <v>31</v>
      </c>
      <c r="I129" s="1" t="s">
        <v>32</v>
      </c>
      <c r="J129" s="1">
        <v>165</v>
      </c>
      <c r="K129" s="1" t="s">
        <v>32</v>
      </c>
      <c r="L129" s="1">
        <v>155</v>
      </c>
      <c r="M129" s="1">
        <v>2</v>
      </c>
      <c r="N129" s="7">
        <v>1.3247</v>
      </c>
      <c r="O129" s="2">
        <f t="shared" si="54"/>
        <v>410.65699999999998</v>
      </c>
      <c r="P129" s="2">
        <f t="shared" si="55"/>
        <v>26.494</v>
      </c>
      <c r="Q129" s="1">
        <v>62.243479999999998</v>
      </c>
      <c r="R129" s="3">
        <f t="shared" si="56"/>
        <v>25560.720766359998</v>
      </c>
      <c r="S129" s="3">
        <f t="shared" si="57"/>
        <v>1649.0787591199999</v>
      </c>
      <c r="T129" s="4">
        <f t="shared" si="58"/>
        <v>6.4516129032258063E-2</v>
      </c>
    </row>
    <row r="130" spans="1:20" x14ac:dyDescent="0.25">
      <c r="A130" s="1">
        <v>126</v>
      </c>
      <c r="B130" s="1" t="s">
        <v>349</v>
      </c>
      <c r="C130" s="1" t="s">
        <v>340</v>
      </c>
      <c r="D130" s="1" t="s">
        <v>15</v>
      </c>
      <c r="E130" s="1" t="s">
        <v>343</v>
      </c>
      <c r="F130" s="1" t="s">
        <v>350</v>
      </c>
      <c r="G130" s="1" t="s">
        <v>82</v>
      </c>
      <c r="H130" s="1" t="s">
        <v>83</v>
      </c>
      <c r="I130" s="1" t="s">
        <v>32</v>
      </c>
      <c r="J130" s="1">
        <v>142</v>
      </c>
      <c r="K130" s="1" t="s">
        <v>32</v>
      </c>
      <c r="L130" s="1">
        <v>132</v>
      </c>
      <c r="M130" s="1">
        <v>1</v>
      </c>
      <c r="N130" s="7">
        <v>1.3247</v>
      </c>
      <c r="O130" s="2">
        <f t="shared" si="54"/>
        <v>174.8604</v>
      </c>
      <c r="P130" s="2">
        <f t="shared" si="55"/>
        <v>13.247</v>
      </c>
      <c r="Q130" s="1">
        <v>62.243479999999998</v>
      </c>
      <c r="R130" s="3">
        <f t="shared" si="56"/>
        <v>10883.919810191999</v>
      </c>
      <c r="S130" s="3">
        <f t="shared" si="57"/>
        <v>824.53937955999993</v>
      </c>
      <c r="T130" s="4">
        <f t="shared" si="58"/>
        <v>7.575757575757576E-2</v>
      </c>
    </row>
    <row r="131" spans="1:20" x14ac:dyDescent="0.25">
      <c r="A131" s="1">
        <v>127</v>
      </c>
      <c r="B131" s="1" t="s">
        <v>351</v>
      </c>
      <c r="C131" s="1" t="s">
        <v>340</v>
      </c>
      <c r="D131" s="1" t="s">
        <v>15</v>
      </c>
      <c r="E131" s="1" t="s">
        <v>343</v>
      </c>
      <c r="F131" s="1" t="s">
        <v>352</v>
      </c>
      <c r="G131" s="1" t="s">
        <v>353</v>
      </c>
      <c r="H131" s="1" t="s">
        <v>158</v>
      </c>
      <c r="I131" s="1" t="s">
        <v>32</v>
      </c>
      <c r="J131" s="1">
        <v>103</v>
      </c>
      <c r="K131" s="1" t="s">
        <v>32</v>
      </c>
      <c r="L131" s="1">
        <v>93</v>
      </c>
      <c r="M131" s="1">
        <v>1</v>
      </c>
      <c r="N131" s="7">
        <v>1.3247</v>
      </c>
      <c r="O131" s="2">
        <f t="shared" si="54"/>
        <v>123.19710000000001</v>
      </c>
      <c r="P131" s="2">
        <f t="shared" si="55"/>
        <v>13.247</v>
      </c>
      <c r="Q131" s="1">
        <v>62.243479999999998</v>
      </c>
      <c r="R131" s="3">
        <f t="shared" si="56"/>
        <v>7668.2162299080001</v>
      </c>
      <c r="S131" s="3">
        <f t="shared" si="57"/>
        <v>824.53937955999993</v>
      </c>
      <c r="T131" s="4">
        <f t="shared" si="58"/>
        <v>0.1075268817204301</v>
      </c>
    </row>
    <row r="132" spans="1:20" x14ac:dyDescent="0.25">
      <c r="A132" s="1">
        <v>128</v>
      </c>
      <c r="B132" s="1" t="s">
        <v>354</v>
      </c>
      <c r="C132" s="1" t="s">
        <v>355</v>
      </c>
      <c r="D132" s="1" t="s">
        <v>15</v>
      </c>
      <c r="E132" s="1" t="s">
        <v>133</v>
      </c>
      <c r="F132" s="1" t="s">
        <v>290</v>
      </c>
      <c r="G132" s="1" t="s">
        <v>291</v>
      </c>
      <c r="H132" s="1" t="s">
        <v>77</v>
      </c>
      <c r="I132" s="1" t="s">
        <v>32</v>
      </c>
      <c r="J132" s="1">
        <v>113</v>
      </c>
      <c r="K132" s="1" t="s">
        <v>32</v>
      </c>
      <c r="L132" s="1">
        <v>103</v>
      </c>
      <c r="M132" s="1">
        <v>1</v>
      </c>
      <c r="N132" s="7">
        <v>1.3247</v>
      </c>
      <c r="O132" s="2">
        <f t="shared" si="54"/>
        <v>136.44409999999999</v>
      </c>
      <c r="P132" s="2">
        <f t="shared" si="55"/>
        <v>13.247</v>
      </c>
      <c r="Q132" s="1">
        <v>62.243479999999998</v>
      </c>
      <c r="R132" s="3">
        <f t="shared" si="56"/>
        <v>8492.7556094679985</v>
      </c>
      <c r="S132" s="3">
        <f t="shared" si="57"/>
        <v>824.53937955999993</v>
      </c>
      <c r="T132" s="4">
        <f t="shared" si="58"/>
        <v>9.7087378640776711E-2</v>
      </c>
    </row>
    <row r="133" spans="1:20" x14ac:dyDescent="0.25">
      <c r="A133" s="1">
        <v>129</v>
      </c>
      <c r="B133" s="1" t="s">
        <v>356</v>
      </c>
      <c r="C133" s="1" t="s">
        <v>355</v>
      </c>
      <c r="D133" s="1" t="s">
        <v>15</v>
      </c>
      <c r="E133" s="1" t="s">
        <v>133</v>
      </c>
      <c r="F133" s="1" t="s">
        <v>348</v>
      </c>
      <c r="G133" s="1" t="s">
        <v>30</v>
      </c>
      <c r="H133" s="1" t="s">
        <v>31</v>
      </c>
      <c r="I133" s="1" t="s">
        <v>32</v>
      </c>
      <c r="J133" s="1">
        <v>88</v>
      </c>
      <c r="K133" s="1" t="s">
        <v>32</v>
      </c>
      <c r="L133" s="1">
        <v>78</v>
      </c>
      <c r="M133" s="1">
        <v>1</v>
      </c>
      <c r="N133" s="7">
        <v>1.3247</v>
      </c>
      <c r="O133" s="2">
        <f t="shared" si="54"/>
        <v>103.3266</v>
      </c>
      <c r="P133" s="2">
        <f t="shared" si="55"/>
        <v>13.247</v>
      </c>
      <c r="Q133" s="1">
        <v>62.243479999999998</v>
      </c>
      <c r="R133" s="3">
        <f t="shared" si="56"/>
        <v>6431.4071605680001</v>
      </c>
      <c r="S133" s="3">
        <f t="shared" si="57"/>
        <v>824.53937955999993</v>
      </c>
      <c r="T133" s="4">
        <f t="shared" si="58"/>
        <v>0.12820512820512819</v>
      </c>
    </row>
    <row r="134" spans="1:20" x14ac:dyDescent="0.25">
      <c r="A134" s="1">
        <v>130</v>
      </c>
      <c r="B134" s="1" t="s">
        <v>357</v>
      </c>
      <c r="C134" s="1" t="s">
        <v>355</v>
      </c>
      <c r="D134" s="1" t="s">
        <v>15</v>
      </c>
      <c r="E134" s="1" t="s">
        <v>358</v>
      </c>
      <c r="F134" s="1" t="s">
        <v>359</v>
      </c>
      <c r="G134" s="1" t="s">
        <v>53</v>
      </c>
      <c r="H134" s="1" t="s">
        <v>54</v>
      </c>
      <c r="I134" s="1" t="s">
        <v>23</v>
      </c>
      <c r="J134" s="1">
        <v>186</v>
      </c>
      <c r="K134" s="1" t="s">
        <v>23</v>
      </c>
      <c r="L134" s="1">
        <v>176</v>
      </c>
      <c r="M134" s="1">
        <v>2</v>
      </c>
      <c r="N134" s="2">
        <v>1</v>
      </c>
      <c r="O134" s="2">
        <f t="shared" si="54"/>
        <v>352</v>
      </c>
      <c r="P134" s="2">
        <f t="shared" si="55"/>
        <v>20</v>
      </c>
      <c r="Q134" s="1">
        <v>62.243479999999998</v>
      </c>
      <c r="R134" s="3">
        <f t="shared" si="56"/>
        <v>21909.704959999999</v>
      </c>
      <c r="S134" s="3">
        <f t="shared" si="57"/>
        <v>1244.8696</v>
      </c>
      <c r="T134" s="4">
        <f t="shared" si="58"/>
        <v>5.6818181818181823E-2</v>
      </c>
    </row>
    <row r="135" spans="1:20" x14ac:dyDescent="0.25">
      <c r="A135" s="1">
        <v>131</v>
      </c>
      <c r="B135" s="1" t="s">
        <v>360</v>
      </c>
      <c r="C135" s="1" t="s">
        <v>361</v>
      </c>
      <c r="D135" s="1" t="s">
        <v>15</v>
      </c>
      <c r="E135" s="1" t="s">
        <v>97</v>
      </c>
      <c r="F135" s="1" t="s">
        <v>362</v>
      </c>
      <c r="G135" s="1" t="s">
        <v>30</v>
      </c>
      <c r="H135" s="1" t="s">
        <v>31</v>
      </c>
      <c r="I135" s="1" t="s">
        <v>32</v>
      </c>
      <c r="J135" s="1">
        <v>121</v>
      </c>
      <c r="K135" s="1" t="s">
        <v>32</v>
      </c>
      <c r="L135" s="1">
        <v>111</v>
      </c>
      <c r="M135" s="1">
        <v>2</v>
      </c>
      <c r="N135" s="7">
        <v>1.3247</v>
      </c>
      <c r="O135" s="2">
        <f t="shared" si="54"/>
        <v>294.08339999999998</v>
      </c>
      <c r="P135" s="2">
        <f t="shared" si="55"/>
        <v>26.494</v>
      </c>
      <c r="Q135" s="1">
        <v>62.243479999999998</v>
      </c>
      <c r="R135" s="3">
        <f t="shared" si="56"/>
        <v>18304.774226231999</v>
      </c>
      <c r="S135" s="3">
        <f t="shared" si="57"/>
        <v>1649.0787591199999</v>
      </c>
      <c r="T135" s="4">
        <f t="shared" si="58"/>
        <v>9.0090090090090086E-2</v>
      </c>
    </row>
    <row r="136" spans="1:20" x14ac:dyDescent="0.25">
      <c r="A136" s="1">
        <v>132</v>
      </c>
      <c r="B136" s="1" t="s">
        <v>363</v>
      </c>
      <c r="C136" s="1" t="s">
        <v>361</v>
      </c>
      <c r="D136" s="1" t="s">
        <v>15</v>
      </c>
      <c r="E136" s="1" t="s">
        <v>343</v>
      </c>
      <c r="F136" s="1" t="s">
        <v>344</v>
      </c>
      <c r="G136" s="1" t="s">
        <v>335</v>
      </c>
      <c r="H136" s="1" t="s">
        <v>140</v>
      </c>
      <c r="I136" s="1" t="s">
        <v>141</v>
      </c>
      <c r="J136" s="1">
        <v>100</v>
      </c>
      <c r="K136" s="1" t="s">
        <v>141</v>
      </c>
      <c r="L136" s="1">
        <v>90</v>
      </c>
      <c r="M136" s="1">
        <v>3</v>
      </c>
      <c r="N136" s="2">
        <v>1.5499700000000001</v>
      </c>
      <c r="O136" s="2">
        <f t="shared" si="54"/>
        <v>418.49190000000004</v>
      </c>
      <c r="P136" s="2">
        <f t="shared" si="55"/>
        <v>46.499099999999999</v>
      </c>
      <c r="Q136" s="1">
        <v>62.243479999999998</v>
      </c>
      <c r="R136" s="3">
        <f t="shared" si="56"/>
        <v>26048.392207812001</v>
      </c>
      <c r="S136" s="3">
        <f t="shared" si="57"/>
        <v>2894.265800868</v>
      </c>
      <c r="T136" s="4">
        <f t="shared" si="58"/>
        <v>0.1111111111111111</v>
      </c>
    </row>
    <row r="137" spans="1:20" x14ac:dyDescent="0.25">
      <c r="A137" s="1">
        <v>133</v>
      </c>
      <c r="B137" s="1" t="s">
        <v>364</v>
      </c>
      <c r="C137" s="1" t="s">
        <v>361</v>
      </c>
      <c r="D137" s="1" t="s">
        <v>15</v>
      </c>
      <c r="E137" s="1" t="s">
        <v>343</v>
      </c>
      <c r="F137" s="1" t="s">
        <v>365</v>
      </c>
      <c r="G137" s="1" t="s">
        <v>294</v>
      </c>
      <c r="H137" s="1" t="s">
        <v>31</v>
      </c>
      <c r="I137" s="1" t="s">
        <v>32</v>
      </c>
      <c r="J137" s="1">
        <v>107</v>
      </c>
      <c r="K137" s="1" t="s">
        <v>32</v>
      </c>
      <c r="L137" s="1">
        <v>97</v>
      </c>
      <c r="M137" s="1">
        <v>1</v>
      </c>
      <c r="N137" s="7">
        <v>1.3247</v>
      </c>
      <c r="O137" s="2">
        <f t="shared" si="54"/>
        <v>128.49590000000001</v>
      </c>
      <c r="P137" s="2">
        <f t="shared" si="55"/>
        <v>13.247</v>
      </c>
      <c r="Q137" s="1">
        <v>62.243479999999998</v>
      </c>
      <c r="R137" s="3">
        <f t="shared" si="56"/>
        <v>7998.0319817320005</v>
      </c>
      <c r="S137" s="3">
        <f t="shared" si="57"/>
        <v>824.53937955999993</v>
      </c>
      <c r="T137" s="4">
        <f t="shared" si="58"/>
        <v>0.10309278350515462</v>
      </c>
    </row>
    <row r="138" spans="1:20" x14ac:dyDescent="0.25">
      <c r="A138" s="1">
        <v>134</v>
      </c>
      <c r="B138" s="1" t="s">
        <v>366</v>
      </c>
      <c r="C138" s="1" t="s">
        <v>367</v>
      </c>
      <c r="D138" s="1" t="s">
        <v>15</v>
      </c>
      <c r="E138" s="1" t="s">
        <v>97</v>
      </c>
      <c r="F138" s="1" t="s">
        <v>138</v>
      </c>
      <c r="G138" s="1" t="s">
        <v>139</v>
      </c>
      <c r="H138" s="1" t="s">
        <v>140</v>
      </c>
      <c r="I138" s="1" t="s">
        <v>141</v>
      </c>
      <c r="J138" s="1">
        <v>109</v>
      </c>
      <c r="K138" s="1" t="s">
        <v>141</v>
      </c>
      <c r="L138" s="1">
        <v>99</v>
      </c>
      <c r="M138" s="1">
        <v>3</v>
      </c>
      <c r="N138" s="2">
        <v>1.5499700000000001</v>
      </c>
      <c r="O138" s="2">
        <f t="shared" si="54"/>
        <v>460.34109000000001</v>
      </c>
      <c r="P138" s="2">
        <f t="shared" si="55"/>
        <v>46.499099999999999</v>
      </c>
      <c r="Q138" s="1">
        <v>62.243479999999998</v>
      </c>
      <c r="R138" s="3">
        <f t="shared" si="56"/>
        <v>28653.231428593201</v>
      </c>
      <c r="S138" s="3">
        <f t="shared" si="57"/>
        <v>2894.265800868</v>
      </c>
      <c r="T138" s="4">
        <f t="shared" si="58"/>
        <v>0.10101010101010101</v>
      </c>
    </row>
    <row r="139" spans="1:20" x14ac:dyDescent="0.25">
      <c r="A139" s="1">
        <v>135</v>
      </c>
      <c r="B139" s="1" t="s">
        <v>368</v>
      </c>
      <c r="C139" s="1" t="s">
        <v>369</v>
      </c>
      <c r="D139" s="1" t="s">
        <v>15</v>
      </c>
      <c r="E139" s="1" t="s">
        <v>370</v>
      </c>
      <c r="F139" s="1" t="s">
        <v>371</v>
      </c>
      <c r="G139" s="1" t="s">
        <v>372</v>
      </c>
      <c r="H139" s="1" t="s">
        <v>373</v>
      </c>
      <c r="I139" s="1" t="s">
        <v>23</v>
      </c>
      <c r="J139" s="1">
        <v>189</v>
      </c>
      <c r="K139" s="1" t="s">
        <v>23</v>
      </c>
      <c r="L139" s="1">
        <v>179</v>
      </c>
      <c r="M139" s="1">
        <v>3</v>
      </c>
      <c r="N139" s="2">
        <v>1</v>
      </c>
      <c r="O139" s="2">
        <f t="shared" si="54"/>
        <v>537</v>
      </c>
      <c r="P139" s="2">
        <f t="shared" si="55"/>
        <v>30</v>
      </c>
      <c r="Q139" s="1">
        <v>62.243479999999998</v>
      </c>
      <c r="R139" s="3">
        <f t="shared" si="56"/>
        <v>33424.748760000002</v>
      </c>
      <c r="S139" s="3">
        <f t="shared" si="57"/>
        <v>1867.3044</v>
      </c>
      <c r="T139" s="4">
        <f t="shared" si="58"/>
        <v>5.5865921787709494E-2</v>
      </c>
    </row>
    <row r="140" spans="1:20" x14ac:dyDescent="0.25">
      <c r="A140" s="1">
        <v>136</v>
      </c>
      <c r="B140" s="1" t="s">
        <v>374</v>
      </c>
      <c r="C140" s="1" t="s">
        <v>375</v>
      </c>
      <c r="D140" s="1" t="s">
        <v>15</v>
      </c>
      <c r="E140" s="1" t="s">
        <v>166</v>
      </c>
      <c r="F140" s="1" t="s">
        <v>376</v>
      </c>
      <c r="G140" s="1" t="s">
        <v>377</v>
      </c>
      <c r="H140" s="1" t="s">
        <v>31</v>
      </c>
      <c r="I140" s="1" t="s">
        <v>32</v>
      </c>
      <c r="J140" s="1">
        <v>95</v>
      </c>
      <c r="K140" s="1" t="s">
        <v>32</v>
      </c>
      <c r="L140" s="1">
        <v>85</v>
      </c>
      <c r="M140" s="1">
        <v>2</v>
      </c>
      <c r="N140" s="7">
        <v>1.3247</v>
      </c>
      <c r="O140" s="2">
        <f t="shared" si="54"/>
        <v>225.19900000000001</v>
      </c>
      <c r="P140" s="2">
        <f t="shared" si="55"/>
        <v>26.494</v>
      </c>
      <c r="Q140" s="1">
        <v>62.243479999999998</v>
      </c>
      <c r="R140" s="3">
        <f t="shared" si="56"/>
        <v>14017.16945252</v>
      </c>
      <c r="S140" s="3">
        <f t="shared" si="57"/>
        <v>1649.0787591199999</v>
      </c>
      <c r="T140" s="4">
        <f t="shared" si="58"/>
        <v>0.1176470588235294</v>
      </c>
    </row>
    <row r="141" spans="1:20" x14ac:dyDescent="0.25">
      <c r="A141" s="1">
        <v>137</v>
      </c>
      <c r="B141" s="1" t="s">
        <v>378</v>
      </c>
      <c r="C141" s="1" t="s">
        <v>379</v>
      </c>
      <c r="D141" s="1" t="s">
        <v>15</v>
      </c>
      <c r="E141" s="1" t="s">
        <v>380</v>
      </c>
      <c r="F141" s="1" t="s">
        <v>381</v>
      </c>
      <c r="G141" s="1" t="s">
        <v>382</v>
      </c>
      <c r="H141" s="1" t="s">
        <v>50</v>
      </c>
      <c r="I141" s="1" t="s">
        <v>23</v>
      </c>
      <c r="J141" s="1">
        <v>111</v>
      </c>
      <c r="K141" s="1" t="s">
        <v>23</v>
      </c>
      <c r="L141" s="1">
        <v>101</v>
      </c>
      <c r="M141" s="1">
        <v>3</v>
      </c>
      <c r="N141" s="2">
        <v>1</v>
      </c>
      <c r="O141" s="2">
        <f t="shared" si="54"/>
        <v>303</v>
      </c>
      <c r="P141" s="2">
        <f t="shared" si="55"/>
        <v>30</v>
      </c>
      <c r="Q141" s="1">
        <v>62.243479999999998</v>
      </c>
      <c r="R141" s="3">
        <f t="shared" si="56"/>
        <v>18859.774440000001</v>
      </c>
      <c r="S141" s="3">
        <f t="shared" si="57"/>
        <v>1867.3044</v>
      </c>
      <c r="T141" s="4">
        <f t="shared" si="58"/>
        <v>9.9009900990099001E-2</v>
      </c>
    </row>
    <row r="142" spans="1:20" x14ac:dyDescent="0.25">
      <c r="A142" s="1">
        <v>138</v>
      </c>
      <c r="B142" s="1" t="s">
        <v>383</v>
      </c>
      <c r="C142" s="1" t="s">
        <v>379</v>
      </c>
      <c r="D142" s="1" t="s">
        <v>15</v>
      </c>
      <c r="E142" s="1" t="s">
        <v>380</v>
      </c>
      <c r="F142" s="1" t="s">
        <v>384</v>
      </c>
      <c r="G142" s="1" t="s">
        <v>385</v>
      </c>
      <c r="H142" s="1" t="s">
        <v>50</v>
      </c>
      <c r="I142" s="1" t="s">
        <v>23</v>
      </c>
      <c r="J142" s="1">
        <v>230</v>
      </c>
      <c r="K142" s="1" t="s">
        <v>23</v>
      </c>
      <c r="L142" s="1">
        <v>220</v>
      </c>
      <c r="M142" s="1">
        <v>1</v>
      </c>
      <c r="N142" s="2">
        <v>1</v>
      </c>
      <c r="O142" s="2">
        <f t="shared" si="54"/>
        <v>220</v>
      </c>
      <c r="P142" s="2">
        <f t="shared" si="55"/>
        <v>10</v>
      </c>
      <c r="Q142" s="1">
        <v>62.243479999999998</v>
      </c>
      <c r="R142" s="3">
        <f t="shared" si="56"/>
        <v>13693.5656</v>
      </c>
      <c r="S142" s="3">
        <f t="shared" si="57"/>
        <v>622.4348</v>
      </c>
      <c r="T142" s="4">
        <f t="shared" si="58"/>
        <v>4.5454545454545456E-2</v>
      </c>
    </row>
    <row r="143" spans="1:20" x14ac:dyDescent="0.25">
      <c r="A143" s="1">
        <v>139</v>
      </c>
      <c r="B143" s="18" t="s">
        <v>386</v>
      </c>
      <c r="C143" s="18" t="s">
        <v>379</v>
      </c>
      <c r="D143" s="18" t="s">
        <v>15</v>
      </c>
      <c r="E143" s="18" t="s">
        <v>387</v>
      </c>
      <c r="F143" s="18" t="s">
        <v>388</v>
      </c>
      <c r="G143" s="18" t="s">
        <v>283</v>
      </c>
      <c r="H143" s="18" t="s">
        <v>88</v>
      </c>
      <c r="I143" s="18" t="s">
        <v>89</v>
      </c>
      <c r="J143" s="18">
        <v>4800</v>
      </c>
      <c r="K143" s="18" t="s">
        <v>89</v>
      </c>
      <c r="L143" s="18">
        <v>4700</v>
      </c>
      <c r="M143" s="18">
        <v>1</v>
      </c>
      <c r="N143" s="20">
        <v>1.6619999999999999E-2</v>
      </c>
      <c r="O143" s="20">
        <f t="shared" si="54"/>
        <v>78.11399999999999</v>
      </c>
      <c r="P143" s="20">
        <f t="shared" si="55"/>
        <v>1.6619999999999999</v>
      </c>
      <c r="Q143" s="18">
        <v>62.243479999999998</v>
      </c>
      <c r="R143" s="21">
        <f t="shared" si="56"/>
        <v>4862.0871967199992</v>
      </c>
      <c r="S143" s="21">
        <f t="shared" si="57"/>
        <v>103.44866375999999</v>
      </c>
      <c r="T143" s="22">
        <f t="shared" si="58"/>
        <v>2.1276595744680854E-2</v>
      </c>
    </row>
    <row r="144" spans="1:20" x14ac:dyDescent="0.25">
      <c r="A144" s="1">
        <v>140</v>
      </c>
      <c r="B144" s="18" t="s">
        <v>389</v>
      </c>
      <c r="C144" s="18" t="s">
        <v>379</v>
      </c>
      <c r="D144" s="18" t="s">
        <v>15</v>
      </c>
      <c r="E144" s="18" t="s">
        <v>390</v>
      </c>
      <c r="F144" s="18" t="s">
        <v>388</v>
      </c>
      <c r="G144" s="18" t="s">
        <v>283</v>
      </c>
      <c r="H144" s="18" t="s">
        <v>88</v>
      </c>
      <c r="I144" s="18" t="s">
        <v>89</v>
      </c>
      <c r="J144" s="18">
        <v>4800</v>
      </c>
      <c r="K144" s="18" t="s">
        <v>89</v>
      </c>
      <c r="L144" s="18">
        <v>4700</v>
      </c>
      <c r="M144" s="18">
        <v>1</v>
      </c>
      <c r="N144" s="20">
        <v>1.6619999999999999E-2</v>
      </c>
      <c r="O144" s="20">
        <f t="shared" si="54"/>
        <v>78.11399999999999</v>
      </c>
      <c r="P144" s="20">
        <f t="shared" si="55"/>
        <v>1.6619999999999999</v>
      </c>
      <c r="Q144" s="18">
        <v>62.243479999999998</v>
      </c>
      <c r="R144" s="21">
        <f t="shared" si="56"/>
        <v>4862.0871967199992</v>
      </c>
      <c r="S144" s="21">
        <f t="shared" si="57"/>
        <v>103.44866375999999</v>
      </c>
      <c r="T144" s="22">
        <f t="shared" si="58"/>
        <v>2.1276595744680854E-2</v>
      </c>
    </row>
    <row r="145" spans="1:20" x14ac:dyDescent="0.25">
      <c r="A145" s="1">
        <v>141</v>
      </c>
      <c r="B145" s="1" t="s">
        <v>391</v>
      </c>
      <c r="C145" s="1" t="s">
        <v>392</v>
      </c>
      <c r="D145" s="1" t="s">
        <v>15</v>
      </c>
      <c r="E145" s="1" t="s">
        <v>97</v>
      </c>
      <c r="F145" s="1" t="s">
        <v>393</v>
      </c>
      <c r="G145" s="1" t="s">
        <v>104</v>
      </c>
      <c r="H145" s="1" t="s">
        <v>105</v>
      </c>
      <c r="I145" s="1" t="s">
        <v>32</v>
      </c>
      <c r="J145" s="1">
        <v>175</v>
      </c>
      <c r="K145" s="1" t="s">
        <v>32</v>
      </c>
      <c r="L145" s="1">
        <v>165</v>
      </c>
      <c r="M145" s="1">
        <v>1</v>
      </c>
      <c r="N145" s="7">
        <v>1.3247</v>
      </c>
      <c r="O145" s="2">
        <f t="shared" si="54"/>
        <v>218.57550000000001</v>
      </c>
      <c r="P145" s="2">
        <f t="shared" si="55"/>
        <v>13.247</v>
      </c>
      <c r="Q145" s="1">
        <v>62.243479999999998</v>
      </c>
      <c r="R145" s="3">
        <f t="shared" si="56"/>
        <v>13604.89976274</v>
      </c>
      <c r="S145" s="3">
        <f t="shared" si="57"/>
        <v>824.53937955999993</v>
      </c>
      <c r="T145" s="4">
        <f t="shared" si="58"/>
        <v>6.0606060606060601E-2</v>
      </c>
    </row>
    <row r="146" spans="1:20" x14ac:dyDescent="0.25">
      <c r="A146" s="1">
        <v>142</v>
      </c>
      <c r="B146" s="1" t="s">
        <v>394</v>
      </c>
      <c r="C146" s="1" t="s">
        <v>392</v>
      </c>
      <c r="D146" s="1" t="s">
        <v>15</v>
      </c>
      <c r="E146" s="1" t="s">
        <v>97</v>
      </c>
      <c r="F146" s="1" t="s">
        <v>395</v>
      </c>
      <c r="G146" s="1" t="s">
        <v>353</v>
      </c>
      <c r="H146" s="1" t="s">
        <v>158</v>
      </c>
      <c r="I146" s="1" t="s">
        <v>32</v>
      </c>
      <c r="J146" s="1">
        <v>137</v>
      </c>
      <c r="K146" s="1" t="s">
        <v>32</v>
      </c>
      <c r="L146" s="1">
        <v>127</v>
      </c>
      <c r="M146" s="1">
        <v>1</v>
      </c>
      <c r="N146" s="7">
        <v>1.3247</v>
      </c>
      <c r="O146" s="2">
        <f t="shared" si="54"/>
        <v>168.23689999999999</v>
      </c>
      <c r="P146" s="2">
        <f t="shared" si="55"/>
        <v>13.247</v>
      </c>
      <c r="Q146" s="1">
        <v>62.243479999999998</v>
      </c>
      <c r="R146" s="3">
        <f t="shared" si="56"/>
        <v>10471.650120412</v>
      </c>
      <c r="S146" s="3">
        <f t="shared" si="57"/>
        <v>824.53937955999993</v>
      </c>
      <c r="T146" s="4">
        <f t="shared" si="58"/>
        <v>7.874015748031496E-2</v>
      </c>
    </row>
    <row r="147" spans="1:20" x14ac:dyDescent="0.25">
      <c r="A147" s="1">
        <v>143</v>
      </c>
      <c r="B147" s="1" t="s">
        <v>396</v>
      </c>
      <c r="C147" s="1" t="s">
        <v>392</v>
      </c>
      <c r="D147" s="1" t="s">
        <v>15</v>
      </c>
      <c r="E147" s="1" t="s">
        <v>97</v>
      </c>
      <c r="F147" s="1" t="s">
        <v>94</v>
      </c>
      <c r="G147" s="1" t="s">
        <v>95</v>
      </c>
      <c r="H147" s="1" t="s">
        <v>83</v>
      </c>
      <c r="I147" s="1" t="s">
        <v>32</v>
      </c>
      <c r="J147" s="1">
        <v>182</v>
      </c>
      <c r="K147" s="1" t="s">
        <v>32</v>
      </c>
      <c r="L147" s="1">
        <v>172</v>
      </c>
      <c r="M147" s="1">
        <v>1</v>
      </c>
      <c r="N147" s="7">
        <v>1.3247</v>
      </c>
      <c r="O147" s="2">
        <f t="shared" si="54"/>
        <v>227.8484</v>
      </c>
      <c r="P147" s="2">
        <f t="shared" si="55"/>
        <v>13.247</v>
      </c>
      <c r="Q147" s="1">
        <v>62.243479999999998</v>
      </c>
      <c r="R147" s="3">
        <f t="shared" si="56"/>
        <v>14182.077328432</v>
      </c>
      <c r="S147" s="3">
        <f t="shared" si="57"/>
        <v>824.53937955999993</v>
      </c>
      <c r="T147" s="4">
        <f t="shared" si="58"/>
        <v>5.8139534883720922E-2</v>
      </c>
    </row>
    <row r="148" spans="1:20" x14ac:dyDescent="0.25">
      <c r="A148" s="1">
        <v>144</v>
      </c>
      <c r="B148" s="18" t="s">
        <v>397</v>
      </c>
      <c r="C148" s="18" t="s">
        <v>398</v>
      </c>
      <c r="D148" s="18" t="s">
        <v>399</v>
      </c>
      <c r="E148" s="18" t="s">
        <v>400</v>
      </c>
      <c r="F148" s="18" t="s">
        <v>401</v>
      </c>
      <c r="G148" s="18" t="s">
        <v>402</v>
      </c>
      <c r="H148" s="18" t="s">
        <v>88</v>
      </c>
      <c r="I148" s="18" t="s">
        <v>89</v>
      </c>
      <c r="J148" s="18">
        <v>7612</v>
      </c>
      <c r="K148" s="18" t="s">
        <v>89</v>
      </c>
      <c r="L148" s="18">
        <v>7602</v>
      </c>
      <c r="M148" s="18">
        <v>1</v>
      </c>
      <c r="N148" s="20">
        <v>1.6619999999999999E-2</v>
      </c>
      <c r="O148" s="20">
        <f t="shared" si="54"/>
        <v>126.34523999999999</v>
      </c>
      <c r="P148" s="20">
        <f t="shared" si="55"/>
        <v>0.16619999999999999</v>
      </c>
      <c r="Q148" s="18">
        <v>62.243479999999998</v>
      </c>
      <c r="R148" s="21">
        <f t="shared" si="56"/>
        <v>7864.1674190351987</v>
      </c>
      <c r="S148" s="21">
        <f t="shared" si="57"/>
        <v>10.344866375999999</v>
      </c>
      <c r="T148" s="22">
        <f t="shared" si="58"/>
        <v>1.3154433043935808E-3</v>
      </c>
    </row>
    <row r="149" spans="1:20" x14ac:dyDescent="0.25">
      <c r="A149" s="1">
        <v>145</v>
      </c>
      <c r="B149" s="18" t="s">
        <v>403</v>
      </c>
      <c r="C149" s="18" t="s">
        <v>398</v>
      </c>
      <c r="D149" s="18" t="s">
        <v>399</v>
      </c>
      <c r="E149" s="18" t="s">
        <v>404</v>
      </c>
      <c r="F149" s="18" t="s">
        <v>401</v>
      </c>
      <c r="G149" s="18" t="s">
        <v>402</v>
      </c>
      <c r="H149" s="18" t="s">
        <v>88</v>
      </c>
      <c r="I149" s="18" t="s">
        <v>89</v>
      </c>
      <c r="J149" s="18">
        <v>7612</v>
      </c>
      <c r="K149" s="18" t="s">
        <v>89</v>
      </c>
      <c r="L149" s="18">
        <v>7602</v>
      </c>
      <c r="M149" s="18">
        <v>1</v>
      </c>
      <c r="N149" s="20">
        <v>1.6619999999999999E-2</v>
      </c>
      <c r="O149" s="20">
        <f t="shared" si="54"/>
        <v>126.34523999999999</v>
      </c>
      <c r="P149" s="20">
        <f t="shared" si="55"/>
        <v>0.16619999999999999</v>
      </c>
      <c r="Q149" s="18">
        <v>62.243479999999998</v>
      </c>
      <c r="R149" s="21">
        <f t="shared" si="56"/>
        <v>7864.1674190351987</v>
      </c>
      <c r="S149" s="21">
        <f t="shared" si="57"/>
        <v>10.344866375999999</v>
      </c>
      <c r="T149" s="22">
        <f t="shared" si="58"/>
        <v>1.3154433043935808E-3</v>
      </c>
    </row>
    <row r="150" spans="1:20" x14ac:dyDescent="0.25">
      <c r="A150" s="1">
        <v>146</v>
      </c>
      <c r="B150" s="18" t="s">
        <v>405</v>
      </c>
      <c r="C150" s="18" t="s">
        <v>398</v>
      </c>
      <c r="D150" s="18" t="s">
        <v>399</v>
      </c>
      <c r="E150" s="18" t="s">
        <v>406</v>
      </c>
      <c r="F150" s="18" t="s">
        <v>407</v>
      </c>
      <c r="G150" s="18" t="s">
        <v>408</v>
      </c>
      <c r="H150" s="18" t="s">
        <v>88</v>
      </c>
      <c r="I150" s="18" t="s">
        <v>89</v>
      </c>
      <c r="J150" s="18">
        <v>10510</v>
      </c>
      <c r="K150" s="18" t="s">
        <v>89</v>
      </c>
      <c r="L150" s="18">
        <v>10500</v>
      </c>
      <c r="M150" s="18">
        <v>1</v>
      </c>
      <c r="N150" s="20">
        <v>1.6619999999999999E-2</v>
      </c>
      <c r="O150" s="20">
        <f t="shared" si="54"/>
        <v>174.51</v>
      </c>
      <c r="P150" s="20">
        <f t="shared" si="55"/>
        <v>0.16619999999999999</v>
      </c>
      <c r="Q150" s="18">
        <v>62.243479999999998</v>
      </c>
      <c r="R150" s="21">
        <f t="shared" si="56"/>
        <v>10862.109694799999</v>
      </c>
      <c r="S150" s="21">
        <f t="shared" si="57"/>
        <v>10.344866375999999</v>
      </c>
      <c r="T150" s="22">
        <f t="shared" si="58"/>
        <v>9.5238095238095227E-4</v>
      </c>
    </row>
    <row r="151" spans="1:20" x14ac:dyDescent="0.25">
      <c r="A151" s="1">
        <v>147</v>
      </c>
      <c r="B151" s="18" t="s">
        <v>409</v>
      </c>
      <c r="C151" s="18" t="s">
        <v>398</v>
      </c>
      <c r="D151" s="18" t="s">
        <v>399</v>
      </c>
      <c r="E151" s="18" t="s">
        <v>400</v>
      </c>
      <c r="F151" s="18" t="s">
        <v>407</v>
      </c>
      <c r="G151" s="18" t="s">
        <v>408</v>
      </c>
      <c r="H151" s="18" t="s">
        <v>88</v>
      </c>
      <c r="I151" s="18" t="s">
        <v>89</v>
      </c>
      <c r="J151" s="18">
        <v>10510</v>
      </c>
      <c r="K151" s="18" t="s">
        <v>89</v>
      </c>
      <c r="L151" s="18">
        <v>10500</v>
      </c>
      <c r="M151" s="18">
        <v>1</v>
      </c>
      <c r="N151" s="20">
        <v>1.6619999999999999E-2</v>
      </c>
      <c r="O151" s="20">
        <f t="shared" si="54"/>
        <v>174.51</v>
      </c>
      <c r="P151" s="20">
        <f t="shared" si="55"/>
        <v>0.16619999999999999</v>
      </c>
      <c r="Q151" s="18">
        <v>62.243479999999998</v>
      </c>
      <c r="R151" s="21">
        <f t="shared" si="56"/>
        <v>10862.109694799999</v>
      </c>
      <c r="S151" s="21">
        <f t="shared" si="57"/>
        <v>10.344866375999999</v>
      </c>
      <c r="T151" s="22">
        <f t="shared" si="58"/>
        <v>9.5238095238095227E-4</v>
      </c>
    </row>
    <row r="152" spans="1:20" x14ac:dyDescent="0.25">
      <c r="A152" s="1">
        <v>148</v>
      </c>
      <c r="B152" s="1" t="s">
        <v>410</v>
      </c>
      <c r="C152" s="1" t="s">
        <v>398</v>
      </c>
      <c r="D152" s="1" t="s">
        <v>25</v>
      </c>
      <c r="E152" s="1" t="s">
        <v>236</v>
      </c>
      <c r="F152" s="1" t="s">
        <v>411</v>
      </c>
      <c r="G152" s="1" t="s">
        <v>238</v>
      </c>
      <c r="H152" s="1" t="s">
        <v>117</v>
      </c>
      <c r="I152" s="1" t="s">
        <v>23</v>
      </c>
      <c r="J152" s="1">
        <v>155</v>
      </c>
      <c r="K152" s="1" t="s">
        <v>23</v>
      </c>
      <c r="L152" s="1">
        <v>145</v>
      </c>
      <c r="M152" s="1">
        <v>3</v>
      </c>
      <c r="N152" s="2">
        <v>1</v>
      </c>
      <c r="O152" s="2">
        <f t="shared" si="54"/>
        <v>435</v>
      </c>
      <c r="P152" s="2">
        <f t="shared" si="55"/>
        <v>30</v>
      </c>
      <c r="Q152" s="1">
        <v>62.243479999999998</v>
      </c>
      <c r="R152" s="3">
        <f t="shared" si="56"/>
        <v>27075.913799999998</v>
      </c>
      <c r="S152" s="3">
        <f t="shared" si="57"/>
        <v>1867.3044</v>
      </c>
      <c r="T152" s="4">
        <f t="shared" si="58"/>
        <v>6.8965517241379309E-2</v>
      </c>
    </row>
    <row r="153" spans="1:20" x14ac:dyDescent="0.25">
      <c r="A153" s="1">
        <v>149</v>
      </c>
      <c r="B153" s="18" t="s">
        <v>412</v>
      </c>
      <c r="C153" s="18" t="s">
        <v>398</v>
      </c>
      <c r="D153" s="18" t="s">
        <v>399</v>
      </c>
      <c r="E153" s="18" t="s">
        <v>406</v>
      </c>
      <c r="F153" s="18" t="s">
        <v>413</v>
      </c>
      <c r="G153" s="18" t="s">
        <v>414</v>
      </c>
      <c r="H153" s="18" t="s">
        <v>88</v>
      </c>
      <c r="I153" s="18" t="s">
        <v>89</v>
      </c>
      <c r="J153" s="18">
        <v>7810</v>
      </c>
      <c r="K153" s="18" t="s">
        <v>89</v>
      </c>
      <c r="L153" s="18">
        <v>7800</v>
      </c>
      <c r="M153" s="18">
        <v>1</v>
      </c>
      <c r="N153" s="20">
        <v>1.6619999999999999E-2</v>
      </c>
      <c r="O153" s="20">
        <f t="shared" si="54"/>
        <v>129.636</v>
      </c>
      <c r="P153" s="20">
        <f t="shared" si="55"/>
        <v>0.16619999999999999</v>
      </c>
      <c r="Q153" s="18">
        <v>62.243479999999998</v>
      </c>
      <c r="R153" s="21">
        <f t="shared" si="56"/>
        <v>8068.9957732799994</v>
      </c>
      <c r="S153" s="21">
        <f t="shared" si="57"/>
        <v>10.344866375999999</v>
      </c>
      <c r="T153" s="22">
        <f t="shared" si="58"/>
        <v>1.2820512820512821E-3</v>
      </c>
    </row>
    <row r="154" spans="1:20" x14ac:dyDescent="0.25">
      <c r="A154" s="1">
        <v>150</v>
      </c>
      <c r="B154" s="18" t="s">
        <v>415</v>
      </c>
      <c r="C154" s="18" t="s">
        <v>398</v>
      </c>
      <c r="D154" s="18" t="s">
        <v>399</v>
      </c>
      <c r="E154" s="18" t="s">
        <v>400</v>
      </c>
      <c r="F154" s="18" t="s">
        <v>413</v>
      </c>
      <c r="G154" s="18" t="s">
        <v>414</v>
      </c>
      <c r="H154" s="18" t="s">
        <v>88</v>
      </c>
      <c r="I154" s="18" t="s">
        <v>89</v>
      </c>
      <c r="J154" s="18">
        <v>7810</v>
      </c>
      <c r="K154" s="18" t="s">
        <v>89</v>
      </c>
      <c r="L154" s="18">
        <v>7800</v>
      </c>
      <c r="M154" s="18">
        <v>1</v>
      </c>
      <c r="N154" s="20">
        <v>1.6619999999999999E-2</v>
      </c>
      <c r="O154" s="20">
        <f t="shared" si="54"/>
        <v>129.636</v>
      </c>
      <c r="P154" s="20">
        <f t="shared" si="55"/>
        <v>0.16619999999999999</v>
      </c>
      <c r="Q154" s="18">
        <v>62.243479999999998</v>
      </c>
      <c r="R154" s="21">
        <f t="shared" si="56"/>
        <v>8068.9957732799994</v>
      </c>
      <c r="S154" s="21">
        <f t="shared" si="57"/>
        <v>10.344866375999999</v>
      </c>
      <c r="T154" s="22">
        <f t="shared" si="58"/>
        <v>1.2820512820512821E-3</v>
      </c>
    </row>
    <row r="155" spans="1:20" x14ac:dyDescent="0.25">
      <c r="A155" s="1">
        <v>151</v>
      </c>
      <c r="B155" s="18" t="s">
        <v>416</v>
      </c>
      <c r="C155" s="18" t="s">
        <v>398</v>
      </c>
      <c r="D155" s="18" t="s">
        <v>399</v>
      </c>
      <c r="E155" s="18" t="s">
        <v>404</v>
      </c>
      <c r="F155" s="18" t="s">
        <v>413</v>
      </c>
      <c r="G155" s="18" t="s">
        <v>414</v>
      </c>
      <c r="H155" s="18" t="s">
        <v>88</v>
      </c>
      <c r="I155" s="18" t="s">
        <v>89</v>
      </c>
      <c r="J155" s="18">
        <v>7810</v>
      </c>
      <c r="K155" s="18" t="s">
        <v>89</v>
      </c>
      <c r="L155" s="18">
        <v>7800</v>
      </c>
      <c r="M155" s="18">
        <v>1</v>
      </c>
      <c r="N155" s="20">
        <v>1.6619999999999999E-2</v>
      </c>
      <c r="O155" s="20">
        <f t="shared" si="54"/>
        <v>129.636</v>
      </c>
      <c r="P155" s="20">
        <f t="shared" si="55"/>
        <v>0.16619999999999999</v>
      </c>
      <c r="Q155" s="18">
        <v>62.243479999999998</v>
      </c>
      <c r="R155" s="21">
        <f t="shared" si="56"/>
        <v>8068.9957732799994</v>
      </c>
      <c r="S155" s="21">
        <f t="shared" si="57"/>
        <v>10.344866375999999</v>
      </c>
      <c r="T155" s="22">
        <f t="shared" si="58"/>
        <v>1.2820512820512821E-3</v>
      </c>
    </row>
    <row r="156" spans="1:20" x14ac:dyDescent="0.25">
      <c r="A156" s="1">
        <v>152</v>
      </c>
      <c r="B156" s="1" t="s">
        <v>417</v>
      </c>
      <c r="C156" s="1" t="s">
        <v>398</v>
      </c>
      <c r="D156" s="1" t="s">
        <v>25</v>
      </c>
      <c r="E156" s="1" t="s">
        <v>236</v>
      </c>
      <c r="F156" s="1" t="s">
        <v>282</v>
      </c>
      <c r="G156" s="1" t="s">
        <v>283</v>
      </c>
      <c r="H156" s="1" t="s">
        <v>88</v>
      </c>
      <c r="I156" s="1" t="s">
        <v>89</v>
      </c>
      <c r="J156" s="1">
        <v>7000</v>
      </c>
      <c r="K156" s="1" t="s">
        <v>89</v>
      </c>
      <c r="L156" s="1">
        <v>6900</v>
      </c>
      <c r="M156" s="1">
        <v>2</v>
      </c>
      <c r="N156" s="2">
        <v>1.6619999999999999E-2</v>
      </c>
      <c r="O156" s="2">
        <f t="shared" si="54"/>
        <v>229.35599999999999</v>
      </c>
      <c r="P156" s="2">
        <f t="shared" si="55"/>
        <v>3.3239999999999998</v>
      </c>
      <c r="Q156" s="1">
        <v>62.243479999999998</v>
      </c>
      <c r="R156" s="3">
        <f t="shared" si="56"/>
        <v>14275.915598879999</v>
      </c>
      <c r="S156" s="3">
        <f t="shared" si="57"/>
        <v>206.89732751999998</v>
      </c>
      <c r="T156" s="4">
        <f t="shared" si="58"/>
        <v>1.4492753623188404E-2</v>
      </c>
    </row>
    <row r="157" spans="1:20" x14ac:dyDescent="0.25">
      <c r="A157" s="1">
        <v>153</v>
      </c>
      <c r="B157" s="1" t="s">
        <v>418</v>
      </c>
      <c r="C157" s="1" t="s">
        <v>419</v>
      </c>
      <c r="D157" s="1" t="s">
        <v>399</v>
      </c>
      <c r="E157" s="1" t="s">
        <v>420</v>
      </c>
      <c r="F157" s="1" t="s">
        <v>421</v>
      </c>
      <c r="G157" s="1" t="s">
        <v>422</v>
      </c>
      <c r="H157" s="1" t="s">
        <v>88</v>
      </c>
      <c r="I157" s="1" t="s">
        <v>89</v>
      </c>
      <c r="J157" s="1">
        <v>10000</v>
      </c>
      <c r="K157" s="1" t="s">
        <v>89</v>
      </c>
      <c r="L157" s="1">
        <v>8453</v>
      </c>
      <c r="M157" s="1">
        <v>3</v>
      </c>
      <c r="N157" s="2">
        <v>1.6619999999999999E-2</v>
      </c>
      <c r="O157" s="2">
        <f t="shared" si="54"/>
        <v>421.46657999999996</v>
      </c>
      <c r="P157" s="2">
        <f t="shared" si="55"/>
        <v>77.133420000000001</v>
      </c>
      <c r="Q157" s="1">
        <v>62.243479999999998</v>
      </c>
      <c r="R157" s="3">
        <f t="shared" si="56"/>
        <v>26233.546642898396</v>
      </c>
      <c r="S157" s="3">
        <f t="shared" si="57"/>
        <v>4801.0524851015998</v>
      </c>
      <c r="T157" s="4">
        <f t="shared" si="58"/>
        <v>0.18301194842067905</v>
      </c>
    </row>
    <row r="158" spans="1:20" x14ac:dyDescent="0.25">
      <c r="A158" s="1">
        <v>154</v>
      </c>
      <c r="B158" s="1" t="s">
        <v>423</v>
      </c>
      <c r="C158" s="1" t="s">
        <v>419</v>
      </c>
      <c r="D158" s="1" t="s">
        <v>399</v>
      </c>
      <c r="E158" s="1" t="s">
        <v>406</v>
      </c>
      <c r="F158" s="1" t="s">
        <v>421</v>
      </c>
      <c r="G158" s="1" t="s">
        <v>422</v>
      </c>
      <c r="H158" s="1" t="s">
        <v>88</v>
      </c>
      <c r="I158" s="1" t="s">
        <v>89</v>
      </c>
      <c r="J158" s="1">
        <v>10000</v>
      </c>
      <c r="K158" s="1" t="s">
        <v>89</v>
      </c>
      <c r="L158" s="1">
        <v>8453</v>
      </c>
      <c r="M158" s="1">
        <v>3</v>
      </c>
      <c r="N158" s="2">
        <v>1.6619999999999999E-2</v>
      </c>
      <c r="O158" s="2">
        <f t="shared" si="54"/>
        <v>421.46657999999996</v>
      </c>
      <c r="P158" s="2">
        <f t="shared" si="55"/>
        <v>77.133420000000001</v>
      </c>
      <c r="Q158" s="1">
        <v>62.243479999999998</v>
      </c>
      <c r="R158" s="3">
        <f t="shared" si="56"/>
        <v>26233.546642898396</v>
      </c>
      <c r="S158" s="3">
        <f t="shared" si="57"/>
        <v>4801.0524851015998</v>
      </c>
      <c r="T158" s="4">
        <f t="shared" si="58"/>
        <v>0.18301194842067905</v>
      </c>
    </row>
    <row r="159" spans="1:20" x14ac:dyDescent="0.25">
      <c r="A159" s="1">
        <v>155</v>
      </c>
      <c r="B159" s="1" t="s">
        <v>424</v>
      </c>
      <c r="C159" s="1" t="s">
        <v>419</v>
      </c>
      <c r="D159" s="1" t="s">
        <v>399</v>
      </c>
      <c r="E159" s="1" t="s">
        <v>420</v>
      </c>
      <c r="F159" s="1" t="s">
        <v>425</v>
      </c>
      <c r="G159" s="1" t="s">
        <v>283</v>
      </c>
      <c r="H159" s="1" t="s">
        <v>88</v>
      </c>
      <c r="I159" s="1" t="s">
        <v>89</v>
      </c>
      <c r="J159" s="1">
        <v>8400</v>
      </c>
      <c r="K159" s="1" t="s">
        <v>89</v>
      </c>
      <c r="L159" s="1">
        <v>7400</v>
      </c>
      <c r="M159" s="1">
        <v>1</v>
      </c>
      <c r="N159" s="2">
        <v>1.6619999999999999E-2</v>
      </c>
      <c r="O159" s="2">
        <f t="shared" si="54"/>
        <v>122.988</v>
      </c>
      <c r="P159" s="2">
        <f t="shared" si="55"/>
        <v>16.62</v>
      </c>
      <c r="Q159" s="1">
        <v>62.243479999999998</v>
      </c>
      <c r="R159" s="3">
        <f t="shared" si="56"/>
        <v>7655.2011182400001</v>
      </c>
      <c r="S159" s="3">
        <f t="shared" si="57"/>
        <v>1034.4866376</v>
      </c>
      <c r="T159" s="4">
        <f t="shared" si="58"/>
        <v>0.13513513513513514</v>
      </c>
    </row>
    <row r="160" spans="1:20" x14ac:dyDescent="0.25">
      <c r="A160" s="1">
        <v>156</v>
      </c>
      <c r="B160" s="1" t="s">
        <v>426</v>
      </c>
      <c r="C160" s="1" t="s">
        <v>419</v>
      </c>
      <c r="D160" s="1" t="s">
        <v>399</v>
      </c>
      <c r="E160" s="1" t="s">
        <v>406</v>
      </c>
      <c r="F160" s="1" t="s">
        <v>425</v>
      </c>
      <c r="G160" s="1" t="s">
        <v>283</v>
      </c>
      <c r="H160" s="1" t="s">
        <v>88</v>
      </c>
      <c r="I160" s="1" t="s">
        <v>89</v>
      </c>
      <c r="J160" s="1">
        <v>8400</v>
      </c>
      <c r="K160" s="1" t="s">
        <v>89</v>
      </c>
      <c r="L160" s="1">
        <v>7400</v>
      </c>
      <c r="M160" s="1">
        <v>1</v>
      </c>
      <c r="N160" s="2">
        <v>1.6619999999999999E-2</v>
      </c>
      <c r="O160" s="2">
        <f t="shared" si="54"/>
        <v>122.988</v>
      </c>
      <c r="P160" s="2">
        <f t="shared" si="55"/>
        <v>16.62</v>
      </c>
      <c r="Q160" s="1">
        <v>62.243479999999998</v>
      </c>
      <c r="R160" s="3">
        <f t="shared" si="56"/>
        <v>7655.2011182400001</v>
      </c>
      <c r="S160" s="3">
        <f t="shared" si="57"/>
        <v>1034.4866376</v>
      </c>
      <c r="T160" s="4">
        <f t="shared" si="58"/>
        <v>0.13513513513513514</v>
      </c>
    </row>
    <row r="161" spans="1:20" x14ac:dyDescent="0.25">
      <c r="A161" s="1">
        <v>157</v>
      </c>
      <c r="B161" s="1" t="s">
        <v>427</v>
      </c>
      <c r="C161" s="1" t="s">
        <v>419</v>
      </c>
      <c r="D161" s="1" t="s">
        <v>15</v>
      </c>
      <c r="E161" s="1" t="s">
        <v>67</v>
      </c>
      <c r="F161" s="1" t="s">
        <v>68</v>
      </c>
      <c r="G161" s="1" t="s">
        <v>40</v>
      </c>
      <c r="H161" s="1" t="s">
        <v>41</v>
      </c>
      <c r="I161" s="1" t="s">
        <v>32</v>
      </c>
      <c r="J161" s="1">
        <v>190</v>
      </c>
      <c r="K161" s="1" t="s">
        <v>32</v>
      </c>
      <c r="L161" s="1">
        <v>180</v>
      </c>
      <c r="M161" s="1">
        <v>5</v>
      </c>
      <c r="N161" s="7">
        <v>1.3247</v>
      </c>
      <c r="O161" s="2">
        <f t="shared" si="54"/>
        <v>1192.23</v>
      </c>
      <c r="P161" s="2">
        <f t="shared" si="55"/>
        <v>66.234999999999999</v>
      </c>
      <c r="Q161" s="1">
        <v>62.243479999999998</v>
      </c>
      <c r="R161" s="3">
        <f t="shared" si="56"/>
        <v>74208.544160399993</v>
      </c>
      <c r="S161" s="3">
        <f t="shared" si="57"/>
        <v>4122.6968977999995</v>
      </c>
      <c r="T161" s="4">
        <f t="shared" si="58"/>
        <v>5.5555555555555552E-2</v>
      </c>
    </row>
    <row r="162" spans="1:20" x14ac:dyDescent="0.25">
      <c r="A162" s="1">
        <v>158</v>
      </c>
      <c r="B162" s="1" t="s">
        <v>428</v>
      </c>
      <c r="C162" s="1" t="s">
        <v>429</v>
      </c>
      <c r="D162" s="1" t="s">
        <v>15</v>
      </c>
      <c r="E162" s="1" t="s">
        <v>430</v>
      </c>
      <c r="F162" s="1" t="s">
        <v>431</v>
      </c>
      <c r="G162" s="1" t="s">
        <v>432</v>
      </c>
      <c r="H162" s="1" t="s">
        <v>50</v>
      </c>
      <c r="I162" s="1" t="s">
        <v>23</v>
      </c>
      <c r="J162" s="1">
        <v>242</v>
      </c>
      <c r="K162" s="1" t="s">
        <v>23</v>
      </c>
      <c r="L162" s="1">
        <v>232</v>
      </c>
      <c r="M162" s="1">
        <v>3</v>
      </c>
      <c r="N162" s="2">
        <v>1</v>
      </c>
      <c r="O162" s="2">
        <f t="shared" si="54"/>
        <v>696</v>
      </c>
      <c r="P162" s="2">
        <f t="shared" si="55"/>
        <v>30</v>
      </c>
      <c r="Q162" s="1">
        <v>62.243479999999998</v>
      </c>
      <c r="R162" s="3">
        <f t="shared" si="56"/>
        <v>43321.462079999998</v>
      </c>
      <c r="S162" s="3">
        <f t="shared" si="57"/>
        <v>1867.3044</v>
      </c>
      <c r="T162" s="4">
        <f t="shared" si="58"/>
        <v>4.3103448275862072E-2</v>
      </c>
    </row>
    <row r="163" spans="1:20" x14ac:dyDescent="0.25">
      <c r="A163" s="1">
        <v>159</v>
      </c>
      <c r="B163" s="1" t="s">
        <v>433</v>
      </c>
      <c r="C163" s="1" t="s">
        <v>434</v>
      </c>
      <c r="D163" s="1" t="s">
        <v>25</v>
      </c>
      <c r="E163" s="1" t="s">
        <v>285</v>
      </c>
      <c r="F163" s="1" t="s">
        <v>107</v>
      </c>
      <c r="G163" s="1" t="s">
        <v>435</v>
      </c>
      <c r="H163" s="1" t="s">
        <v>109</v>
      </c>
      <c r="I163" s="1" t="s">
        <v>110</v>
      </c>
      <c r="J163" s="1">
        <v>115</v>
      </c>
      <c r="K163" s="1" t="s">
        <v>110</v>
      </c>
      <c r="L163" s="1">
        <v>101</v>
      </c>
      <c r="M163" s="1">
        <v>7</v>
      </c>
      <c r="N163" s="2">
        <v>0.96484000000000003</v>
      </c>
      <c r="O163" s="2">
        <f t="shared" si="54"/>
        <v>682.14188000000001</v>
      </c>
      <c r="P163" s="2">
        <f t="shared" si="55"/>
        <v>94.554320000000004</v>
      </c>
      <c r="Q163" s="1">
        <v>62.243479999999998</v>
      </c>
      <c r="R163" s="3">
        <f t="shared" si="56"/>
        <v>42458.884464942399</v>
      </c>
      <c r="S163" s="3">
        <f t="shared" si="57"/>
        <v>5885.3899258336005</v>
      </c>
      <c r="T163" s="4">
        <f t="shared" si="58"/>
        <v>0.13861386138613863</v>
      </c>
    </row>
    <row r="164" spans="1:20" x14ac:dyDescent="0.25">
      <c r="A164" s="1">
        <v>160</v>
      </c>
      <c r="B164" s="1" t="s">
        <v>436</v>
      </c>
      <c r="C164" s="1" t="s">
        <v>434</v>
      </c>
      <c r="D164" s="1" t="s">
        <v>15</v>
      </c>
      <c r="E164" s="1" t="s">
        <v>60</v>
      </c>
      <c r="F164" s="1" t="s">
        <v>437</v>
      </c>
      <c r="G164" s="1" t="s">
        <v>438</v>
      </c>
      <c r="H164" s="1" t="s">
        <v>88</v>
      </c>
      <c r="I164" s="1" t="s">
        <v>89</v>
      </c>
      <c r="J164" s="1">
        <v>10000</v>
      </c>
      <c r="K164" s="1" t="s">
        <v>89</v>
      </c>
      <c r="L164" s="1">
        <v>9500</v>
      </c>
      <c r="M164" s="1">
        <v>1</v>
      </c>
      <c r="N164" s="2">
        <v>1.6619999999999999E-2</v>
      </c>
      <c r="O164" s="2">
        <f t="shared" si="54"/>
        <v>157.88999999999999</v>
      </c>
      <c r="P164" s="2">
        <f t="shared" si="55"/>
        <v>8.31</v>
      </c>
      <c r="Q164" s="1">
        <v>62.243479999999998</v>
      </c>
      <c r="R164" s="3">
        <f t="shared" si="56"/>
        <v>9827.6230571999986</v>
      </c>
      <c r="S164" s="3">
        <f t="shared" si="57"/>
        <v>517.2433188</v>
      </c>
      <c r="T164" s="4">
        <f t="shared" si="58"/>
        <v>5.2631578947368425E-2</v>
      </c>
    </row>
    <row r="165" spans="1:20" x14ac:dyDescent="0.25">
      <c r="A165" s="1">
        <v>161</v>
      </c>
      <c r="B165" s="1" t="s">
        <v>439</v>
      </c>
      <c r="C165" s="1" t="s">
        <v>434</v>
      </c>
      <c r="D165" s="1" t="s">
        <v>15</v>
      </c>
      <c r="E165" s="1" t="s">
        <v>440</v>
      </c>
      <c r="F165" s="1" t="s">
        <v>437</v>
      </c>
      <c r="G165" s="1" t="s">
        <v>438</v>
      </c>
      <c r="H165" s="1" t="s">
        <v>88</v>
      </c>
      <c r="I165" s="1" t="s">
        <v>89</v>
      </c>
      <c r="J165" s="1">
        <v>10000</v>
      </c>
      <c r="K165" s="1" t="s">
        <v>89</v>
      </c>
      <c r="L165" s="1">
        <v>9500</v>
      </c>
      <c r="M165" s="1">
        <v>1</v>
      </c>
      <c r="N165" s="2">
        <v>1.6619999999999999E-2</v>
      </c>
      <c r="O165" s="2">
        <f t="shared" si="54"/>
        <v>157.88999999999999</v>
      </c>
      <c r="P165" s="2">
        <f t="shared" si="55"/>
        <v>8.31</v>
      </c>
      <c r="Q165" s="1">
        <v>62.243479999999998</v>
      </c>
      <c r="R165" s="3">
        <f t="shared" si="56"/>
        <v>9827.6230571999986</v>
      </c>
      <c r="S165" s="3">
        <f t="shared" si="57"/>
        <v>517.2433188</v>
      </c>
      <c r="T165" s="4">
        <f t="shared" si="58"/>
        <v>5.2631578947368425E-2</v>
      </c>
    </row>
    <row r="166" spans="1:20" x14ac:dyDescent="0.25">
      <c r="A166" s="1">
        <v>162</v>
      </c>
      <c r="B166" s="1" t="s">
        <v>441</v>
      </c>
      <c r="C166" s="1" t="s">
        <v>434</v>
      </c>
      <c r="D166" s="1" t="s">
        <v>15</v>
      </c>
      <c r="E166" s="1" t="s">
        <v>442</v>
      </c>
      <c r="F166" s="1" t="s">
        <v>443</v>
      </c>
      <c r="G166" s="1" t="s">
        <v>444</v>
      </c>
      <c r="H166" s="1" t="s">
        <v>373</v>
      </c>
      <c r="I166" s="1" t="s">
        <v>23</v>
      </c>
      <c r="J166" s="1">
        <v>124</v>
      </c>
      <c r="K166" s="1" t="s">
        <v>23</v>
      </c>
      <c r="L166" s="1">
        <v>114</v>
      </c>
      <c r="M166" s="1">
        <v>2</v>
      </c>
      <c r="N166" s="2">
        <v>1</v>
      </c>
      <c r="O166" s="2">
        <f t="shared" si="54"/>
        <v>228</v>
      </c>
      <c r="P166" s="2">
        <f t="shared" si="55"/>
        <v>20</v>
      </c>
      <c r="Q166" s="1">
        <v>62.243479999999998</v>
      </c>
      <c r="R166" s="3">
        <f t="shared" si="56"/>
        <v>14191.513439999999</v>
      </c>
      <c r="S166" s="3">
        <f t="shared" si="57"/>
        <v>1244.8696</v>
      </c>
      <c r="T166" s="4">
        <f t="shared" si="58"/>
        <v>8.7719298245614044E-2</v>
      </c>
    </row>
    <row r="167" spans="1:20" x14ac:dyDescent="0.25">
      <c r="A167" s="1">
        <v>163</v>
      </c>
      <c r="B167" s="1" t="s">
        <v>445</v>
      </c>
      <c r="C167" s="1" t="s">
        <v>446</v>
      </c>
      <c r="D167" s="1" t="s">
        <v>25</v>
      </c>
      <c r="E167" s="1" t="s">
        <v>86</v>
      </c>
      <c r="F167" s="1" t="s">
        <v>226</v>
      </c>
      <c r="G167" s="1" t="s">
        <v>227</v>
      </c>
      <c r="H167" s="1" t="s">
        <v>88</v>
      </c>
      <c r="I167" s="1" t="s">
        <v>89</v>
      </c>
      <c r="J167" s="1">
        <v>3500</v>
      </c>
      <c r="K167" s="1" t="s">
        <v>89</v>
      </c>
      <c r="L167" s="1">
        <v>3100</v>
      </c>
      <c r="M167" s="1">
        <v>1</v>
      </c>
      <c r="N167" s="2">
        <v>1.6619999999999999E-2</v>
      </c>
      <c r="O167" s="2">
        <f t="shared" si="54"/>
        <v>51.521999999999998</v>
      </c>
      <c r="P167" s="2">
        <f t="shared" si="55"/>
        <v>6.6479999999999997</v>
      </c>
      <c r="Q167" s="1">
        <v>62.243479999999998</v>
      </c>
      <c r="R167" s="3">
        <f t="shared" si="56"/>
        <v>3206.9085765599998</v>
      </c>
      <c r="S167" s="3">
        <f t="shared" si="57"/>
        <v>413.79465503999995</v>
      </c>
      <c r="T167" s="4">
        <f t="shared" si="58"/>
        <v>0.12903225806451613</v>
      </c>
    </row>
    <row r="168" spans="1:20" x14ac:dyDescent="0.25">
      <c r="A168" s="1">
        <v>164</v>
      </c>
      <c r="B168" s="1" t="s">
        <v>447</v>
      </c>
      <c r="C168" s="1" t="s">
        <v>448</v>
      </c>
      <c r="D168" s="1" t="s">
        <v>15</v>
      </c>
      <c r="E168" s="1" t="s">
        <v>35</v>
      </c>
      <c r="F168" s="1" t="s">
        <v>443</v>
      </c>
      <c r="G168" s="1" t="s">
        <v>444</v>
      </c>
      <c r="H168" s="1" t="s">
        <v>373</v>
      </c>
      <c r="I168" s="1" t="s">
        <v>23</v>
      </c>
      <c r="J168" s="1">
        <v>145</v>
      </c>
      <c r="K168" s="1" t="s">
        <v>23</v>
      </c>
      <c r="L168" s="1">
        <v>135</v>
      </c>
      <c r="M168" s="1">
        <v>1</v>
      </c>
      <c r="N168" s="2">
        <v>1</v>
      </c>
      <c r="O168" s="2">
        <f t="shared" si="54"/>
        <v>135</v>
      </c>
      <c r="P168" s="2">
        <f t="shared" si="55"/>
        <v>10</v>
      </c>
      <c r="Q168" s="1">
        <v>62.243479999999998</v>
      </c>
      <c r="R168" s="3">
        <f t="shared" si="56"/>
        <v>8402.8698000000004</v>
      </c>
      <c r="S168" s="3">
        <f t="shared" si="57"/>
        <v>622.4348</v>
      </c>
      <c r="T168" s="4">
        <f t="shared" si="58"/>
        <v>7.407407407407407E-2</v>
      </c>
    </row>
    <row r="169" spans="1:20" x14ac:dyDescent="0.25">
      <c r="A169" s="1">
        <v>165</v>
      </c>
      <c r="B169" s="18" t="s">
        <v>449</v>
      </c>
      <c r="C169" s="18" t="s">
        <v>450</v>
      </c>
      <c r="D169" s="18" t="s">
        <v>15</v>
      </c>
      <c r="E169" s="18" t="s">
        <v>60</v>
      </c>
      <c r="F169" s="18" t="s">
        <v>451</v>
      </c>
      <c r="G169" s="18" t="s">
        <v>452</v>
      </c>
      <c r="H169" s="18" t="s">
        <v>88</v>
      </c>
      <c r="I169" s="18" t="s">
        <v>89</v>
      </c>
      <c r="J169" s="18">
        <v>11610</v>
      </c>
      <c r="K169" s="18" t="s">
        <v>89</v>
      </c>
      <c r="L169" s="18">
        <v>11599</v>
      </c>
      <c r="M169" s="18">
        <v>1</v>
      </c>
      <c r="N169" s="20">
        <v>1.619E-2</v>
      </c>
      <c r="O169" s="20">
        <f t="shared" si="54"/>
        <v>187.78781000000001</v>
      </c>
      <c r="P169" s="20">
        <f t="shared" si="55"/>
        <v>0.17809</v>
      </c>
      <c r="Q169" s="18">
        <v>61.917879999999997</v>
      </c>
      <c r="R169" s="21">
        <f t="shared" si="56"/>
        <v>11627.423085042799</v>
      </c>
      <c r="S169" s="21">
        <f t="shared" si="57"/>
        <v>11.026955249199998</v>
      </c>
      <c r="T169" s="22">
        <f>S169/R169</f>
        <v>9.4835761703595135E-4</v>
      </c>
    </row>
    <row r="170" spans="1:20" x14ac:dyDescent="0.25">
      <c r="A170" s="1">
        <v>166</v>
      </c>
      <c r="B170" s="1" t="s">
        <v>453</v>
      </c>
      <c r="C170" s="1" t="s">
        <v>454</v>
      </c>
      <c r="D170" s="1" t="s">
        <v>15</v>
      </c>
      <c r="E170" s="1" t="s">
        <v>455</v>
      </c>
      <c r="F170" s="1" t="s">
        <v>226</v>
      </c>
      <c r="G170" s="1" t="s">
        <v>227</v>
      </c>
      <c r="H170" s="1" t="s">
        <v>88</v>
      </c>
      <c r="I170" s="1" t="s">
        <v>89</v>
      </c>
      <c r="J170" s="1">
        <v>6000</v>
      </c>
      <c r="K170" s="1" t="s">
        <v>89</v>
      </c>
      <c r="L170" s="1">
        <v>5650</v>
      </c>
      <c r="M170" s="1">
        <v>1</v>
      </c>
      <c r="N170" s="2">
        <v>1.619E-2</v>
      </c>
      <c r="O170" s="2">
        <f t="shared" si="54"/>
        <v>91.473500000000001</v>
      </c>
      <c r="P170" s="2">
        <f t="shared" si="55"/>
        <v>5.6665000000000001</v>
      </c>
      <c r="Q170" s="1">
        <v>61.917879999999997</v>
      </c>
      <c r="R170" s="3">
        <f t="shared" si="56"/>
        <v>5663.8451961800001</v>
      </c>
      <c r="S170" s="3">
        <f t="shared" si="57"/>
        <v>350.85766702000001</v>
      </c>
      <c r="T170" s="4">
        <f t="shared" si="58"/>
        <v>6.1946902654867256E-2</v>
      </c>
    </row>
    <row r="171" spans="1:20" x14ac:dyDescent="0.25">
      <c r="A171" s="1">
        <v>167</v>
      </c>
      <c r="B171" s="18" t="s">
        <v>456</v>
      </c>
      <c r="C171" s="18" t="s">
        <v>454</v>
      </c>
      <c r="D171" s="18" t="s">
        <v>15</v>
      </c>
      <c r="E171" s="18" t="s">
        <v>60</v>
      </c>
      <c r="F171" s="18" t="s">
        <v>457</v>
      </c>
      <c r="G171" s="18" t="s">
        <v>402</v>
      </c>
      <c r="H171" s="18" t="s">
        <v>88</v>
      </c>
      <c r="I171" s="18" t="s">
        <v>89</v>
      </c>
      <c r="J171" s="18">
        <v>4237</v>
      </c>
      <c r="K171" s="18" t="s">
        <v>89</v>
      </c>
      <c r="L171" s="18">
        <v>4227</v>
      </c>
      <c r="M171" s="18">
        <v>1</v>
      </c>
      <c r="N171" s="20">
        <v>1.619E-2</v>
      </c>
      <c r="O171" s="20">
        <f t="shared" si="54"/>
        <v>68.435130000000001</v>
      </c>
      <c r="P171" s="20">
        <f t="shared" si="55"/>
        <v>0.16189999999999999</v>
      </c>
      <c r="Q171" s="18">
        <v>61.917879999999997</v>
      </c>
      <c r="R171" s="21">
        <f t="shared" si="56"/>
        <v>4237.3581671244001</v>
      </c>
      <c r="S171" s="21">
        <f t="shared" si="57"/>
        <v>10.024504771999998</v>
      </c>
      <c r="T171" s="22">
        <f t="shared" si="58"/>
        <v>2.3657440264963328E-3</v>
      </c>
    </row>
    <row r="172" spans="1:20" x14ac:dyDescent="0.25">
      <c r="A172" s="1">
        <v>168</v>
      </c>
      <c r="B172" s="18" t="s">
        <v>458</v>
      </c>
      <c r="C172" s="18" t="s">
        <v>454</v>
      </c>
      <c r="D172" s="18" t="s">
        <v>15</v>
      </c>
      <c r="E172" s="18" t="s">
        <v>60</v>
      </c>
      <c r="F172" s="18" t="s">
        <v>457</v>
      </c>
      <c r="G172" s="18" t="s">
        <v>402</v>
      </c>
      <c r="H172" s="18" t="s">
        <v>88</v>
      </c>
      <c r="I172" s="18" t="s">
        <v>89</v>
      </c>
      <c r="J172" s="18">
        <v>4237</v>
      </c>
      <c r="K172" s="18" t="s">
        <v>89</v>
      </c>
      <c r="L172" s="18">
        <v>4227</v>
      </c>
      <c r="M172" s="18">
        <v>1</v>
      </c>
      <c r="N172" s="20">
        <v>1.619E-2</v>
      </c>
      <c r="O172" s="20">
        <f t="shared" si="54"/>
        <v>68.435130000000001</v>
      </c>
      <c r="P172" s="20">
        <f t="shared" si="55"/>
        <v>0.16189999999999999</v>
      </c>
      <c r="Q172" s="18">
        <v>61.917879999999997</v>
      </c>
      <c r="R172" s="21">
        <f t="shared" si="56"/>
        <v>4237.3581671244001</v>
      </c>
      <c r="S172" s="21">
        <f t="shared" si="57"/>
        <v>10.024504771999998</v>
      </c>
      <c r="T172" s="22">
        <f t="shared" si="58"/>
        <v>2.3657440264963328E-3</v>
      </c>
    </row>
    <row r="173" spans="1:20" x14ac:dyDescent="0.25">
      <c r="A173" s="1">
        <v>169</v>
      </c>
      <c r="B173" s="1" t="s">
        <v>459</v>
      </c>
      <c r="C173" s="1" t="s">
        <v>460</v>
      </c>
      <c r="D173" s="1" t="s">
        <v>15</v>
      </c>
      <c r="E173" s="1" t="s">
        <v>67</v>
      </c>
      <c r="F173" s="1" t="s">
        <v>461</v>
      </c>
      <c r="G173" s="1" t="s">
        <v>273</v>
      </c>
      <c r="H173" s="1" t="s">
        <v>274</v>
      </c>
      <c r="I173" s="1" t="s">
        <v>32</v>
      </c>
      <c r="J173" s="1">
        <v>151</v>
      </c>
      <c r="K173" s="1" t="s">
        <v>32</v>
      </c>
      <c r="L173" s="1">
        <v>141</v>
      </c>
      <c r="M173" s="1">
        <v>3</v>
      </c>
      <c r="N173" s="7">
        <v>1.3611500000000001</v>
      </c>
      <c r="O173" s="2">
        <f t="shared" si="54"/>
        <v>575.76645000000008</v>
      </c>
      <c r="P173" s="2">
        <f t="shared" si="55"/>
        <v>40.834500000000006</v>
      </c>
      <c r="Q173" s="1">
        <v>61.917879999999997</v>
      </c>
      <c r="R173" s="3">
        <f t="shared" si="56"/>
        <v>35650.237959126003</v>
      </c>
      <c r="S173" s="3">
        <f t="shared" si="57"/>
        <v>2528.3856708600001</v>
      </c>
      <c r="T173" s="4">
        <f t="shared" si="58"/>
        <v>7.0921985815602828E-2</v>
      </c>
    </row>
    <row r="174" spans="1:20" x14ac:dyDescent="0.25">
      <c r="A174" s="1">
        <v>170</v>
      </c>
      <c r="B174" s="1" t="s">
        <v>462</v>
      </c>
      <c r="C174" s="1" t="s">
        <v>460</v>
      </c>
      <c r="D174" s="1" t="s">
        <v>15</v>
      </c>
      <c r="E174" s="1" t="s">
        <v>35</v>
      </c>
      <c r="F174" s="1" t="s">
        <v>463</v>
      </c>
      <c r="G174" s="1" t="s">
        <v>464</v>
      </c>
      <c r="H174" s="1" t="s">
        <v>373</v>
      </c>
      <c r="I174" s="1" t="s">
        <v>23</v>
      </c>
      <c r="J174" s="1">
        <v>228</v>
      </c>
      <c r="K174" s="1" t="s">
        <v>23</v>
      </c>
      <c r="L174" s="1">
        <v>218</v>
      </c>
      <c r="M174" s="1">
        <v>1</v>
      </c>
      <c r="N174" s="2">
        <v>1</v>
      </c>
      <c r="O174" s="2">
        <f t="shared" si="54"/>
        <v>218</v>
      </c>
      <c r="P174" s="2">
        <f t="shared" si="55"/>
        <v>10</v>
      </c>
      <c r="Q174" s="1">
        <v>61.917879999999997</v>
      </c>
      <c r="R174" s="3">
        <f t="shared" si="56"/>
        <v>13498.097839999999</v>
      </c>
      <c r="S174" s="3">
        <f t="shared" si="57"/>
        <v>619.17879999999991</v>
      </c>
      <c r="T174" s="4">
        <f t="shared" si="58"/>
        <v>4.5871559633027519E-2</v>
      </c>
    </row>
    <row r="175" spans="1:20" x14ac:dyDescent="0.25">
      <c r="A175" s="1">
        <v>171</v>
      </c>
      <c r="B175" s="1" t="s">
        <v>465</v>
      </c>
      <c r="C175" s="1" t="s">
        <v>466</v>
      </c>
      <c r="D175" s="1" t="s">
        <v>15</v>
      </c>
      <c r="E175" s="1" t="s">
        <v>387</v>
      </c>
      <c r="F175" s="1" t="s">
        <v>467</v>
      </c>
      <c r="G175" s="1" t="s">
        <v>468</v>
      </c>
      <c r="H175" s="1" t="s">
        <v>50</v>
      </c>
      <c r="I175" s="1" t="s">
        <v>23</v>
      </c>
      <c r="J175" s="1">
        <v>250</v>
      </c>
      <c r="K175" s="1" t="s">
        <v>23</v>
      </c>
      <c r="L175" s="1">
        <v>239</v>
      </c>
      <c r="M175" s="1">
        <v>6</v>
      </c>
      <c r="N175" s="2">
        <v>1</v>
      </c>
      <c r="O175" s="2">
        <f t="shared" si="54"/>
        <v>1434</v>
      </c>
      <c r="P175" s="2">
        <f t="shared" si="55"/>
        <v>66</v>
      </c>
      <c r="Q175" s="1">
        <v>61.917879999999997</v>
      </c>
      <c r="R175" s="3">
        <f t="shared" si="56"/>
        <v>88790.239919999993</v>
      </c>
      <c r="S175" s="3">
        <f t="shared" si="57"/>
        <v>4086.5800799999997</v>
      </c>
      <c r="T175" s="4">
        <f t="shared" si="58"/>
        <v>4.6025104602510462E-2</v>
      </c>
    </row>
    <row r="176" spans="1:20" x14ac:dyDescent="0.25">
      <c r="A176" s="1">
        <v>172</v>
      </c>
      <c r="B176" s="18" t="s">
        <v>469</v>
      </c>
      <c r="C176" s="18" t="s">
        <v>470</v>
      </c>
      <c r="D176" s="18" t="s">
        <v>15</v>
      </c>
      <c r="E176" s="18" t="s">
        <v>35</v>
      </c>
      <c r="F176" s="18" t="s">
        <v>471</v>
      </c>
      <c r="G176" s="18" t="s">
        <v>472</v>
      </c>
      <c r="H176" s="18" t="s">
        <v>88</v>
      </c>
      <c r="I176" s="18" t="s">
        <v>89</v>
      </c>
      <c r="J176" s="18">
        <v>5661</v>
      </c>
      <c r="K176" s="18" t="s">
        <v>89</v>
      </c>
      <c r="L176" s="18">
        <v>5651</v>
      </c>
      <c r="M176" s="18">
        <v>1</v>
      </c>
      <c r="N176" s="20">
        <v>1.619E-2</v>
      </c>
      <c r="O176" s="20">
        <f t="shared" si="54"/>
        <v>91.489689999999996</v>
      </c>
      <c r="P176" s="20">
        <f t="shared" si="55"/>
        <v>0.16189999999999999</v>
      </c>
      <c r="Q176" s="18">
        <v>61.917879999999997</v>
      </c>
      <c r="R176" s="21">
        <f t="shared" si="56"/>
        <v>5664.8476466571992</v>
      </c>
      <c r="S176" s="21">
        <f t="shared" si="57"/>
        <v>10.024504771999998</v>
      </c>
      <c r="T176" s="22">
        <f t="shared" si="58"/>
        <v>1.7695983011856307E-3</v>
      </c>
    </row>
    <row r="177" spans="1:20" x14ac:dyDescent="0.25">
      <c r="A177" s="1">
        <v>173</v>
      </c>
      <c r="B177" s="1" t="s">
        <v>473</v>
      </c>
      <c r="C177" s="1" t="s">
        <v>470</v>
      </c>
      <c r="D177" s="1" t="s">
        <v>25</v>
      </c>
      <c r="E177" s="1" t="s">
        <v>236</v>
      </c>
      <c r="F177" s="1" t="s">
        <v>474</v>
      </c>
      <c r="G177" s="1" t="s">
        <v>438</v>
      </c>
      <c r="H177" s="1" t="s">
        <v>88</v>
      </c>
      <c r="I177" s="1" t="s">
        <v>89</v>
      </c>
      <c r="J177" s="1">
        <v>5814</v>
      </c>
      <c r="K177" s="1" t="s">
        <v>89</v>
      </c>
      <c r="L177" s="1">
        <v>5750</v>
      </c>
      <c r="M177" s="1">
        <v>1</v>
      </c>
      <c r="N177" s="2">
        <v>1.619E-2</v>
      </c>
      <c r="O177" s="2">
        <f t="shared" si="54"/>
        <v>93.092500000000001</v>
      </c>
      <c r="P177" s="2">
        <f t="shared" si="55"/>
        <v>1.03616</v>
      </c>
      <c r="Q177" s="1">
        <v>61.917879999999997</v>
      </c>
      <c r="R177" s="3">
        <f t="shared" si="56"/>
        <v>5764.0902439000001</v>
      </c>
      <c r="S177" s="3">
        <f t="shared" si="57"/>
        <v>64.156830540800001</v>
      </c>
      <c r="T177" s="4">
        <f t="shared" si="58"/>
        <v>1.1130434782608696E-2</v>
      </c>
    </row>
    <row r="178" spans="1:20" x14ac:dyDescent="0.25">
      <c r="A178" s="1">
        <v>174</v>
      </c>
      <c r="B178" s="1" t="s">
        <v>475</v>
      </c>
      <c r="C178" s="1" t="s">
        <v>476</v>
      </c>
      <c r="D178" s="1" t="s">
        <v>15</v>
      </c>
      <c r="E178" s="1" t="s">
        <v>477</v>
      </c>
      <c r="F178" s="1" t="s">
        <v>115</v>
      </c>
      <c r="G178" s="1" t="s">
        <v>116</v>
      </c>
      <c r="H178" s="1" t="s">
        <v>117</v>
      </c>
      <c r="I178" s="1" t="s">
        <v>23</v>
      </c>
      <c r="J178" s="1">
        <v>83</v>
      </c>
      <c r="K178" s="1" t="s">
        <v>23</v>
      </c>
      <c r="L178" s="1">
        <v>73</v>
      </c>
      <c r="M178" s="1">
        <v>3</v>
      </c>
      <c r="N178" s="2">
        <v>1</v>
      </c>
      <c r="O178" s="2">
        <f t="shared" si="54"/>
        <v>219</v>
      </c>
      <c r="P178" s="2">
        <f t="shared" si="55"/>
        <v>30</v>
      </c>
      <c r="Q178" s="1">
        <v>61.917879999999997</v>
      </c>
      <c r="R178" s="3">
        <f t="shared" si="56"/>
        <v>13560.015719999999</v>
      </c>
      <c r="S178" s="3">
        <f t="shared" si="57"/>
        <v>1857.5364</v>
      </c>
      <c r="T178" s="4">
        <f t="shared" si="58"/>
        <v>0.13698630136986301</v>
      </c>
    </row>
    <row r="179" spans="1:20" x14ac:dyDescent="0.25">
      <c r="A179" s="1">
        <v>175</v>
      </c>
      <c r="B179" s="1" t="s">
        <v>478</v>
      </c>
      <c r="C179" s="1" t="s">
        <v>479</v>
      </c>
      <c r="D179" s="1" t="s">
        <v>15</v>
      </c>
      <c r="E179" s="1" t="s">
        <v>480</v>
      </c>
      <c r="F179" s="1" t="s">
        <v>481</v>
      </c>
      <c r="G179" s="1" t="s">
        <v>482</v>
      </c>
      <c r="H179" s="1" t="s">
        <v>253</v>
      </c>
      <c r="I179" s="1" t="s">
        <v>23</v>
      </c>
      <c r="J179" s="1">
        <v>203</v>
      </c>
      <c r="K179" s="1" t="s">
        <v>23</v>
      </c>
      <c r="L179" s="1">
        <v>201</v>
      </c>
      <c r="M179" s="1">
        <v>3</v>
      </c>
      <c r="N179" s="2">
        <v>1</v>
      </c>
      <c r="O179" s="2">
        <f t="shared" si="54"/>
        <v>603</v>
      </c>
      <c r="P179" s="2">
        <f t="shared" si="55"/>
        <v>6</v>
      </c>
      <c r="Q179" s="1">
        <v>61.917879999999997</v>
      </c>
      <c r="R179" s="3">
        <f t="shared" si="56"/>
        <v>37336.481639999998</v>
      </c>
      <c r="S179" s="3">
        <f t="shared" si="57"/>
        <v>371.50727999999998</v>
      </c>
      <c r="T179" s="4">
        <f t="shared" si="58"/>
        <v>9.9502487562189053E-3</v>
      </c>
    </row>
    <row r="180" spans="1:20" x14ac:dyDescent="0.25">
      <c r="A180" s="1">
        <v>176</v>
      </c>
      <c r="B180" s="18" t="s">
        <v>483</v>
      </c>
      <c r="C180" s="18" t="s">
        <v>479</v>
      </c>
      <c r="D180" s="18" t="s">
        <v>15</v>
      </c>
      <c r="E180" s="18" t="s">
        <v>484</v>
      </c>
      <c r="F180" s="18" t="s">
        <v>481</v>
      </c>
      <c r="G180" s="18" t="s">
        <v>482</v>
      </c>
      <c r="H180" s="18" t="s">
        <v>253</v>
      </c>
      <c r="I180" s="18" t="s">
        <v>23</v>
      </c>
      <c r="J180" s="18">
        <v>232</v>
      </c>
      <c r="K180" s="18" t="s">
        <v>23</v>
      </c>
      <c r="L180" s="18">
        <v>231</v>
      </c>
      <c r="M180" s="18">
        <v>2</v>
      </c>
      <c r="N180" s="20">
        <v>1</v>
      </c>
      <c r="O180" s="20">
        <f t="shared" ref="O180:O243" si="59">(L180*M180)*N180</f>
        <v>462</v>
      </c>
      <c r="P180" s="20">
        <f t="shared" ref="P180:P189" si="60">(J180-L180)*M180*N180</f>
        <v>2</v>
      </c>
      <c r="Q180" s="18">
        <v>61.917879999999997</v>
      </c>
      <c r="R180" s="21">
        <f t="shared" ref="R180:R215" si="61">O180*Q180</f>
        <v>28606.060559999998</v>
      </c>
      <c r="S180" s="21">
        <f t="shared" ref="S180:S215" si="62">P180*Q180</f>
        <v>123.83575999999999</v>
      </c>
      <c r="T180" s="22">
        <f t="shared" ref="T180:T243" si="63">S180/R180</f>
        <v>4.329004329004329E-3</v>
      </c>
    </row>
    <row r="181" spans="1:20" x14ac:dyDescent="0.25">
      <c r="A181" s="1">
        <v>177</v>
      </c>
      <c r="B181" s="1" t="s">
        <v>485</v>
      </c>
      <c r="C181" s="1" t="s">
        <v>486</v>
      </c>
      <c r="D181" s="1" t="s">
        <v>15</v>
      </c>
      <c r="E181" s="1" t="s">
        <v>477</v>
      </c>
      <c r="F181" s="1" t="s">
        <v>487</v>
      </c>
      <c r="G181" s="1" t="s">
        <v>21</v>
      </c>
      <c r="H181" s="1" t="s">
        <v>22</v>
      </c>
      <c r="I181" s="1" t="s">
        <v>23</v>
      </c>
      <c r="J181" s="1">
        <v>170</v>
      </c>
      <c r="K181" s="1" t="s">
        <v>23</v>
      </c>
      <c r="L181" s="1">
        <v>160</v>
      </c>
      <c r="M181" s="1">
        <v>3</v>
      </c>
      <c r="N181" s="2">
        <v>1</v>
      </c>
      <c r="O181" s="2">
        <f t="shared" si="59"/>
        <v>480</v>
      </c>
      <c r="P181" s="2">
        <f t="shared" si="60"/>
        <v>30</v>
      </c>
      <c r="Q181" s="1">
        <v>61.917879999999997</v>
      </c>
      <c r="R181" s="3">
        <f t="shared" si="61"/>
        <v>29720.582399999999</v>
      </c>
      <c r="S181" s="3">
        <f t="shared" si="62"/>
        <v>1857.5364</v>
      </c>
      <c r="T181" s="4">
        <f t="shared" si="63"/>
        <v>6.25E-2</v>
      </c>
    </row>
    <row r="182" spans="1:20" x14ac:dyDescent="0.25">
      <c r="A182" s="1">
        <v>178</v>
      </c>
      <c r="B182" s="1" t="s">
        <v>488</v>
      </c>
      <c r="C182" s="1" t="s">
        <v>489</v>
      </c>
      <c r="D182" s="1" t="s">
        <v>15</v>
      </c>
      <c r="E182" s="1" t="s">
        <v>60</v>
      </c>
      <c r="F182" s="1" t="s">
        <v>490</v>
      </c>
      <c r="G182" s="1" t="s">
        <v>491</v>
      </c>
      <c r="H182" s="1" t="s">
        <v>492</v>
      </c>
      <c r="I182" s="1" t="s">
        <v>23</v>
      </c>
      <c r="J182" s="1">
        <v>166</v>
      </c>
      <c r="K182" s="1" t="s">
        <v>23</v>
      </c>
      <c r="L182" s="1">
        <v>156</v>
      </c>
      <c r="M182" s="1">
        <v>2</v>
      </c>
      <c r="N182" s="2">
        <v>1</v>
      </c>
      <c r="O182" s="2">
        <f t="shared" si="59"/>
        <v>312</v>
      </c>
      <c r="P182" s="2">
        <f t="shared" si="60"/>
        <v>20</v>
      </c>
      <c r="Q182" s="1">
        <v>61.917879999999997</v>
      </c>
      <c r="R182" s="3">
        <f t="shared" si="61"/>
        <v>19318.378559999997</v>
      </c>
      <c r="S182" s="3">
        <f t="shared" si="62"/>
        <v>1238.3575999999998</v>
      </c>
      <c r="T182" s="4">
        <f t="shared" si="63"/>
        <v>6.4102564102564097E-2</v>
      </c>
    </row>
    <row r="183" spans="1:20" x14ac:dyDescent="0.25">
      <c r="A183" s="1">
        <v>179</v>
      </c>
      <c r="B183" s="1" t="s">
        <v>493</v>
      </c>
      <c r="C183" s="1" t="s">
        <v>489</v>
      </c>
      <c r="D183" s="1" t="s">
        <v>15</v>
      </c>
      <c r="E183" s="1" t="s">
        <v>35</v>
      </c>
      <c r="F183" s="1" t="s">
        <v>490</v>
      </c>
      <c r="G183" s="1" t="s">
        <v>491</v>
      </c>
      <c r="H183" s="1" t="s">
        <v>492</v>
      </c>
      <c r="I183" s="1" t="s">
        <v>23</v>
      </c>
      <c r="J183" s="1">
        <v>166</v>
      </c>
      <c r="K183" s="1" t="s">
        <v>23</v>
      </c>
      <c r="L183" s="1">
        <v>156</v>
      </c>
      <c r="M183" s="1">
        <v>2</v>
      </c>
      <c r="N183" s="2">
        <v>1</v>
      </c>
      <c r="O183" s="2">
        <f t="shared" si="59"/>
        <v>312</v>
      </c>
      <c r="P183" s="2">
        <f t="shared" si="60"/>
        <v>20</v>
      </c>
      <c r="Q183" s="1">
        <v>61.917879999999997</v>
      </c>
      <c r="R183" s="3">
        <f t="shared" si="61"/>
        <v>19318.378559999997</v>
      </c>
      <c r="S183" s="3">
        <f t="shared" si="62"/>
        <v>1238.3575999999998</v>
      </c>
      <c r="T183" s="4">
        <f t="shared" si="63"/>
        <v>6.4102564102564097E-2</v>
      </c>
    </row>
    <row r="184" spans="1:20" x14ac:dyDescent="0.25">
      <c r="A184" s="1">
        <v>180</v>
      </c>
      <c r="B184" s="1" t="s">
        <v>494</v>
      </c>
      <c r="C184" s="1" t="s">
        <v>495</v>
      </c>
      <c r="D184" s="1" t="s">
        <v>25</v>
      </c>
      <c r="E184" s="1" t="s">
        <v>266</v>
      </c>
      <c r="F184" s="1" t="s">
        <v>496</v>
      </c>
      <c r="G184" s="1" t="s">
        <v>53</v>
      </c>
      <c r="H184" s="1" t="s">
        <v>54</v>
      </c>
      <c r="I184" s="1" t="s">
        <v>119</v>
      </c>
      <c r="J184" s="1">
        <v>325</v>
      </c>
      <c r="K184" s="1" t="s">
        <v>119</v>
      </c>
      <c r="L184" s="1">
        <v>247</v>
      </c>
      <c r="M184" s="1">
        <v>2</v>
      </c>
      <c r="N184" s="2">
        <v>0.80032000000000003</v>
      </c>
      <c r="O184" s="2">
        <f t="shared" si="59"/>
        <v>395.35808000000003</v>
      </c>
      <c r="P184" s="2">
        <f t="shared" si="60"/>
        <v>124.84992000000001</v>
      </c>
      <c r="Q184" s="1">
        <v>61.917879999999997</v>
      </c>
      <c r="R184" s="3">
        <f t="shared" si="61"/>
        <v>24479.7341544704</v>
      </c>
      <c r="S184" s="3">
        <f t="shared" si="62"/>
        <v>7730.4423645696006</v>
      </c>
      <c r="T184" s="4">
        <f t="shared" si="63"/>
        <v>0.31578947368421056</v>
      </c>
    </row>
    <row r="185" spans="1:20" x14ac:dyDescent="0.25">
      <c r="A185" s="1">
        <v>181</v>
      </c>
      <c r="B185" s="1" t="s">
        <v>497</v>
      </c>
      <c r="C185" s="1" t="s">
        <v>495</v>
      </c>
      <c r="D185" s="1" t="s">
        <v>15</v>
      </c>
      <c r="E185" s="1" t="s">
        <v>498</v>
      </c>
      <c r="F185" s="1" t="s">
        <v>499</v>
      </c>
      <c r="G185" s="1" t="s">
        <v>500</v>
      </c>
      <c r="H185" s="1" t="s">
        <v>158</v>
      </c>
      <c r="I185" s="1" t="s">
        <v>32</v>
      </c>
      <c r="J185" s="1">
        <v>100</v>
      </c>
      <c r="K185" s="1" t="s">
        <v>32</v>
      </c>
      <c r="L185" s="1">
        <v>90</v>
      </c>
      <c r="M185" s="1">
        <v>3</v>
      </c>
      <c r="N185" s="2">
        <v>1.3611500000000001</v>
      </c>
      <c r="O185" s="2">
        <f t="shared" si="59"/>
        <v>367.51050000000004</v>
      </c>
      <c r="P185" s="2">
        <f t="shared" si="60"/>
        <v>40.834500000000006</v>
      </c>
      <c r="Q185" s="1">
        <v>61.917879999999997</v>
      </c>
      <c r="R185" s="3">
        <f t="shared" si="61"/>
        <v>22755.471037740001</v>
      </c>
      <c r="S185" s="3">
        <f t="shared" si="62"/>
        <v>2528.3856708600001</v>
      </c>
      <c r="T185" s="4">
        <f t="shared" si="63"/>
        <v>0.11111111111111112</v>
      </c>
    </row>
    <row r="186" spans="1:20" x14ac:dyDescent="0.25">
      <c r="A186" s="1">
        <v>182</v>
      </c>
      <c r="B186" s="1" t="s">
        <v>501</v>
      </c>
      <c r="C186" s="1" t="s">
        <v>495</v>
      </c>
      <c r="D186" s="1" t="s">
        <v>15</v>
      </c>
      <c r="E186" s="1" t="s">
        <v>498</v>
      </c>
      <c r="F186" s="1" t="s">
        <v>502</v>
      </c>
      <c r="G186" s="1" t="s">
        <v>503</v>
      </c>
      <c r="H186" s="1" t="s">
        <v>140</v>
      </c>
      <c r="I186" s="1" t="s">
        <v>141</v>
      </c>
      <c r="J186" s="1">
        <v>79</v>
      </c>
      <c r="K186" s="1" t="s">
        <v>141</v>
      </c>
      <c r="L186" s="1">
        <v>69</v>
      </c>
      <c r="M186" s="1">
        <v>2</v>
      </c>
      <c r="N186" s="2">
        <v>1.6189100000000001</v>
      </c>
      <c r="O186" s="2">
        <f t="shared" si="59"/>
        <v>223.40958000000001</v>
      </c>
      <c r="P186" s="2">
        <f t="shared" si="60"/>
        <v>32.3782</v>
      </c>
      <c r="Q186" s="1">
        <v>61.917879999999997</v>
      </c>
      <c r="R186" s="3">
        <f t="shared" si="61"/>
        <v>13833.047565290399</v>
      </c>
      <c r="S186" s="3">
        <f t="shared" si="62"/>
        <v>2004.7895022159998</v>
      </c>
      <c r="T186" s="4">
        <f t="shared" si="63"/>
        <v>0.14492753623188406</v>
      </c>
    </row>
    <row r="187" spans="1:20" x14ac:dyDescent="0.25">
      <c r="A187" s="1">
        <v>183</v>
      </c>
      <c r="B187" s="1" t="s">
        <v>504</v>
      </c>
      <c r="C187" s="1" t="s">
        <v>495</v>
      </c>
      <c r="D187" s="1" t="s">
        <v>15</v>
      </c>
      <c r="E187" s="1" t="s">
        <v>47</v>
      </c>
      <c r="F187" s="1" t="s">
        <v>499</v>
      </c>
      <c r="G187" s="1" t="s">
        <v>500</v>
      </c>
      <c r="H187" s="1" t="s">
        <v>158</v>
      </c>
      <c r="I187" s="1" t="s">
        <v>32</v>
      </c>
      <c r="J187" s="1">
        <v>79</v>
      </c>
      <c r="K187" s="1" t="s">
        <v>32</v>
      </c>
      <c r="L187" s="1">
        <v>69</v>
      </c>
      <c r="M187" s="1">
        <v>2</v>
      </c>
      <c r="N187" s="2">
        <v>1.3611500000000001</v>
      </c>
      <c r="O187" s="2">
        <f t="shared" si="59"/>
        <v>187.83870000000002</v>
      </c>
      <c r="P187" s="2">
        <f t="shared" si="60"/>
        <v>27.223000000000003</v>
      </c>
      <c r="Q187" s="1">
        <v>61.917879999999997</v>
      </c>
      <c r="R187" s="3">
        <f t="shared" si="61"/>
        <v>11630.574085956001</v>
      </c>
      <c r="S187" s="3">
        <f t="shared" si="62"/>
        <v>1685.59044724</v>
      </c>
      <c r="T187" s="4">
        <f t="shared" si="63"/>
        <v>0.14492753623188404</v>
      </c>
    </row>
    <row r="188" spans="1:20" x14ac:dyDescent="0.25">
      <c r="A188" s="1">
        <v>184</v>
      </c>
      <c r="B188" s="1" t="s">
        <v>505</v>
      </c>
      <c r="C188" s="1" t="s">
        <v>495</v>
      </c>
      <c r="D188" s="1" t="s">
        <v>15</v>
      </c>
      <c r="E188" s="1" t="s">
        <v>47</v>
      </c>
      <c r="F188" s="1" t="s">
        <v>502</v>
      </c>
      <c r="G188" s="1" t="s">
        <v>503</v>
      </c>
      <c r="H188" s="1" t="s">
        <v>140</v>
      </c>
      <c r="I188" s="1" t="s">
        <v>141</v>
      </c>
      <c r="J188" s="1">
        <v>79</v>
      </c>
      <c r="K188" s="1" t="s">
        <v>141</v>
      </c>
      <c r="L188" s="1">
        <v>69</v>
      </c>
      <c r="M188" s="1">
        <v>2</v>
      </c>
      <c r="N188" s="2">
        <v>1.6189100000000001</v>
      </c>
      <c r="O188" s="2">
        <f t="shared" si="59"/>
        <v>223.40958000000001</v>
      </c>
      <c r="P188" s="2">
        <f t="shared" si="60"/>
        <v>32.3782</v>
      </c>
      <c r="Q188" s="1">
        <v>61.917879999999997</v>
      </c>
      <c r="R188" s="3">
        <f t="shared" si="61"/>
        <v>13833.047565290399</v>
      </c>
      <c r="S188" s="3">
        <f t="shared" si="62"/>
        <v>2004.7895022159998</v>
      </c>
      <c r="T188" s="4">
        <f t="shared" si="63"/>
        <v>0.14492753623188406</v>
      </c>
    </row>
    <row r="189" spans="1:20" x14ac:dyDescent="0.25">
      <c r="A189" s="1">
        <v>185</v>
      </c>
      <c r="B189" s="1" t="s">
        <v>506</v>
      </c>
      <c r="C189" s="1" t="s">
        <v>507</v>
      </c>
      <c r="D189" s="1" t="s">
        <v>15</v>
      </c>
      <c r="E189" s="1" t="s">
        <v>19</v>
      </c>
      <c r="F189" s="1" t="s">
        <v>20</v>
      </c>
      <c r="G189" s="1" t="s">
        <v>21</v>
      </c>
      <c r="H189" s="1" t="s">
        <v>22</v>
      </c>
      <c r="I189" s="1" t="s">
        <v>23</v>
      </c>
      <c r="J189" s="1">
        <v>157</v>
      </c>
      <c r="K189" s="1" t="s">
        <v>23</v>
      </c>
      <c r="L189" s="1">
        <v>147</v>
      </c>
      <c r="M189" s="1">
        <v>5</v>
      </c>
      <c r="N189" s="2">
        <v>1</v>
      </c>
      <c r="O189" s="2">
        <f t="shared" si="59"/>
        <v>735</v>
      </c>
      <c r="P189" s="2">
        <f t="shared" si="60"/>
        <v>50</v>
      </c>
      <c r="Q189" s="1">
        <v>61.917879999999997</v>
      </c>
      <c r="R189" s="3">
        <f t="shared" si="61"/>
        <v>45509.641799999998</v>
      </c>
      <c r="S189" s="3">
        <f t="shared" si="62"/>
        <v>3095.8939999999998</v>
      </c>
      <c r="T189" s="4">
        <f t="shared" si="63"/>
        <v>6.8027210884353734E-2</v>
      </c>
    </row>
    <row r="190" spans="1:20" x14ac:dyDescent="0.25">
      <c r="A190" s="1">
        <v>186</v>
      </c>
      <c r="B190" s="1" t="s">
        <v>512</v>
      </c>
      <c r="C190" s="1" t="s">
        <v>513</v>
      </c>
      <c r="D190" s="1" t="s">
        <v>15</v>
      </c>
      <c r="E190" s="1" t="s">
        <v>514</v>
      </c>
      <c r="F190" s="1" t="s">
        <v>515</v>
      </c>
      <c r="G190" s="1" t="s">
        <v>516</v>
      </c>
      <c r="H190" s="1" t="s">
        <v>253</v>
      </c>
      <c r="I190" s="1" t="s">
        <v>23</v>
      </c>
      <c r="J190" s="1">
        <v>120</v>
      </c>
      <c r="K190" s="1" t="s">
        <v>23</v>
      </c>
      <c r="L190" s="1">
        <v>107</v>
      </c>
      <c r="M190" s="1">
        <v>3</v>
      </c>
      <c r="N190" s="2">
        <v>1</v>
      </c>
      <c r="O190" s="2">
        <f t="shared" si="59"/>
        <v>321</v>
      </c>
      <c r="P190" s="2">
        <v>39</v>
      </c>
      <c r="Q190" s="1">
        <v>61.917879999999997</v>
      </c>
      <c r="R190" s="3">
        <f t="shared" si="61"/>
        <v>19875.639479999998</v>
      </c>
      <c r="S190" s="3">
        <f t="shared" si="62"/>
        <v>2414.7973199999997</v>
      </c>
      <c r="T190" s="4">
        <f t="shared" si="63"/>
        <v>0.12149532710280374</v>
      </c>
    </row>
    <row r="191" spans="1:20" x14ac:dyDescent="0.25">
      <c r="A191" s="1">
        <v>187</v>
      </c>
      <c r="B191" s="1" t="s">
        <v>517</v>
      </c>
      <c r="C191" s="1" t="s">
        <v>513</v>
      </c>
      <c r="D191" s="1" t="s">
        <v>15</v>
      </c>
      <c r="E191" s="1" t="s">
        <v>518</v>
      </c>
      <c r="F191" s="1" t="s">
        <v>515</v>
      </c>
      <c r="G191" s="1" t="s">
        <v>516</v>
      </c>
      <c r="H191" s="1" t="s">
        <v>253</v>
      </c>
      <c r="I191" s="1" t="s">
        <v>23</v>
      </c>
      <c r="J191" s="1">
        <v>120</v>
      </c>
      <c r="K191" s="1" t="s">
        <v>23</v>
      </c>
      <c r="L191" s="1">
        <v>107</v>
      </c>
      <c r="M191" s="1">
        <v>3</v>
      </c>
      <c r="N191" s="8">
        <v>1</v>
      </c>
      <c r="O191" s="2">
        <f t="shared" si="59"/>
        <v>321</v>
      </c>
      <c r="P191" s="2">
        <v>39</v>
      </c>
      <c r="Q191" s="1">
        <v>61.917879999999997</v>
      </c>
      <c r="R191" s="3">
        <f t="shared" si="61"/>
        <v>19875.639479999998</v>
      </c>
      <c r="S191" s="3">
        <f t="shared" si="62"/>
        <v>2414.7973199999997</v>
      </c>
      <c r="T191" s="4">
        <f t="shared" si="63"/>
        <v>0.12149532710280374</v>
      </c>
    </row>
    <row r="192" spans="1:20" x14ac:dyDescent="0.25">
      <c r="A192" s="1">
        <v>188</v>
      </c>
      <c r="B192" s="1" t="s">
        <v>519</v>
      </c>
      <c r="C192" s="1" t="s">
        <v>513</v>
      </c>
      <c r="D192" s="1" t="s">
        <v>25</v>
      </c>
      <c r="E192" s="1" t="s">
        <v>236</v>
      </c>
      <c r="F192" s="1" t="s">
        <v>520</v>
      </c>
      <c r="G192" s="1" t="s">
        <v>521</v>
      </c>
      <c r="H192" s="1" t="s">
        <v>117</v>
      </c>
      <c r="I192" s="1" t="s">
        <v>23</v>
      </c>
      <c r="J192" s="1">
        <v>128</v>
      </c>
      <c r="K192" s="1" t="s">
        <v>23</v>
      </c>
      <c r="L192" s="1">
        <v>116</v>
      </c>
      <c r="M192" s="1">
        <v>2</v>
      </c>
      <c r="N192" s="8">
        <v>1</v>
      </c>
      <c r="O192" s="2">
        <f t="shared" si="59"/>
        <v>232</v>
      </c>
      <c r="P192" s="2">
        <v>24</v>
      </c>
      <c r="Q192" s="1">
        <v>61.917879999999997</v>
      </c>
      <c r="R192" s="3">
        <f t="shared" si="61"/>
        <v>14364.94816</v>
      </c>
      <c r="S192" s="3">
        <f t="shared" si="62"/>
        <v>1486.0291199999999</v>
      </c>
      <c r="T192" s="4">
        <f t="shared" si="63"/>
        <v>0.10344827586206896</v>
      </c>
    </row>
    <row r="193" spans="1:20" x14ac:dyDescent="0.25">
      <c r="A193" s="1">
        <v>189</v>
      </c>
      <c r="B193" s="1" t="s">
        <v>522</v>
      </c>
      <c r="C193" s="1" t="s">
        <v>513</v>
      </c>
      <c r="D193" s="1" t="s">
        <v>25</v>
      </c>
      <c r="E193" s="1" t="s">
        <v>183</v>
      </c>
      <c r="F193" s="1" t="s">
        <v>523</v>
      </c>
      <c r="G193" s="1" t="s">
        <v>283</v>
      </c>
      <c r="H193" s="1" t="s">
        <v>88</v>
      </c>
      <c r="I193" s="1" t="s">
        <v>89</v>
      </c>
      <c r="J193" s="1">
        <v>7500</v>
      </c>
      <c r="K193" s="1" t="s">
        <v>23</v>
      </c>
      <c r="L193" s="1">
        <v>6700</v>
      </c>
      <c r="M193" s="1">
        <v>1</v>
      </c>
      <c r="N193" s="8">
        <v>1</v>
      </c>
      <c r="O193" s="2">
        <f t="shared" si="59"/>
        <v>6700</v>
      </c>
      <c r="P193" s="2">
        <v>800</v>
      </c>
      <c r="Q193" s="1">
        <v>61.917879999999997</v>
      </c>
      <c r="R193" s="3">
        <f t="shared" si="61"/>
        <v>414849.79599999997</v>
      </c>
      <c r="S193" s="3">
        <f t="shared" si="62"/>
        <v>49534.303999999996</v>
      </c>
      <c r="T193" s="4">
        <f t="shared" si="63"/>
        <v>0.11940298507462686</v>
      </c>
    </row>
    <row r="194" spans="1:20" x14ac:dyDescent="0.25">
      <c r="A194" s="1">
        <v>190</v>
      </c>
      <c r="B194" s="1" t="s">
        <v>524</v>
      </c>
      <c r="C194" s="1" t="s">
        <v>525</v>
      </c>
      <c r="D194" s="1" t="s">
        <v>15</v>
      </c>
      <c r="E194" s="1" t="s">
        <v>518</v>
      </c>
      <c r="F194" s="1" t="s">
        <v>177</v>
      </c>
      <c r="G194" s="1" t="s">
        <v>178</v>
      </c>
      <c r="H194" s="1" t="s">
        <v>140</v>
      </c>
      <c r="I194" s="1" t="s">
        <v>141</v>
      </c>
      <c r="J194" s="1">
        <v>103</v>
      </c>
      <c r="K194" s="1" t="s">
        <v>141</v>
      </c>
      <c r="L194" s="1">
        <v>93</v>
      </c>
      <c r="M194" s="1">
        <v>2</v>
      </c>
      <c r="N194" s="2">
        <v>1.6189100000000001</v>
      </c>
      <c r="O194" s="2">
        <f t="shared" si="59"/>
        <v>301.11725999999999</v>
      </c>
      <c r="P194" s="2">
        <v>32.184800000000003</v>
      </c>
      <c r="Q194" s="1">
        <v>61.917879999999997</v>
      </c>
      <c r="R194" s="3">
        <f t="shared" si="61"/>
        <v>18644.542370608797</v>
      </c>
      <c r="S194" s="3">
        <f t="shared" si="62"/>
        <v>1992.8145842240001</v>
      </c>
      <c r="T194" s="4">
        <f t="shared" si="63"/>
        <v>0.10688460701322802</v>
      </c>
    </row>
    <row r="195" spans="1:20" x14ac:dyDescent="0.25">
      <c r="A195" s="1">
        <v>191</v>
      </c>
      <c r="B195" s="1" t="s">
        <v>526</v>
      </c>
      <c r="C195" s="1" t="s">
        <v>527</v>
      </c>
      <c r="D195" s="1" t="s">
        <v>15</v>
      </c>
      <c r="E195" s="1" t="s">
        <v>28</v>
      </c>
      <c r="F195" s="1" t="s">
        <v>528</v>
      </c>
      <c r="G195" s="1" t="s">
        <v>353</v>
      </c>
      <c r="H195" s="1" t="s">
        <v>158</v>
      </c>
      <c r="I195" s="1" t="s">
        <v>32</v>
      </c>
      <c r="J195" s="1">
        <v>219</v>
      </c>
      <c r="K195" s="1" t="s">
        <v>32</v>
      </c>
      <c r="L195" s="1">
        <v>208</v>
      </c>
      <c r="M195" s="1">
        <v>3</v>
      </c>
      <c r="N195" s="2">
        <v>1.3611500000000001</v>
      </c>
      <c r="O195" s="2">
        <f t="shared" si="59"/>
        <v>849.35760000000005</v>
      </c>
      <c r="P195" s="2">
        <v>44.539770000000004</v>
      </c>
      <c r="Q195" s="1">
        <v>61.917879999999997</v>
      </c>
      <c r="R195" s="3">
        <f t="shared" si="61"/>
        <v>52590.421953887999</v>
      </c>
      <c r="S195" s="3">
        <f t="shared" si="62"/>
        <v>2757.8081340876001</v>
      </c>
      <c r="T195" s="4">
        <f t="shared" si="63"/>
        <v>5.2439361230181496E-2</v>
      </c>
    </row>
    <row r="196" spans="1:20" x14ac:dyDescent="0.25">
      <c r="A196" s="1">
        <v>192</v>
      </c>
      <c r="B196" s="1" t="s">
        <v>529</v>
      </c>
      <c r="C196" s="1" t="s">
        <v>527</v>
      </c>
      <c r="D196" s="1" t="s">
        <v>15</v>
      </c>
      <c r="E196" s="1" t="s">
        <v>60</v>
      </c>
      <c r="F196" s="1" t="s">
        <v>528</v>
      </c>
      <c r="G196" s="1" t="s">
        <v>353</v>
      </c>
      <c r="H196" s="1" t="s">
        <v>158</v>
      </c>
      <c r="I196" s="1" t="s">
        <v>32</v>
      </c>
      <c r="J196" s="1">
        <v>219</v>
      </c>
      <c r="K196" s="1" t="s">
        <v>32</v>
      </c>
      <c r="L196" s="1">
        <v>208</v>
      </c>
      <c r="M196" s="1">
        <v>3</v>
      </c>
      <c r="N196" s="2">
        <v>1.3611500000000001</v>
      </c>
      <c r="O196" s="2">
        <f t="shared" si="59"/>
        <v>849.35760000000005</v>
      </c>
      <c r="P196" s="2">
        <v>44.539770000000004</v>
      </c>
      <c r="Q196" s="1">
        <v>61.917879999999997</v>
      </c>
      <c r="R196" s="3">
        <f t="shared" si="61"/>
        <v>52590.421953887999</v>
      </c>
      <c r="S196" s="3">
        <f t="shared" si="62"/>
        <v>2757.8081340876001</v>
      </c>
      <c r="T196" s="4">
        <f t="shared" si="63"/>
        <v>5.2439361230181496E-2</v>
      </c>
    </row>
    <row r="197" spans="1:20" x14ac:dyDescent="0.25">
      <c r="A197" s="1">
        <v>193</v>
      </c>
      <c r="B197" s="1" t="s">
        <v>530</v>
      </c>
      <c r="C197" s="1" t="s">
        <v>531</v>
      </c>
      <c r="D197" s="1" t="s">
        <v>15</v>
      </c>
      <c r="E197" s="1" t="s">
        <v>127</v>
      </c>
      <c r="F197" s="1" t="s">
        <v>532</v>
      </c>
      <c r="G197" s="1" t="s">
        <v>533</v>
      </c>
      <c r="H197" s="1" t="s">
        <v>50</v>
      </c>
      <c r="I197" s="1" t="s">
        <v>23</v>
      </c>
      <c r="J197" s="1">
        <v>144</v>
      </c>
      <c r="K197" s="1" t="s">
        <v>23</v>
      </c>
      <c r="L197" s="1">
        <v>141</v>
      </c>
      <c r="M197" s="1">
        <v>5</v>
      </c>
      <c r="N197" s="8">
        <v>1</v>
      </c>
      <c r="O197" s="2">
        <f t="shared" si="59"/>
        <v>705</v>
      </c>
      <c r="P197" s="2">
        <v>15</v>
      </c>
      <c r="Q197" s="1">
        <v>61.917879999999997</v>
      </c>
      <c r="R197" s="3">
        <f t="shared" si="61"/>
        <v>43652.1054</v>
      </c>
      <c r="S197" s="3">
        <f t="shared" si="62"/>
        <v>928.76819999999998</v>
      </c>
      <c r="T197" s="4">
        <f t="shared" si="63"/>
        <v>2.1276595744680851E-2</v>
      </c>
    </row>
    <row r="198" spans="1:20" x14ac:dyDescent="0.25">
      <c r="A198" s="1">
        <v>194</v>
      </c>
      <c r="B198" s="1" t="s">
        <v>534</v>
      </c>
      <c r="C198" s="1" t="s">
        <v>531</v>
      </c>
      <c r="D198" s="1" t="s">
        <v>15</v>
      </c>
      <c r="E198" s="1" t="s">
        <v>535</v>
      </c>
      <c r="F198" s="1" t="s">
        <v>532</v>
      </c>
      <c r="G198" s="1" t="s">
        <v>533</v>
      </c>
      <c r="H198" s="1" t="s">
        <v>50</v>
      </c>
      <c r="I198" s="1" t="s">
        <v>23</v>
      </c>
      <c r="J198" s="1">
        <v>144</v>
      </c>
      <c r="K198" s="1" t="s">
        <v>23</v>
      </c>
      <c r="L198" s="1">
        <v>134</v>
      </c>
      <c r="M198" s="1">
        <v>6</v>
      </c>
      <c r="N198" s="8">
        <v>1</v>
      </c>
      <c r="O198" s="2">
        <f t="shared" si="59"/>
        <v>804</v>
      </c>
      <c r="P198" s="2">
        <v>60</v>
      </c>
      <c r="Q198" s="1">
        <v>61.917879999999997</v>
      </c>
      <c r="R198" s="3">
        <f t="shared" si="61"/>
        <v>49781.97552</v>
      </c>
      <c r="S198" s="3">
        <f t="shared" si="62"/>
        <v>3715.0727999999999</v>
      </c>
      <c r="T198" s="4">
        <f t="shared" si="63"/>
        <v>7.4626865671641784E-2</v>
      </c>
    </row>
    <row r="199" spans="1:20" x14ac:dyDescent="0.25">
      <c r="A199" s="1">
        <v>195</v>
      </c>
      <c r="B199" s="1" t="s">
        <v>536</v>
      </c>
      <c r="C199" s="1" t="s">
        <v>537</v>
      </c>
      <c r="D199" s="1" t="s">
        <v>25</v>
      </c>
      <c r="E199" s="1" t="s">
        <v>183</v>
      </c>
      <c r="F199" s="1" t="s">
        <v>282</v>
      </c>
      <c r="G199" s="1" t="s">
        <v>283</v>
      </c>
      <c r="H199" s="1" t="s">
        <v>88</v>
      </c>
      <c r="I199" s="1" t="s">
        <v>89</v>
      </c>
      <c r="J199" s="1">
        <v>9500</v>
      </c>
      <c r="K199" s="1" t="s">
        <v>89</v>
      </c>
      <c r="L199" s="1">
        <v>8950</v>
      </c>
      <c r="M199" s="1">
        <v>2</v>
      </c>
      <c r="N199" s="2">
        <v>1.619E-2</v>
      </c>
      <c r="O199" s="2">
        <f t="shared" si="59"/>
        <v>289.80099999999999</v>
      </c>
      <c r="P199" s="2">
        <v>17.622</v>
      </c>
      <c r="Q199" s="1">
        <v>61.917879999999997</v>
      </c>
      <c r="R199" s="3">
        <f t="shared" si="61"/>
        <v>17943.863541879997</v>
      </c>
      <c r="S199" s="3">
        <f t="shared" si="62"/>
        <v>1091.11688136</v>
      </c>
      <c r="T199" s="4">
        <f t="shared" si="63"/>
        <v>6.0807243591291964E-2</v>
      </c>
    </row>
    <row r="200" spans="1:20" x14ac:dyDescent="0.25">
      <c r="A200" s="1">
        <v>196</v>
      </c>
      <c r="B200" s="1" t="s">
        <v>538</v>
      </c>
      <c r="C200" s="1" t="s">
        <v>539</v>
      </c>
      <c r="D200" s="1" t="s">
        <v>15</v>
      </c>
      <c r="E200" s="1" t="s">
        <v>343</v>
      </c>
      <c r="F200" s="1" t="s">
        <v>540</v>
      </c>
      <c r="G200" s="1" t="s">
        <v>164</v>
      </c>
      <c r="H200" s="1" t="s">
        <v>31</v>
      </c>
      <c r="I200" s="1" t="s">
        <v>32</v>
      </c>
      <c r="J200" s="1">
        <v>162</v>
      </c>
      <c r="K200" s="1" t="s">
        <v>32</v>
      </c>
      <c r="L200" s="1">
        <v>152</v>
      </c>
      <c r="M200" s="1">
        <v>2</v>
      </c>
      <c r="N200" s="2">
        <v>1.3611500000000001</v>
      </c>
      <c r="O200" s="2">
        <f t="shared" si="59"/>
        <v>413.78960000000001</v>
      </c>
      <c r="P200" s="2">
        <v>26.9938</v>
      </c>
      <c r="Q200" s="1">
        <v>61.917879999999997</v>
      </c>
      <c r="R200" s="3">
        <f t="shared" si="61"/>
        <v>25620.974798047999</v>
      </c>
      <c r="S200" s="3">
        <f t="shared" si="62"/>
        <v>1671.3988691439999</v>
      </c>
      <c r="T200" s="4">
        <f t="shared" si="63"/>
        <v>6.5235568994484155E-2</v>
      </c>
    </row>
    <row r="201" spans="1:20" x14ac:dyDescent="0.25">
      <c r="A201" s="1">
        <v>197</v>
      </c>
      <c r="B201" s="1" t="s">
        <v>541</v>
      </c>
      <c r="C201" s="1" t="s">
        <v>539</v>
      </c>
      <c r="D201" s="1" t="s">
        <v>15</v>
      </c>
      <c r="E201" s="1" t="s">
        <v>343</v>
      </c>
      <c r="F201" s="1" t="s">
        <v>542</v>
      </c>
      <c r="G201" s="1" t="s">
        <v>543</v>
      </c>
      <c r="H201" s="1" t="s">
        <v>31</v>
      </c>
      <c r="I201" s="1" t="s">
        <v>32</v>
      </c>
      <c r="J201" s="1">
        <v>84</v>
      </c>
      <c r="K201" s="1" t="s">
        <v>32</v>
      </c>
      <c r="L201" s="1">
        <v>74</v>
      </c>
      <c r="M201" s="1">
        <v>1</v>
      </c>
      <c r="N201" s="2">
        <v>1.3611500000000001</v>
      </c>
      <c r="O201" s="2">
        <f t="shared" si="59"/>
        <v>100.72510000000001</v>
      </c>
      <c r="P201" s="2">
        <v>13.4969</v>
      </c>
      <c r="Q201" s="1">
        <v>61.917879999999997</v>
      </c>
      <c r="R201" s="3">
        <f t="shared" si="61"/>
        <v>6236.6846547880004</v>
      </c>
      <c r="S201" s="3">
        <f t="shared" si="62"/>
        <v>835.69943457199997</v>
      </c>
      <c r="T201" s="4">
        <f t="shared" si="63"/>
        <v>0.13399738496164312</v>
      </c>
    </row>
    <row r="202" spans="1:20" x14ac:dyDescent="0.25">
      <c r="A202" s="1">
        <v>198</v>
      </c>
      <c r="B202" s="1" t="s">
        <v>544</v>
      </c>
      <c r="C202" s="1" t="s">
        <v>545</v>
      </c>
      <c r="D202" s="1" t="s">
        <v>15</v>
      </c>
      <c r="E202" s="1" t="s">
        <v>133</v>
      </c>
      <c r="F202" s="1" t="s">
        <v>546</v>
      </c>
      <c r="G202" s="1" t="s">
        <v>185</v>
      </c>
      <c r="H202" s="1" t="s">
        <v>83</v>
      </c>
      <c r="I202" s="1" t="s">
        <v>32</v>
      </c>
      <c r="J202" s="1">
        <v>102</v>
      </c>
      <c r="K202" s="1" t="s">
        <v>32</v>
      </c>
      <c r="L202" s="1">
        <v>92</v>
      </c>
      <c r="M202" s="1">
        <v>5</v>
      </c>
      <c r="N202" s="2">
        <v>1.3611500000000001</v>
      </c>
      <c r="O202" s="2">
        <f t="shared" si="59"/>
        <v>626.12900000000002</v>
      </c>
      <c r="P202" s="2">
        <v>67.484499999999997</v>
      </c>
      <c r="Q202" s="1">
        <v>61.917879999999997</v>
      </c>
      <c r="R202" s="3">
        <f t="shared" si="61"/>
        <v>38768.580286520002</v>
      </c>
      <c r="S202" s="3">
        <f t="shared" si="62"/>
        <v>4178.4971728599994</v>
      </c>
      <c r="T202" s="4">
        <f t="shared" si="63"/>
        <v>0.10778050529523467</v>
      </c>
    </row>
    <row r="203" spans="1:20" x14ac:dyDescent="0.25">
      <c r="A203" s="1">
        <v>199</v>
      </c>
      <c r="B203" s="1" t="s">
        <v>547</v>
      </c>
      <c r="C203" s="1" t="s">
        <v>545</v>
      </c>
      <c r="D203" s="1" t="s">
        <v>15</v>
      </c>
      <c r="E203" s="1" t="s">
        <v>548</v>
      </c>
      <c r="F203" s="1" t="s">
        <v>549</v>
      </c>
      <c r="G203" s="1" t="s">
        <v>21</v>
      </c>
      <c r="H203" s="1" t="s">
        <v>22</v>
      </c>
      <c r="I203" s="1" t="s">
        <v>23</v>
      </c>
      <c r="J203" s="1">
        <v>454</v>
      </c>
      <c r="K203" s="1" t="s">
        <v>23</v>
      </c>
      <c r="L203" s="1">
        <v>444</v>
      </c>
      <c r="M203" s="1">
        <v>1</v>
      </c>
      <c r="N203" s="8">
        <v>1</v>
      </c>
      <c r="O203" s="2">
        <f t="shared" si="59"/>
        <v>444</v>
      </c>
      <c r="P203" s="2">
        <v>10</v>
      </c>
      <c r="Q203" s="1">
        <v>61.917879999999997</v>
      </c>
      <c r="R203" s="3">
        <f t="shared" si="61"/>
        <v>27491.538719999997</v>
      </c>
      <c r="S203" s="3">
        <f t="shared" si="62"/>
        <v>619.17879999999991</v>
      </c>
      <c r="T203" s="4">
        <f t="shared" si="63"/>
        <v>2.2522522522522521E-2</v>
      </c>
    </row>
    <row r="204" spans="1:20" x14ac:dyDescent="0.25">
      <c r="A204" s="1">
        <v>200</v>
      </c>
      <c r="B204" s="18" t="s">
        <v>550</v>
      </c>
      <c r="C204" s="18" t="s">
        <v>551</v>
      </c>
      <c r="D204" s="18" t="s">
        <v>25</v>
      </c>
      <c r="E204" s="18" t="s">
        <v>183</v>
      </c>
      <c r="F204" s="18" t="s">
        <v>552</v>
      </c>
      <c r="G204" s="18" t="s">
        <v>553</v>
      </c>
      <c r="H204" s="18" t="s">
        <v>88</v>
      </c>
      <c r="I204" s="18" t="s">
        <v>89</v>
      </c>
      <c r="J204" s="18">
        <v>4610</v>
      </c>
      <c r="K204" s="18" t="s">
        <v>89</v>
      </c>
      <c r="L204" s="18">
        <v>4600</v>
      </c>
      <c r="M204" s="18">
        <v>1</v>
      </c>
      <c r="N204" s="20">
        <v>1.619E-2</v>
      </c>
      <c r="O204" s="20">
        <f t="shared" si="59"/>
        <v>74.474000000000004</v>
      </c>
      <c r="P204" s="20">
        <v>0.16020000000000001</v>
      </c>
      <c r="Q204" s="18">
        <v>61.917879999999997</v>
      </c>
      <c r="R204" s="21">
        <f t="shared" si="61"/>
        <v>4611.2721951200001</v>
      </c>
      <c r="S204" s="21">
        <f t="shared" si="62"/>
        <v>9.919244376</v>
      </c>
      <c r="T204" s="22">
        <f t="shared" si="63"/>
        <v>2.1510862851464941E-3</v>
      </c>
    </row>
    <row r="205" spans="1:20" x14ac:dyDescent="0.25">
      <c r="A205" s="1">
        <v>201</v>
      </c>
      <c r="B205" s="1" t="s">
        <v>554</v>
      </c>
      <c r="C205" s="1" t="s">
        <v>555</v>
      </c>
      <c r="D205" s="1" t="s">
        <v>25</v>
      </c>
      <c r="E205" s="1" t="s">
        <v>183</v>
      </c>
      <c r="F205" s="1" t="s">
        <v>282</v>
      </c>
      <c r="G205" s="1" t="s">
        <v>283</v>
      </c>
      <c r="H205" s="1" t="s">
        <v>88</v>
      </c>
      <c r="I205" s="1" t="s">
        <v>89</v>
      </c>
      <c r="J205" s="1">
        <v>7000</v>
      </c>
      <c r="K205" s="1" t="s">
        <v>89</v>
      </c>
      <c r="L205" s="1">
        <v>6350</v>
      </c>
      <c r="M205" s="1">
        <v>1</v>
      </c>
      <c r="N205" s="2">
        <v>1.619E-2</v>
      </c>
      <c r="O205" s="2">
        <f t="shared" si="59"/>
        <v>102.8065</v>
      </c>
      <c r="P205" s="2">
        <v>10.413</v>
      </c>
      <c r="Q205" s="1">
        <v>61.917879999999997</v>
      </c>
      <c r="R205" s="3">
        <f t="shared" si="61"/>
        <v>6365.5605302199992</v>
      </c>
      <c r="S205" s="3">
        <f t="shared" si="62"/>
        <v>644.75088443999994</v>
      </c>
      <c r="T205" s="4">
        <f t="shared" si="63"/>
        <v>0.10128736996201602</v>
      </c>
    </row>
    <row r="206" spans="1:20" x14ac:dyDescent="0.25">
      <c r="A206" s="1">
        <v>202</v>
      </c>
      <c r="B206" s="1" t="s">
        <v>556</v>
      </c>
      <c r="C206" s="1" t="s">
        <v>557</v>
      </c>
      <c r="D206" s="1" t="s">
        <v>15</v>
      </c>
      <c r="E206" s="1" t="s">
        <v>558</v>
      </c>
      <c r="F206" s="1" t="s">
        <v>559</v>
      </c>
      <c r="G206" s="1" t="s">
        <v>468</v>
      </c>
      <c r="H206" s="1" t="s">
        <v>50</v>
      </c>
      <c r="I206" s="1" t="s">
        <v>23</v>
      </c>
      <c r="J206" s="1">
        <v>350</v>
      </c>
      <c r="K206" s="1" t="s">
        <v>23</v>
      </c>
      <c r="L206" s="1">
        <v>327</v>
      </c>
      <c r="M206" s="1">
        <v>6</v>
      </c>
      <c r="N206" s="2">
        <v>1</v>
      </c>
      <c r="O206" s="2">
        <f t="shared" si="59"/>
        <v>1962</v>
      </c>
      <c r="P206" s="2">
        <v>138</v>
      </c>
      <c r="Q206" s="1">
        <v>61.917879999999997</v>
      </c>
      <c r="R206" s="3">
        <f t="shared" si="61"/>
        <v>121482.88055999999</v>
      </c>
      <c r="S206" s="3">
        <f t="shared" si="62"/>
        <v>8544.6674399999993</v>
      </c>
      <c r="T206" s="4">
        <f t="shared" si="63"/>
        <v>7.0336391437308868E-2</v>
      </c>
    </row>
    <row r="207" spans="1:20" x14ac:dyDescent="0.25">
      <c r="A207" s="1">
        <v>203</v>
      </c>
      <c r="B207" s="1" t="s">
        <v>560</v>
      </c>
      <c r="C207" s="1" t="s">
        <v>557</v>
      </c>
      <c r="D207" s="1" t="s">
        <v>15</v>
      </c>
      <c r="E207" s="1" t="s">
        <v>97</v>
      </c>
      <c r="F207" s="1" t="s">
        <v>561</v>
      </c>
      <c r="G207" s="1" t="s">
        <v>353</v>
      </c>
      <c r="H207" s="1" t="s">
        <v>158</v>
      </c>
      <c r="I207" s="1" t="s">
        <v>32</v>
      </c>
      <c r="J207" s="1">
        <v>198</v>
      </c>
      <c r="K207" s="1" t="s">
        <v>32</v>
      </c>
      <c r="L207" s="1">
        <v>188</v>
      </c>
      <c r="M207" s="1">
        <v>1</v>
      </c>
      <c r="N207" s="2">
        <v>1.3611500000000001</v>
      </c>
      <c r="O207" s="2">
        <f t="shared" si="59"/>
        <v>255.89620000000002</v>
      </c>
      <c r="P207" s="2">
        <v>13.4969</v>
      </c>
      <c r="Q207" s="1">
        <v>61.917879999999997</v>
      </c>
      <c r="R207" s="3">
        <f t="shared" si="61"/>
        <v>15844.550204056</v>
      </c>
      <c r="S207" s="3">
        <f t="shared" si="62"/>
        <v>835.69943457199997</v>
      </c>
      <c r="T207" s="4">
        <f t="shared" si="63"/>
        <v>5.2743651527455269E-2</v>
      </c>
    </row>
    <row r="208" spans="1:20" x14ac:dyDescent="0.25">
      <c r="A208" s="1">
        <v>204</v>
      </c>
      <c r="B208" s="1" t="s">
        <v>562</v>
      </c>
      <c r="C208" s="1" t="s">
        <v>557</v>
      </c>
      <c r="D208" s="1" t="s">
        <v>15</v>
      </c>
      <c r="E208" s="1" t="s">
        <v>97</v>
      </c>
      <c r="F208" s="1" t="s">
        <v>138</v>
      </c>
      <c r="G208" s="1" t="s">
        <v>139</v>
      </c>
      <c r="H208" s="1" t="s">
        <v>140</v>
      </c>
      <c r="I208" s="1" t="s">
        <v>141</v>
      </c>
      <c r="J208" s="1">
        <v>174</v>
      </c>
      <c r="K208" s="1" t="s">
        <v>141</v>
      </c>
      <c r="L208" s="1">
        <v>164</v>
      </c>
      <c r="M208" s="1">
        <v>1</v>
      </c>
      <c r="N208" s="2">
        <v>1.6189100000000001</v>
      </c>
      <c r="O208" s="2">
        <f t="shared" si="59"/>
        <v>265.50124</v>
      </c>
      <c r="P208" s="2">
        <v>16.092400000000001</v>
      </c>
      <c r="Q208" s="1">
        <v>61.917879999999997</v>
      </c>
      <c r="R208" s="3">
        <f t="shared" si="61"/>
        <v>16439.273918171199</v>
      </c>
      <c r="S208" s="3">
        <f t="shared" si="62"/>
        <v>996.40729211200005</v>
      </c>
      <c r="T208" s="4">
        <f t="shared" si="63"/>
        <v>6.0611393001403696E-2</v>
      </c>
    </row>
    <row r="209" spans="1:20" x14ac:dyDescent="0.25">
      <c r="A209" s="1">
        <v>205</v>
      </c>
      <c r="B209" s="1" t="s">
        <v>563</v>
      </c>
      <c r="C209" s="1" t="s">
        <v>557</v>
      </c>
      <c r="D209" s="1" t="s">
        <v>15</v>
      </c>
      <c r="E209" s="1" t="s">
        <v>97</v>
      </c>
      <c r="F209" s="1" t="s">
        <v>564</v>
      </c>
      <c r="G209" s="1" t="s">
        <v>95</v>
      </c>
      <c r="H209" s="1" t="s">
        <v>83</v>
      </c>
      <c r="I209" s="1" t="s">
        <v>32</v>
      </c>
      <c r="J209" s="1">
        <v>160</v>
      </c>
      <c r="K209" s="1" t="s">
        <v>32</v>
      </c>
      <c r="L209" s="1">
        <v>150</v>
      </c>
      <c r="M209" s="1">
        <v>1</v>
      </c>
      <c r="N209" s="2">
        <v>1.3611500000000001</v>
      </c>
      <c r="O209" s="2">
        <f t="shared" si="59"/>
        <v>204.17250000000001</v>
      </c>
      <c r="P209" s="2">
        <v>13.4969</v>
      </c>
      <c r="Q209" s="1">
        <v>61.917879999999997</v>
      </c>
      <c r="R209" s="3">
        <f t="shared" si="61"/>
        <v>12641.9283543</v>
      </c>
      <c r="S209" s="3">
        <f t="shared" si="62"/>
        <v>835.69943457199997</v>
      </c>
      <c r="T209" s="4">
        <f t="shared" si="63"/>
        <v>6.6105376581077277E-2</v>
      </c>
    </row>
    <row r="210" spans="1:20" x14ac:dyDescent="0.25">
      <c r="A210" s="1">
        <v>206</v>
      </c>
      <c r="B210" s="1" t="s">
        <v>565</v>
      </c>
      <c r="C210" s="1" t="s">
        <v>557</v>
      </c>
      <c r="D210" s="1" t="s">
        <v>15</v>
      </c>
      <c r="E210" s="1" t="s">
        <v>97</v>
      </c>
      <c r="F210" s="1" t="s">
        <v>147</v>
      </c>
      <c r="G210" s="1" t="s">
        <v>30</v>
      </c>
      <c r="H210" s="1" t="s">
        <v>31</v>
      </c>
      <c r="I210" s="1" t="s">
        <v>32</v>
      </c>
      <c r="J210" s="1">
        <v>82</v>
      </c>
      <c r="K210" s="1" t="s">
        <v>32</v>
      </c>
      <c r="L210" s="1">
        <v>72</v>
      </c>
      <c r="M210" s="1">
        <v>1</v>
      </c>
      <c r="N210" s="2">
        <v>1.3611500000000001</v>
      </c>
      <c r="O210" s="2">
        <f t="shared" si="59"/>
        <v>98.002800000000008</v>
      </c>
      <c r="P210" s="2">
        <v>13.4969</v>
      </c>
      <c r="Q210" s="1">
        <v>61.917879999999997</v>
      </c>
      <c r="R210" s="3">
        <f t="shared" si="61"/>
        <v>6068.1256100640003</v>
      </c>
      <c r="S210" s="3">
        <f t="shared" si="62"/>
        <v>835.69943457199997</v>
      </c>
      <c r="T210" s="4">
        <f t="shared" si="63"/>
        <v>0.13771953454391098</v>
      </c>
    </row>
    <row r="211" spans="1:20" x14ac:dyDescent="0.25">
      <c r="A211" s="1">
        <v>207</v>
      </c>
      <c r="B211" s="1" t="s">
        <v>566</v>
      </c>
      <c r="C211" s="1" t="s">
        <v>567</v>
      </c>
      <c r="D211" s="1" t="s">
        <v>15</v>
      </c>
      <c r="E211" s="1" t="s">
        <v>343</v>
      </c>
      <c r="F211" s="1" t="s">
        <v>568</v>
      </c>
      <c r="G211" s="1" t="s">
        <v>353</v>
      </c>
      <c r="H211" s="1" t="s">
        <v>158</v>
      </c>
      <c r="I211" s="1" t="s">
        <v>32</v>
      </c>
      <c r="J211" s="1">
        <v>139</v>
      </c>
      <c r="K211" s="1" t="s">
        <v>32</v>
      </c>
      <c r="L211" s="1">
        <v>129</v>
      </c>
      <c r="M211" s="1">
        <v>2</v>
      </c>
      <c r="N211" s="2">
        <v>1.3611500000000001</v>
      </c>
      <c r="O211" s="2">
        <f t="shared" si="59"/>
        <v>351.17670000000004</v>
      </c>
      <c r="P211" s="2">
        <v>26.9938</v>
      </c>
      <c r="Q211" s="1">
        <v>61.917879999999997</v>
      </c>
      <c r="R211" s="3">
        <f t="shared" si="61"/>
        <v>21744.116769396001</v>
      </c>
      <c r="S211" s="3">
        <f t="shared" si="62"/>
        <v>1671.3988691439999</v>
      </c>
      <c r="T211" s="4">
        <f t="shared" si="63"/>
        <v>7.686671695474101E-2</v>
      </c>
    </row>
    <row r="212" spans="1:20" x14ac:dyDescent="0.25">
      <c r="A212" s="1">
        <v>208</v>
      </c>
      <c r="B212" s="1" t="s">
        <v>569</v>
      </c>
      <c r="C212" s="1" t="s">
        <v>567</v>
      </c>
      <c r="D212" s="1" t="s">
        <v>15</v>
      </c>
      <c r="E212" s="1" t="s">
        <v>343</v>
      </c>
      <c r="F212" s="1" t="s">
        <v>570</v>
      </c>
      <c r="G212" s="1" t="s">
        <v>571</v>
      </c>
      <c r="H212" s="1" t="s">
        <v>31</v>
      </c>
      <c r="I212" s="1" t="s">
        <v>32</v>
      </c>
      <c r="J212" s="1">
        <v>68</v>
      </c>
      <c r="K212" s="1" t="s">
        <v>32</v>
      </c>
      <c r="L212" s="1">
        <v>58</v>
      </c>
      <c r="M212" s="1">
        <v>1</v>
      </c>
      <c r="N212" s="2">
        <v>1.3611500000000001</v>
      </c>
      <c r="O212" s="2">
        <f t="shared" si="59"/>
        <v>78.946700000000007</v>
      </c>
      <c r="P212" s="2">
        <v>13.4969</v>
      </c>
      <c r="Q212" s="1">
        <v>61.917879999999997</v>
      </c>
      <c r="R212" s="3">
        <f t="shared" si="61"/>
        <v>4888.2122969960001</v>
      </c>
      <c r="S212" s="3">
        <f t="shared" si="62"/>
        <v>835.69943457199997</v>
      </c>
      <c r="T212" s="4">
        <f t="shared" si="63"/>
        <v>0.17096218081313089</v>
      </c>
    </row>
    <row r="213" spans="1:20" x14ac:dyDescent="0.25">
      <c r="A213" s="1">
        <v>209</v>
      </c>
      <c r="B213" s="1" t="s">
        <v>572</v>
      </c>
      <c r="C213" s="1" t="s">
        <v>567</v>
      </c>
      <c r="D213" s="1" t="s">
        <v>15</v>
      </c>
      <c r="E213" s="1" t="s">
        <v>343</v>
      </c>
      <c r="F213" s="1" t="s">
        <v>573</v>
      </c>
      <c r="G213" s="1" t="s">
        <v>574</v>
      </c>
      <c r="H213" s="1" t="s">
        <v>575</v>
      </c>
      <c r="I213" s="1" t="s">
        <v>32</v>
      </c>
      <c r="J213" s="1">
        <v>145</v>
      </c>
      <c r="K213" s="1" t="s">
        <v>32</v>
      </c>
      <c r="L213" s="1">
        <v>135</v>
      </c>
      <c r="M213" s="1">
        <v>1</v>
      </c>
      <c r="N213" s="2">
        <v>1.3611500000000001</v>
      </c>
      <c r="O213" s="2">
        <f t="shared" si="59"/>
        <v>183.75525000000002</v>
      </c>
      <c r="P213" s="2">
        <v>13.4969</v>
      </c>
      <c r="Q213" s="1">
        <v>61.917879999999997</v>
      </c>
      <c r="R213" s="3">
        <f t="shared" si="61"/>
        <v>11377.73551887</v>
      </c>
      <c r="S213" s="3">
        <f t="shared" si="62"/>
        <v>835.69943457199997</v>
      </c>
      <c r="T213" s="4">
        <f t="shared" si="63"/>
        <v>7.3450418423419192E-2</v>
      </c>
    </row>
    <row r="214" spans="1:20" x14ac:dyDescent="0.25">
      <c r="A214" s="1">
        <v>210</v>
      </c>
      <c r="B214" s="1" t="s">
        <v>576</v>
      </c>
      <c r="C214" s="1" t="s">
        <v>567</v>
      </c>
      <c r="D214" s="1" t="s">
        <v>15</v>
      </c>
      <c r="E214" s="1" t="s">
        <v>430</v>
      </c>
      <c r="F214" s="1" t="s">
        <v>577</v>
      </c>
      <c r="G214" s="1" t="s">
        <v>243</v>
      </c>
      <c r="H214" s="1" t="s">
        <v>140</v>
      </c>
      <c r="I214" s="1" t="s">
        <v>141</v>
      </c>
      <c r="J214" s="1">
        <v>194</v>
      </c>
      <c r="K214" s="1" t="s">
        <v>141</v>
      </c>
      <c r="L214" s="1">
        <v>184</v>
      </c>
      <c r="M214" s="1">
        <v>1</v>
      </c>
      <c r="N214" s="2">
        <v>1.6189100000000001</v>
      </c>
      <c r="O214" s="2">
        <f t="shared" si="59"/>
        <v>297.87943999999999</v>
      </c>
      <c r="P214" s="2">
        <v>16.092400000000001</v>
      </c>
      <c r="Q214" s="1">
        <v>61.917879999999997</v>
      </c>
      <c r="R214" s="3">
        <f t="shared" si="61"/>
        <v>18444.0634203872</v>
      </c>
      <c r="S214" s="3">
        <f t="shared" si="62"/>
        <v>996.40729211200005</v>
      </c>
      <c r="T214" s="4">
        <f t="shared" si="63"/>
        <v>5.4023198109946768E-2</v>
      </c>
    </row>
    <row r="215" spans="1:20" x14ac:dyDescent="0.25">
      <c r="A215" s="1">
        <v>211</v>
      </c>
      <c r="B215" s="1" t="s">
        <v>578</v>
      </c>
      <c r="C215" s="1" t="s">
        <v>579</v>
      </c>
      <c r="D215" s="1" t="s">
        <v>15</v>
      </c>
      <c r="E215" s="1" t="s">
        <v>430</v>
      </c>
      <c r="F215" s="1" t="s">
        <v>577</v>
      </c>
      <c r="G215" s="1" t="s">
        <v>243</v>
      </c>
      <c r="H215" s="1" t="s">
        <v>140</v>
      </c>
      <c r="I215" s="1" t="s">
        <v>141</v>
      </c>
      <c r="J215" s="1">
        <v>150</v>
      </c>
      <c r="K215" s="1" t="s">
        <v>141</v>
      </c>
      <c r="L215" s="1">
        <v>140</v>
      </c>
      <c r="M215" s="1">
        <v>2</v>
      </c>
      <c r="N215" s="2">
        <v>1.6189100000000001</v>
      </c>
      <c r="O215" s="2">
        <f t="shared" si="59"/>
        <v>453.29480000000001</v>
      </c>
      <c r="P215" s="2">
        <f t="shared" ref="P215:P250" si="64">(J215-L215)*M215*N215</f>
        <v>32.3782</v>
      </c>
      <c r="Q215" s="1">
        <v>61.917879999999997</v>
      </c>
      <c r="R215" s="3">
        <f t="shared" si="61"/>
        <v>28067.053031023999</v>
      </c>
      <c r="S215" s="3">
        <f t="shared" si="62"/>
        <v>2004.7895022159998</v>
      </c>
      <c r="T215" s="4">
        <f t="shared" si="63"/>
        <v>7.1428571428571425E-2</v>
      </c>
    </row>
    <row r="216" spans="1:20" x14ac:dyDescent="0.25">
      <c r="A216" s="1">
        <v>212</v>
      </c>
      <c r="B216" s="1" t="s">
        <v>580</v>
      </c>
      <c r="C216" s="1" t="s">
        <v>581</v>
      </c>
      <c r="D216" s="1" t="s">
        <v>15</v>
      </c>
      <c r="E216" s="1" t="s">
        <v>97</v>
      </c>
      <c r="F216" s="1" t="s">
        <v>582</v>
      </c>
      <c r="G216" s="1" t="s">
        <v>164</v>
      </c>
      <c r="H216" s="1" t="s">
        <v>31</v>
      </c>
      <c r="I216" s="1" t="s">
        <v>32</v>
      </c>
      <c r="J216" s="1">
        <v>130</v>
      </c>
      <c r="K216" s="1" t="s">
        <v>32</v>
      </c>
      <c r="L216" s="1">
        <v>127</v>
      </c>
      <c r="M216" s="1">
        <v>2</v>
      </c>
      <c r="N216" s="2">
        <v>1.3611500000000001</v>
      </c>
      <c r="O216" s="2">
        <f t="shared" si="59"/>
        <v>345.7321</v>
      </c>
      <c r="P216" s="2">
        <f t="shared" si="64"/>
        <v>8.1669</v>
      </c>
      <c r="Q216" s="1">
        <v>61.917879999999997</v>
      </c>
      <c r="R216" s="3">
        <f t="shared" ref="R216:R250" si="65">O216*Q216</f>
        <v>21406.998679947999</v>
      </c>
      <c r="S216" s="3">
        <f t="shared" ref="S216:S250" si="66">P216*Q216</f>
        <v>505.67713417199997</v>
      </c>
      <c r="T216" s="4">
        <f t="shared" si="63"/>
        <v>2.3622047244094488E-2</v>
      </c>
    </row>
    <row r="217" spans="1:20" x14ac:dyDescent="0.25">
      <c r="A217" s="1">
        <v>213</v>
      </c>
      <c r="B217" s="1" t="s">
        <v>583</v>
      </c>
      <c r="C217" s="1" t="s">
        <v>581</v>
      </c>
      <c r="D217" s="1" t="s">
        <v>15</v>
      </c>
      <c r="E217" s="1" t="s">
        <v>358</v>
      </c>
      <c r="F217" s="1" t="s">
        <v>215</v>
      </c>
      <c r="G217" s="1" t="s">
        <v>216</v>
      </c>
      <c r="H217" s="1" t="s">
        <v>217</v>
      </c>
      <c r="I217" s="1" t="s">
        <v>23</v>
      </c>
      <c r="J217" s="1">
        <v>122</v>
      </c>
      <c r="K217" s="1" t="s">
        <v>23</v>
      </c>
      <c r="L217" s="1">
        <v>112</v>
      </c>
      <c r="M217" s="1">
        <v>6</v>
      </c>
      <c r="N217" s="2">
        <v>1</v>
      </c>
      <c r="O217" s="2">
        <f t="shared" si="59"/>
        <v>672</v>
      </c>
      <c r="P217" s="2">
        <f t="shared" si="64"/>
        <v>60</v>
      </c>
      <c r="Q217" s="1">
        <v>61.917879999999997</v>
      </c>
      <c r="R217" s="3">
        <f t="shared" si="65"/>
        <v>41608.815360000001</v>
      </c>
      <c r="S217" s="3">
        <f t="shared" si="66"/>
        <v>3715.0727999999999</v>
      </c>
      <c r="T217" s="4">
        <f t="shared" si="63"/>
        <v>8.9285714285714288E-2</v>
      </c>
    </row>
    <row r="218" spans="1:20" x14ac:dyDescent="0.25">
      <c r="A218" s="1">
        <v>214</v>
      </c>
      <c r="B218" s="18" t="s">
        <v>584</v>
      </c>
      <c r="C218" s="18" t="s">
        <v>581</v>
      </c>
      <c r="D218" s="18" t="s">
        <v>15</v>
      </c>
      <c r="E218" s="18" t="s">
        <v>35</v>
      </c>
      <c r="F218" s="18" t="s">
        <v>463</v>
      </c>
      <c r="G218" s="18" t="s">
        <v>464</v>
      </c>
      <c r="H218" s="18" t="s">
        <v>373</v>
      </c>
      <c r="I218" s="18" t="s">
        <v>23</v>
      </c>
      <c r="J218" s="18">
        <v>259</v>
      </c>
      <c r="K218" s="18" t="s">
        <v>23</v>
      </c>
      <c r="L218" s="18">
        <v>230</v>
      </c>
      <c r="M218" s="18">
        <v>2</v>
      </c>
      <c r="N218" s="20">
        <v>1</v>
      </c>
      <c r="O218" s="20">
        <f t="shared" si="59"/>
        <v>460</v>
      </c>
      <c r="P218" s="20">
        <f t="shared" si="64"/>
        <v>58</v>
      </c>
      <c r="Q218" s="18">
        <v>61.917879999999997</v>
      </c>
      <c r="R218" s="21">
        <f t="shared" si="65"/>
        <v>28482.2248</v>
      </c>
      <c r="S218" s="21">
        <f t="shared" si="66"/>
        <v>3591.23704</v>
      </c>
      <c r="T218" s="22">
        <f t="shared" si="63"/>
        <v>0.12608695652173912</v>
      </c>
    </row>
    <row r="219" spans="1:20" x14ac:dyDescent="0.25">
      <c r="A219" s="1">
        <v>215</v>
      </c>
      <c r="B219" s="1" t="s">
        <v>585</v>
      </c>
      <c r="C219" s="1" t="s">
        <v>581</v>
      </c>
      <c r="D219" s="1" t="s">
        <v>586</v>
      </c>
      <c r="E219" s="1" t="s">
        <v>587</v>
      </c>
      <c r="F219" s="1" t="s">
        <v>588</v>
      </c>
      <c r="G219" s="1" t="s">
        <v>589</v>
      </c>
      <c r="H219" s="1" t="s">
        <v>323</v>
      </c>
      <c r="I219" s="1" t="s">
        <v>324</v>
      </c>
      <c r="J219" s="1">
        <v>187</v>
      </c>
      <c r="K219" s="1" t="s">
        <v>324</v>
      </c>
      <c r="L219" s="1">
        <v>177</v>
      </c>
      <c r="M219" s="1">
        <v>21</v>
      </c>
      <c r="N219" s="2">
        <v>0.89876</v>
      </c>
      <c r="O219" s="2">
        <f t="shared" si="59"/>
        <v>3340.69092</v>
      </c>
      <c r="P219" s="2">
        <f t="shared" si="64"/>
        <v>188.7396</v>
      </c>
      <c r="Q219" s="1">
        <v>61.917879999999997</v>
      </c>
      <c r="R219" s="3">
        <f t="shared" si="65"/>
        <v>206848.49950164958</v>
      </c>
      <c r="S219" s="3">
        <f t="shared" si="66"/>
        <v>11686.355904048</v>
      </c>
      <c r="T219" s="4">
        <f t="shared" si="63"/>
        <v>5.6497175141242938E-2</v>
      </c>
    </row>
    <row r="220" spans="1:20" x14ac:dyDescent="0.25">
      <c r="A220" s="1">
        <v>216</v>
      </c>
      <c r="B220" s="1" t="s">
        <v>590</v>
      </c>
      <c r="C220" s="1" t="s">
        <v>591</v>
      </c>
      <c r="D220" s="1" t="s">
        <v>15</v>
      </c>
      <c r="E220" s="1" t="s">
        <v>592</v>
      </c>
      <c r="F220" s="1" t="s">
        <v>593</v>
      </c>
      <c r="G220" s="1" t="s">
        <v>594</v>
      </c>
      <c r="H220" s="1" t="s">
        <v>373</v>
      </c>
      <c r="I220" s="1" t="s">
        <v>23</v>
      </c>
      <c r="J220" s="1">
        <v>271</v>
      </c>
      <c r="K220" s="1" t="s">
        <v>23</v>
      </c>
      <c r="L220" s="1">
        <v>261</v>
      </c>
      <c r="M220" s="1">
        <v>1</v>
      </c>
      <c r="N220" s="2">
        <v>1</v>
      </c>
      <c r="O220" s="2">
        <f t="shared" si="59"/>
        <v>261</v>
      </c>
      <c r="P220" s="2">
        <f t="shared" si="64"/>
        <v>10</v>
      </c>
      <c r="Q220" s="1">
        <v>61.917879999999997</v>
      </c>
      <c r="R220" s="3">
        <f t="shared" si="65"/>
        <v>16160.56668</v>
      </c>
      <c r="S220" s="3">
        <f t="shared" si="66"/>
        <v>619.17879999999991</v>
      </c>
      <c r="T220" s="4">
        <f t="shared" si="63"/>
        <v>3.8314176245210725E-2</v>
      </c>
    </row>
    <row r="221" spans="1:20" x14ac:dyDescent="0.25">
      <c r="A221" s="1">
        <v>217</v>
      </c>
      <c r="B221" s="1" t="s">
        <v>595</v>
      </c>
      <c r="C221" s="1" t="s">
        <v>596</v>
      </c>
      <c r="D221" s="1" t="s">
        <v>15</v>
      </c>
      <c r="E221" s="1" t="s">
        <v>16</v>
      </c>
      <c r="F221" s="1" t="s">
        <v>597</v>
      </c>
      <c r="G221" s="1" t="s">
        <v>30</v>
      </c>
      <c r="H221" s="1" t="s">
        <v>31</v>
      </c>
      <c r="I221" s="1" t="s">
        <v>32</v>
      </c>
      <c r="J221" s="1">
        <v>122</v>
      </c>
      <c r="K221" s="1" t="s">
        <v>32</v>
      </c>
      <c r="L221" s="1">
        <v>112</v>
      </c>
      <c r="M221" s="1">
        <v>2</v>
      </c>
      <c r="N221" s="2">
        <v>1.3611500000000001</v>
      </c>
      <c r="O221" s="2">
        <f t="shared" si="59"/>
        <v>304.89760000000001</v>
      </c>
      <c r="P221" s="2">
        <f t="shared" si="64"/>
        <v>27.223000000000003</v>
      </c>
      <c r="Q221" s="1">
        <v>61.917879999999997</v>
      </c>
      <c r="R221" s="3">
        <f t="shared" si="65"/>
        <v>18878.613009088</v>
      </c>
      <c r="S221" s="3">
        <f t="shared" si="66"/>
        <v>1685.59044724</v>
      </c>
      <c r="T221" s="4">
        <f t="shared" si="63"/>
        <v>8.9285714285714288E-2</v>
      </c>
    </row>
    <row r="222" spans="1:20" x14ac:dyDescent="0.25">
      <c r="A222" s="1">
        <v>218</v>
      </c>
      <c r="B222" s="1" t="s">
        <v>598</v>
      </c>
      <c r="C222" s="1" t="s">
        <v>599</v>
      </c>
      <c r="D222" s="1" t="s">
        <v>15</v>
      </c>
      <c r="E222" s="1" t="s">
        <v>343</v>
      </c>
      <c r="F222" s="1" t="s">
        <v>600</v>
      </c>
      <c r="G222" s="1" t="s">
        <v>601</v>
      </c>
      <c r="H222" s="1" t="s">
        <v>31</v>
      </c>
      <c r="I222" s="1" t="s">
        <v>32</v>
      </c>
      <c r="J222" s="1">
        <v>155</v>
      </c>
      <c r="K222" s="1" t="s">
        <v>32</v>
      </c>
      <c r="L222" s="1">
        <v>135</v>
      </c>
      <c r="M222" s="1">
        <v>1</v>
      </c>
      <c r="N222" s="2">
        <v>1.3611500000000001</v>
      </c>
      <c r="O222" s="2">
        <f t="shared" si="59"/>
        <v>183.75525000000002</v>
      </c>
      <c r="P222" s="2">
        <f t="shared" si="64"/>
        <v>27.223000000000003</v>
      </c>
      <c r="Q222" s="1">
        <v>61.917879999999997</v>
      </c>
      <c r="R222" s="3">
        <f t="shared" si="65"/>
        <v>11377.73551887</v>
      </c>
      <c r="S222" s="3">
        <f t="shared" si="66"/>
        <v>1685.59044724</v>
      </c>
      <c r="T222" s="4">
        <f t="shared" si="63"/>
        <v>0.14814814814814814</v>
      </c>
    </row>
    <row r="223" spans="1:20" x14ac:dyDescent="0.25">
      <c r="A223" s="1">
        <v>219</v>
      </c>
      <c r="B223" s="1" t="s">
        <v>602</v>
      </c>
      <c r="C223" s="1" t="s">
        <v>599</v>
      </c>
      <c r="D223" s="1" t="s">
        <v>15</v>
      </c>
      <c r="E223" s="1" t="s">
        <v>343</v>
      </c>
      <c r="F223" s="1" t="s">
        <v>603</v>
      </c>
      <c r="G223" s="1" t="s">
        <v>604</v>
      </c>
      <c r="H223" s="1" t="s">
        <v>158</v>
      </c>
      <c r="I223" s="1" t="s">
        <v>32</v>
      </c>
      <c r="J223" s="1">
        <v>114</v>
      </c>
      <c r="K223" s="1" t="s">
        <v>32</v>
      </c>
      <c r="L223" s="1">
        <v>94</v>
      </c>
      <c r="M223" s="1">
        <v>1</v>
      </c>
      <c r="N223" s="2">
        <v>1.3611500000000001</v>
      </c>
      <c r="O223" s="2">
        <f t="shared" si="59"/>
        <v>127.94810000000001</v>
      </c>
      <c r="P223" s="2">
        <f t="shared" si="64"/>
        <v>27.223000000000003</v>
      </c>
      <c r="Q223" s="1">
        <v>61.917879999999997</v>
      </c>
      <c r="R223" s="3">
        <f t="shared" si="65"/>
        <v>7922.2751020280002</v>
      </c>
      <c r="S223" s="3">
        <f t="shared" si="66"/>
        <v>1685.59044724</v>
      </c>
      <c r="T223" s="4">
        <f t="shared" si="63"/>
        <v>0.21276595744680851</v>
      </c>
    </row>
    <row r="224" spans="1:20" x14ac:dyDescent="0.25">
      <c r="A224" s="1">
        <v>220</v>
      </c>
      <c r="B224" s="1" t="s">
        <v>605</v>
      </c>
      <c r="C224" s="1" t="s">
        <v>599</v>
      </c>
      <c r="D224" s="1" t="s">
        <v>15</v>
      </c>
      <c r="E224" s="1" t="s">
        <v>343</v>
      </c>
      <c r="F224" s="1" t="s">
        <v>606</v>
      </c>
      <c r="G224" s="1" t="s">
        <v>76</v>
      </c>
      <c r="H224" s="1" t="s">
        <v>77</v>
      </c>
      <c r="I224" s="1" t="s">
        <v>32</v>
      </c>
      <c r="J224" s="1">
        <v>170</v>
      </c>
      <c r="K224" s="1" t="s">
        <v>32</v>
      </c>
      <c r="L224" s="1">
        <v>155</v>
      </c>
      <c r="M224" s="1">
        <v>1</v>
      </c>
      <c r="N224" s="2">
        <v>1.3611500000000001</v>
      </c>
      <c r="O224" s="2">
        <f t="shared" si="59"/>
        <v>210.97825</v>
      </c>
      <c r="P224" s="2">
        <f t="shared" si="64"/>
        <v>20.417250000000003</v>
      </c>
      <c r="Q224" s="1">
        <v>61.917879999999997</v>
      </c>
      <c r="R224" s="3">
        <f t="shared" si="65"/>
        <v>13063.32596611</v>
      </c>
      <c r="S224" s="3">
        <f t="shared" si="66"/>
        <v>1264.1928354300001</v>
      </c>
      <c r="T224" s="4">
        <f t="shared" si="63"/>
        <v>9.6774193548387094E-2</v>
      </c>
    </row>
    <row r="225" spans="1:20" x14ac:dyDescent="0.25">
      <c r="A225" s="1">
        <v>221</v>
      </c>
      <c r="B225" s="1" t="s">
        <v>607</v>
      </c>
      <c r="C225" s="1" t="s">
        <v>599</v>
      </c>
      <c r="D225" s="1" t="s">
        <v>15</v>
      </c>
      <c r="E225" s="1" t="s">
        <v>343</v>
      </c>
      <c r="F225" s="1" t="s">
        <v>600</v>
      </c>
      <c r="G225" s="1" t="s">
        <v>601</v>
      </c>
      <c r="H225" s="1" t="s">
        <v>31</v>
      </c>
      <c r="I225" s="1" t="s">
        <v>32</v>
      </c>
      <c r="J225" s="1">
        <v>106</v>
      </c>
      <c r="K225" s="1" t="s">
        <v>32</v>
      </c>
      <c r="L225" s="1">
        <v>96</v>
      </c>
      <c r="M225" s="1">
        <v>1</v>
      </c>
      <c r="N225" s="2">
        <v>1.3611500000000001</v>
      </c>
      <c r="O225" s="2">
        <f t="shared" si="59"/>
        <v>130.6704</v>
      </c>
      <c r="P225" s="2">
        <f t="shared" si="64"/>
        <v>13.611500000000001</v>
      </c>
      <c r="Q225" s="1">
        <v>61.917879999999997</v>
      </c>
      <c r="R225" s="3">
        <f t="shared" si="65"/>
        <v>8090.8341467519995</v>
      </c>
      <c r="S225" s="3">
        <f t="shared" si="66"/>
        <v>842.79522362</v>
      </c>
      <c r="T225" s="4">
        <f t="shared" si="63"/>
        <v>0.10416666666666667</v>
      </c>
    </row>
    <row r="226" spans="1:20" x14ac:dyDescent="0.25">
      <c r="A226" s="1">
        <v>222</v>
      </c>
      <c r="B226" s="1" t="s">
        <v>608</v>
      </c>
      <c r="C226" s="1" t="s">
        <v>609</v>
      </c>
      <c r="D226" s="1" t="s">
        <v>15</v>
      </c>
      <c r="E226" s="1" t="s">
        <v>610</v>
      </c>
      <c r="F226" s="1" t="s">
        <v>606</v>
      </c>
      <c r="G226" s="1" t="s">
        <v>76</v>
      </c>
      <c r="H226" s="1" t="s">
        <v>77</v>
      </c>
      <c r="I226" s="1" t="s">
        <v>32</v>
      </c>
      <c r="J226" s="1">
        <v>233</v>
      </c>
      <c r="K226" s="1" t="s">
        <v>32</v>
      </c>
      <c r="L226" s="1">
        <v>223</v>
      </c>
      <c r="M226" s="1">
        <v>1</v>
      </c>
      <c r="N226" s="2">
        <v>1.3611500000000001</v>
      </c>
      <c r="O226" s="2">
        <f t="shared" si="59"/>
        <v>303.53645</v>
      </c>
      <c r="P226" s="2">
        <f t="shared" si="64"/>
        <v>13.611500000000001</v>
      </c>
      <c r="Q226" s="1">
        <v>61.917879999999997</v>
      </c>
      <c r="R226" s="3">
        <f t="shared" si="65"/>
        <v>18794.333486725998</v>
      </c>
      <c r="S226" s="3">
        <f t="shared" si="66"/>
        <v>842.79522362</v>
      </c>
      <c r="T226" s="4">
        <f t="shared" si="63"/>
        <v>4.4843049327354265E-2</v>
      </c>
    </row>
    <row r="227" spans="1:20" x14ac:dyDescent="0.25">
      <c r="A227" s="1">
        <v>223</v>
      </c>
      <c r="B227" s="1" t="s">
        <v>611</v>
      </c>
      <c r="C227" s="1" t="s">
        <v>612</v>
      </c>
      <c r="D227" s="1" t="s">
        <v>15</v>
      </c>
      <c r="E227" s="1" t="s">
        <v>477</v>
      </c>
      <c r="F227" s="1" t="s">
        <v>306</v>
      </c>
      <c r="G227" s="1" t="s">
        <v>54</v>
      </c>
      <c r="H227" s="1" t="s">
        <v>54</v>
      </c>
      <c r="I227" s="1" t="s">
        <v>119</v>
      </c>
      <c r="J227" s="1">
        <v>167</v>
      </c>
      <c r="K227" s="1" t="s">
        <v>119</v>
      </c>
      <c r="L227" s="1">
        <v>157</v>
      </c>
      <c r="M227" s="1">
        <v>2</v>
      </c>
      <c r="N227" s="2">
        <v>0.80032000000000003</v>
      </c>
      <c r="O227" s="2">
        <f t="shared" si="59"/>
        <v>251.30048000000002</v>
      </c>
      <c r="P227" s="2">
        <f t="shared" si="64"/>
        <v>16.006399999999999</v>
      </c>
      <c r="Q227" s="1">
        <v>61.917879999999997</v>
      </c>
      <c r="R227" s="3">
        <f t="shared" si="65"/>
        <v>15559.992964582401</v>
      </c>
      <c r="S227" s="3">
        <f t="shared" si="66"/>
        <v>991.08235443199987</v>
      </c>
      <c r="T227" s="4">
        <f t="shared" si="63"/>
        <v>6.3694267515923553E-2</v>
      </c>
    </row>
    <row r="228" spans="1:20" x14ac:dyDescent="0.25">
      <c r="A228" s="1">
        <v>224</v>
      </c>
      <c r="B228" s="1" t="s">
        <v>613</v>
      </c>
      <c r="C228" s="1" t="s">
        <v>614</v>
      </c>
      <c r="D228" s="1" t="s">
        <v>25</v>
      </c>
      <c r="E228" s="1" t="s">
        <v>280</v>
      </c>
      <c r="F228" s="1" t="s">
        <v>615</v>
      </c>
      <c r="G228" s="1" t="s">
        <v>21</v>
      </c>
      <c r="H228" s="1" t="s">
        <v>22</v>
      </c>
      <c r="I228" s="1" t="s">
        <v>23</v>
      </c>
      <c r="J228" s="1">
        <v>175</v>
      </c>
      <c r="K228" s="1" t="s">
        <v>23</v>
      </c>
      <c r="L228" s="1">
        <v>161</v>
      </c>
      <c r="M228" s="1">
        <v>2</v>
      </c>
      <c r="N228" s="2">
        <v>1</v>
      </c>
      <c r="O228" s="2">
        <f t="shared" si="59"/>
        <v>322</v>
      </c>
      <c r="P228" s="2">
        <f t="shared" si="64"/>
        <v>28</v>
      </c>
      <c r="Q228" s="1">
        <v>61.917879999999997</v>
      </c>
      <c r="R228" s="3">
        <f t="shared" si="65"/>
        <v>19937.557359999999</v>
      </c>
      <c r="S228" s="3">
        <f t="shared" si="66"/>
        <v>1733.70064</v>
      </c>
      <c r="T228" s="4">
        <f t="shared" si="63"/>
        <v>8.6956521739130446E-2</v>
      </c>
    </row>
    <row r="229" spans="1:20" x14ac:dyDescent="0.25">
      <c r="A229" s="1">
        <v>225</v>
      </c>
      <c r="B229" s="1" t="s">
        <v>616</v>
      </c>
      <c r="C229" s="1" t="s">
        <v>617</v>
      </c>
      <c r="D229" s="1" t="s">
        <v>15</v>
      </c>
      <c r="E229" s="1" t="s">
        <v>38</v>
      </c>
      <c r="F229" s="1" t="s">
        <v>615</v>
      </c>
      <c r="G229" s="1" t="s">
        <v>21</v>
      </c>
      <c r="H229" s="1" t="s">
        <v>22</v>
      </c>
      <c r="I229" s="1" t="s">
        <v>23</v>
      </c>
      <c r="J229" s="1">
        <v>175</v>
      </c>
      <c r="K229" s="1" t="s">
        <v>23</v>
      </c>
      <c r="L229" s="1">
        <v>165</v>
      </c>
      <c r="M229" s="1">
        <v>1</v>
      </c>
      <c r="N229" s="2">
        <v>1</v>
      </c>
      <c r="O229" s="2">
        <f t="shared" si="59"/>
        <v>165</v>
      </c>
      <c r="P229" s="2">
        <f t="shared" si="64"/>
        <v>10</v>
      </c>
      <c r="Q229" s="1">
        <v>61.917879999999997</v>
      </c>
      <c r="R229" s="3">
        <f t="shared" si="65"/>
        <v>10216.450199999999</v>
      </c>
      <c r="S229" s="3">
        <f t="shared" si="66"/>
        <v>619.17879999999991</v>
      </c>
      <c r="T229" s="4">
        <f t="shared" si="63"/>
        <v>6.0606060606060601E-2</v>
      </c>
    </row>
    <row r="230" spans="1:20" x14ac:dyDescent="0.25">
      <c r="A230" s="1">
        <v>226</v>
      </c>
      <c r="B230" s="1" t="s">
        <v>618</v>
      </c>
      <c r="C230" s="1" t="s">
        <v>617</v>
      </c>
      <c r="D230" s="1" t="s">
        <v>25</v>
      </c>
      <c r="E230" s="1" t="s">
        <v>183</v>
      </c>
      <c r="F230" s="1" t="s">
        <v>619</v>
      </c>
      <c r="G230" s="1" t="s">
        <v>104</v>
      </c>
      <c r="H230" s="1" t="s">
        <v>105</v>
      </c>
      <c r="I230" s="1" t="s">
        <v>32</v>
      </c>
      <c r="J230" s="1">
        <v>179</v>
      </c>
      <c r="K230" s="1" t="s">
        <v>32</v>
      </c>
      <c r="L230" s="1">
        <v>145</v>
      </c>
      <c r="M230" s="1">
        <v>2</v>
      </c>
      <c r="N230" s="2">
        <v>1.3611500000000001</v>
      </c>
      <c r="O230" s="2">
        <f t="shared" si="59"/>
        <v>394.73350000000005</v>
      </c>
      <c r="P230" s="2">
        <f t="shared" si="64"/>
        <v>92.558199999999999</v>
      </c>
      <c r="Q230" s="1">
        <v>61.917879999999997</v>
      </c>
      <c r="R230" s="3">
        <f t="shared" si="65"/>
        <v>24441.06148498</v>
      </c>
      <c r="S230" s="3">
        <f t="shared" si="66"/>
        <v>5731.007520616</v>
      </c>
      <c r="T230" s="4">
        <f t="shared" si="63"/>
        <v>0.23448275862068965</v>
      </c>
    </row>
    <row r="231" spans="1:20" x14ac:dyDescent="0.25">
      <c r="A231" s="1">
        <v>227</v>
      </c>
      <c r="B231" s="1" t="s">
        <v>620</v>
      </c>
      <c r="C231" s="1" t="s">
        <v>617</v>
      </c>
      <c r="D231" s="1" t="s">
        <v>25</v>
      </c>
      <c r="E231" s="1" t="s">
        <v>183</v>
      </c>
      <c r="F231" s="1" t="s">
        <v>621</v>
      </c>
      <c r="G231" s="1" t="s">
        <v>95</v>
      </c>
      <c r="H231" s="1" t="s">
        <v>83</v>
      </c>
      <c r="I231" s="1" t="s">
        <v>32</v>
      </c>
      <c r="J231" s="1">
        <v>189</v>
      </c>
      <c r="K231" s="1" t="s">
        <v>32</v>
      </c>
      <c r="L231" s="1">
        <v>169</v>
      </c>
      <c r="M231" s="1">
        <v>2</v>
      </c>
      <c r="N231" s="2">
        <v>1.3611500000000001</v>
      </c>
      <c r="O231" s="2">
        <f t="shared" si="59"/>
        <v>460.06870000000004</v>
      </c>
      <c r="P231" s="2">
        <f t="shared" si="64"/>
        <v>54.446000000000005</v>
      </c>
      <c r="Q231" s="1">
        <v>61.917879999999997</v>
      </c>
      <c r="R231" s="3">
        <f t="shared" si="65"/>
        <v>28486.478558356001</v>
      </c>
      <c r="S231" s="3">
        <f t="shared" si="66"/>
        <v>3371.18089448</v>
      </c>
      <c r="T231" s="4">
        <f t="shared" si="63"/>
        <v>0.11834319526627218</v>
      </c>
    </row>
    <row r="232" spans="1:20" x14ac:dyDescent="0.25">
      <c r="A232" s="1">
        <v>228</v>
      </c>
      <c r="B232" s="1" t="s">
        <v>622</v>
      </c>
      <c r="C232" s="1" t="s">
        <v>617</v>
      </c>
      <c r="D232" s="1" t="s">
        <v>25</v>
      </c>
      <c r="E232" s="1" t="s">
        <v>183</v>
      </c>
      <c r="F232" s="1" t="s">
        <v>201</v>
      </c>
      <c r="G232" s="1" t="s">
        <v>202</v>
      </c>
      <c r="H232" s="1" t="s">
        <v>140</v>
      </c>
      <c r="I232" s="1" t="s">
        <v>141</v>
      </c>
      <c r="J232" s="1">
        <v>115</v>
      </c>
      <c r="K232" s="1" t="s">
        <v>141</v>
      </c>
      <c r="L232" s="1">
        <v>84</v>
      </c>
      <c r="M232" s="1">
        <v>1</v>
      </c>
      <c r="N232" s="2">
        <v>1.6189100000000001</v>
      </c>
      <c r="O232" s="2">
        <f t="shared" si="59"/>
        <v>135.98844</v>
      </c>
      <c r="P232" s="2">
        <f t="shared" si="64"/>
        <v>50.186210000000003</v>
      </c>
      <c r="Q232" s="1">
        <v>61.917879999999997</v>
      </c>
      <c r="R232" s="3">
        <f t="shared" si="65"/>
        <v>8420.1159093072001</v>
      </c>
      <c r="S232" s="3">
        <f t="shared" si="66"/>
        <v>3107.4237284348001</v>
      </c>
      <c r="T232" s="4">
        <f t="shared" si="63"/>
        <v>0.36904761904761907</v>
      </c>
    </row>
    <row r="233" spans="1:20" x14ac:dyDescent="0.25">
      <c r="A233" s="1">
        <v>229</v>
      </c>
      <c r="B233" s="1" t="s">
        <v>623</v>
      </c>
      <c r="C233" s="1" t="s">
        <v>624</v>
      </c>
      <c r="D233" s="1" t="s">
        <v>25</v>
      </c>
      <c r="E233" s="1" t="s">
        <v>26</v>
      </c>
      <c r="F233" s="1" t="s">
        <v>520</v>
      </c>
      <c r="G233" s="1" t="s">
        <v>521</v>
      </c>
      <c r="H233" s="1" t="s">
        <v>117</v>
      </c>
      <c r="I233" s="1" t="s">
        <v>23</v>
      </c>
      <c r="J233" s="1">
        <v>140</v>
      </c>
      <c r="K233" s="1" t="s">
        <v>23</v>
      </c>
      <c r="L233" s="1">
        <v>130</v>
      </c>
      <c r="M233" s="1">
        <v>2</v>
      </c>
      <c r="N233" s="2">
        <v>1</v>
      </c>
      <c r="O233" s="2">
        <f t="shared" si="59"/>
        <v>260</v>
      </c>
      <c r="P233" s="2">
        <f t="shared" si="64"/>
        <v>20</v>
      </c>
      <c r="Q233" s="1">
        <v>61.917879999999997</v>
      </c>
      <c r="R233" s="3">
        <f t="shared" si="65"/>
        <v>16098.648799999999</v>
      </c>
      <c r="S233" s="3">
        <f t="shared" si="66"/>
        <v>1238.3575999999998</v>
      </c>
      <c r="T233" s="4">
        <f t="shared" si="63"/>
        <v>7.6923076923076913E-2</v>
      </c>
    </row>
    <row r="234" spans="1:20" x14ac:dyDescent="0.25">
      <c r="A234" s="1">
        <v>230</v>
      </c>
      <c r="B234" s="1" t="s">
        <v>625</v>
      </c>
      <c r="C234" s="1" t="s">
        <v>626</v>
      </c>
      <c r="D234" s="1" t="s">
        <v>15</v>
      </c>
      <c r="E234" s="1" t="s">
        <v>380</v>
      </c>
      <c r="F234" s="1" t="s">
        <v>627</v>
      </c>
      <c r="G234" s="1" t="s">
        <v>628</v>
      </c>
      <c r="H234" s="1" t="s">
        <v>50</v>
      </c>
      <c r="I234" s="1" t="s">
        <v>23</v>
      </c>
      <c r="J234" s="1">
        <v>131</v>
      </c>
      <c r="K234" s="1" t="s">
        <v>23</v>
      </c>
      <c r="L234" s="1">
        <v>121</v>
      </c>
      <c r="M234" s="1">
        <v>2</v>
      </c>
      <c r="N234" s="2">
        <v>1</v>
      </c>
      <c r="O234" s="2">
        <f t="shared" si="59"/>
        <v>242</v>
      </c>
      <c r="P234" s="2">
        <f t="shared" si="64"/>
        <v>20</v>
      </c>
      <c r="Q234" s="1">
        <v>61.917879999999997</v>
      </c>
      <c r="R234" s="3">
        <f t="shared" si="65"/>
        <v>14984.12696</v>
      </c>
      <c r="S234" s="3">
        <f t="shared" si="66"/>
        <v>1238.3575999999998</v>
      </c>
      <c r="T234" s="4">
        <f t="shared" si="63"/>
        <v>8.2644628099173542E-2</v>
      </c>
    </row>
    <row r="235" spans="1:20" x14ac:dyDescent="0.25">
      <c r="A235" s="1">
        <v>231</v>
      </c>
      <c r="B235" s="1" t="s">
        <v>629</v>
      </c>
      <c r="C235" s="1" t="s">
        <v>626</v>
      </c>
      <c r="D235" s="1" t="s">
        <v>15</v>
      </c>
      <c r="E235" s="1" t="s">
        <v>380</v>
      </c>
      <c r="F235" s="1" t="s">
        <v>630</v>
      </c>
      <c r="G235" s="1" t="s">
        <v>58</v>
      </c>
      <c r="H235" s="1" t="s">
        <v>50</v>
      </c>
      <c r="I235" s="1" t="s">
        <v>23</v>
      </c>
      <c r="J235" s="1">
        <v>105</v>
      </c>
      <c r="K235" s="1" t="s">
        <v>23</v>
      </c>
      <c r="L235" s="1">
        <v>95</v>
      </c>
      <c r="M235" s="1">
        <v>4</v>
      </c>
      <c r="N235" s="2">
        <v>1</v>
      </c>
      <c r="O235" s="2">
        <f t="shared" si="59"/>
        <v>380</v>
      </c>
      <c r="P235" s="2">
        <f t="shared" si="64"/>
        <v>40</v>
      </c>
      <c r="Q235" s="1">
        <v>61.917879999999997</v>
      </c>
      <c r="R235" s="3">
        <f t="shared" si="65"/>
        <v>23528.794399999999</v>
      </c>
      <c r="S235" s="3">
        <f t="shared" si="66"/>
        <v>2476.7151999999996</v>
      </c>
      <c r="T235" s="4">
        <f t="shared" si="63"/>
        <v>0.10526315789473684</v>
      </c>
    </row>
    <row r="236" spans="1:20" x14ac:dyDescent="0.25">
      <c r="A236" s="1">
        <v>232</v>
      </c>
      <c r="B236" s="1" t="s">
        <v>631</v>
      </c>
      <c r="C236" s="1" t="s">
        <v>626</v>
      </c>
      <c r="D236" s="1" t="s">
        <v>15</v>
      </c>
      <c r="E236" s="1" t="s">
        <v>380</v>
      </c>
      <c r="F236" s="1" t="s">
        <v>630</v>
      </c>
      <c r="G236" s="1" t="s">
        <v>58</v>
      </c>
      <c r="H236" s="1" t="s">
        <v>50</v>
      </c>
      <c r="I236" s="1" t="s">
        <v>23</v>
      </c>
      <c r="J236" s="1">
        <v>104</v>
      </c>
      <c r="K236" s="1" t="s">
        <v>23</v>
      </c>
      <c r="L236" s="1">
        <v>94</v>
      </c>
      <c r="M236" s="1">
        <v>2</v>
      </c>
      <c r="N236" s="2">
        <v>1</v>
      </c>
      <c r="O236" s="2">
        <f t="shared" si="59"/>
        <v>188</v>
      </c>
      <c r="P236" s="2">
        <f t="shared" si="64"/>
        <v>20</v>
      </c>
      <c r="Q236" s="1">
        <v>61.917879999999997</v>
      </c>
      <c r="R236" s="3">
        <f t="shared" si="65"/>
        <v>11640.561439999999</v>
      </c>
      <c r="S236" s="3">
        <f t="shared" si="66"/>
        <v>1238.3575999999998</v>
      </c>
      <c r="T236" s="4">
        <f t="shared" si="63"/>
        <v>0.10638297872340424</v>
      </c>
    </row>
    <row r="237" spans="1:20" x14ac:dyDescent="0.25">
      <c r="A237" s="1">
        <v>233</v>
      </c>
      <c r="B237" s="1" t="s">
        <v>632</v>
      </c>
      <c r="C237" s="1" t="s">
        <v>633</v>
      </c>
      <c r="D237" s="1" t="s">
        <v>586</v>
      </c>
      <c r="E237" s="1" t="s">
        <v>219</v>
      </c>
      <c r="F237" s="1" t="s">
        <v>634</v>
      </c>
      <c r="G237" s="1" t="s">
        <v>635</v>
      </c>
      <c r="H237" s="1" t="s">
        <v>636</v>
      </c>
      <c r="I237" s="1" t="s">
        <v>23</v>
      </c>
      <c r="J237" s="1">
        <v>139</v>
      </c>
      <c r="K237" s="1" t="s">
        <v>23</v>
      </c>
      <c r="L237" s="1">
        <v>129</v>
      </c>
      <c r="M237" s="1">
        <v>1</v>
      </c>
      <c r="N237" s="2">
        <v>1</v>
      </c>
      <c r="O237" s="2">
        <f t="shared" si="59"/>
        <v>129</v>
      </c>
      <c r="P237" s="2">
        <f t="shared" si="64"/>
        <v>10</v>
      </c>
      <c r="Q237" s="1">
        <v>61.917879999999997</v>
      </c>
      <c r="R237" s="3">
        <f t="shared" si="65"/>
        <v>7987.4065199999995</v>
      </c>
      <c r="S237" s="3">
        <f t="shared" si="66"/>
        <v>619.17879999999991</v>
      </c>
      <c r="T237" s="4">
        <f t="shared" si="63"/>
        <v>7.7519379844961239E-2</v>
      </c>
    </row>
    <row r="238" spans="1:20" x14ac:dyDescent="0.25">
      <c r="A238" s="1">
        <v>234</v>
      </c>
      <c r="B238" s="18" t="s">
        <v>637</v>
      </c>
      <c r="C238" s="18" t="s">
        <v>633</v>
      </c>
      <c r="D238" s="18" t="s">
        <v>399</v>
      </c>
      <c r="E238" s="18" t="s">
        <v>400</v>
      </c>
      <c r="F238" s="18" t="s">
        <v>401</v>
      </c>
      <c r="G238" s="18" t="s">
        <v>402</v>
      </c>
      <c r="H238" s="18" t="s">
        <v>88</v>
      </c>
      <c r="I238" s="18" t="s">
        <v>89</v>
      </c>
      <c r="J238" s="18">
        <v>7612</v>
      </c>
      <c r="K238" s="18" t="s">
        <v>89</v>
      </c>
      <c r="L238" s="18">
        <v>7602</v>
      </c>
      <c r="M238" s="18">
        <v>1</v>
      </c>
      <c r="N238" s="20">
        <v>1.619E-2</v>
      </c>
      <c r="O238" s="20">
        <f t="shared" si="59"/>
        <v>123.07638</v>
      </c>
      <c r="P238" s="20">
        <f t="shared" si="64"/>
        <v>0.16189999999999999</v>
      </c>
      <c r="Q238" s="18">
        <v>61.917879999999997</v>
      </c>
      <c r="R238" s="21">
        <f t="shared" si="65"/>
        <v>7620.6285276743993</v>
      </c>
      <c r="S238" s="21">
        <f t="shared" si="66"/>
        <v>10.024504771999998</v>
      </c>
      <c r="T238" s="22">
        <f t="shared" si="63"/>
        <v>1.3154433043935806E-3</v>
      </c>
    </row>
    <row r="239" spans="1:20" x14ac:dyDescent="0.25">
      <c r="A239" s="1">
        <v>235</v>
      </c>
      <c r="B239" s="18" t="s">
        <v>638</v>
      </c>
      <c r="C239" s="18" t="s">
        <v>633</v>
      </c>
      <c r="D239" s="18" t="s">
        <v>399</v>
      </c>
      <c r="E239" s="18" t="s">
        <v>404</v>
      </c>
      <c r="F239" s="18" t="s">
        <v>401</v>
      </c>
      <c r="G239" s="18" t="s">
        <v>402</v>
      </c>
      <c r="H239" s="18" t="s">
        <v>88</v>
      </c>
      <c r="I239" s="18" t="s">
        <v>89</v>
      </c>
      <c r="J239" s="18">
        <v>7612</v>
      </c>
      <c r="K239" s="18" t="s">
        <v>89</v>
      </c>
      <c r="L239" s="18">
        <v>7602</v>
      </c>
      <c r="M239" s="18">
        <v>1</v>
      </c>
      <c r="N239" s="20">
        <v>1.619E-2</v>
      </c>
      <c r="O239" s="20">
        <f t="shared" si="59"/>
        <v>123.07638</v>
      </c>
      <c r="P239" s="20">
        <f t="shared" si="64"/>
        <v>0.16189999999999999</v>
      </c>
      <c r="Q239" s="18">
        <v>61.917879999999997</v>
      </c>
      <c r="R239" s="21">
        <f t="shared" si="65"/>
        <v>7620.6285276743993</v>
      </c>
      <c r="S239" s="21">
        <f t="shared" si="66"/>
        <v>10.024504771999998</v>
      </c>
      <c r="T239" s="22">
        <f t="shared" si="63"/>
        <v>1.3154433043935806E-3</v>
      </c>
    </row>
    <row r="240" spans="1:20" x14ac:dyDescent="0.25">
      <c r="A240" s="1">
        <v>236</v>
      </c>
      <c r="B240" s="18" t="s">
        <v>639</v>
      </c>
      <c r="C240" s="18" t="s">
        <v>633</v>
      </c>
      <c r="D240" s="18" t="s">
        <v>399</v>
      </c>
      <c r="E240" s="18" t="s">
        <v>406</v>
      </c>
      <c r="F240" s="18" t="s">
        <v>407</v>
      </c>
      <c r="G240" s="18" t="s">
        <v>408</v>
      </c>
      <c r="H240" s="18" t="s">
        <v>88</v>
      </c>
      <c r="I240" s="18" t="s">
        <v>89</v>
      </c>
      <c r="J240" s="18">
        <v>10510</v>
      </c>
      <c r="K240" s="18" t="s">
        <v>89</v>
      </c>
      <c r="L240" s="18">
        <v>10500</v>
      </c>
      <c r="M240" s="18">
        <v>1</v>
      </c>
      <c r="N240" s="20">
        <v>1.619E-2</v>
      </c>
      <c r="O240" s="20">
        <f t="shared" si="59"/>
        <v>169.995</v>
      </c>
      <c r="P240" s="20">
        <f t="shared" si="64"/>
        <v>0.16189999999999999</v>
      </c>
      <c r="Q240" s="18">
        <v>61.917879999999997</v>
      </c>
      <c r="R240" s="21">
        <f t="shared" si="65"/>
        <v>10525.7300106</v>
      </c>
      <c r="S240" s="21">
        <f t="shared" si="66"/>
        <v>10.024504771999998</v>
      </c>
      <c r="T240" s="22">
        <f t="shared" si="63"/>
        <v>9.5238095238095216E-4</v>
      </c>
    </row>
    <row r="241" spans="1:20" x14ac:dyDescent="0.25">
      <c r="A241" s="1">
        <v>237</v>
      </c>
      <c r="B241" s="18" t="s">
        <v>640</v>
      </c>
      <c r="C241" s="18" t="s">
        <v>633</v>
      </c>
      <c r="D241" s="18" t="s">
        <v>399</v>
      </c>
      <c r="E241" s="18" t="s">
        <v>400</v>
      </c>
      <c r="F241" s="18" t="s">
        <v>407</v>
      </c>
      <c r="G241" s="18" t="s">
        <v>408</v>
      </c>
      <c r="H241" s="18" t="s">
        <v>88</v>
      </c>
      <c r="I241" s="18" t="s">
        <v>89</v>
      </c>
      <c r="J241" s="18">
        <v>10510</v>
      </c>
      <c r="K241" s="18" t="s">
        <v>89</v>
      </c>
      <c r="L241" s="18">
        <v>10500</v>
      </c>
      <c r="M241" s="18">
        <v>1</v>
      </c>
      <c r="N241" s="20">
        <v>1.619E-2</v>
      </c>
      <c r="O241" s="20">
        <f t="shared" si="59"/>
        <v>169.995</v>
      </c>
      <c r="P241" s="20">
        <f t="shared" si="64"/>
        <v>0.16189999999999999</v>
      </c>
      <c r="Q241" s="18">
        <v>61.917879999999997</v>
      </c>
      <c r="R241" s="21">
        <f t="shared" si="65"/>
        <v>10525.7300106</v>
      </c>
      <c r="S241" s="21">
        <f t="shared" si="66"/>
        <v>10.024504771999998</v>
      </c>
      <c r="T241" s="22">
        <f t="shared" si="63"/>
        <v>9.5238095238095216E-4</v>
      </c>
    </row>
    <row r="242" spans="1:20" x14ac:dyDescent="0.25">
      <c r="A242" s="1">
        <v>238</v>
      </c>
      <c r="B242" s="18" t="s">
        <v>641</v>
      </c>
      <c r="C242" s="18" t="s">
        <v>633</v>
      </c>
      <c r="D242" s="18" t="s">
        <v>399</v>
      </c>
      <c r="E242" s="18" t="s">
        <v>406</v>
      </c>
      <c r="F242" s="18" t="s">
        <v>413</v>
      </c>
      <c r="G242" s="18" t="s">
        <v>414</v>
      </c>
      <c r="H242" s="18" t="s">
        <v>88</v>
      </c>
      <c r="I242" s="18" t="s">
        <v>89</v>
      </c>
      <c r="J242" s="18">
        <v>7810</v>
      </c>
      <c r="K242" s="18" t="s">
        <v>89</v>
      </c>
      <c r="L242" s="18">
        <v>7800</v>
      </c>
      <c r="M242" s="18">
        <v>1</v>
      </c>
      <c r="N242" s="20">
        <v>1.619E-2</v>
      </c>
      <c r="O242" s="20">
        <f t="shared" si="59"/>
        <v>126.282</v>
      </c>
      <c r="P242" s="20">
        <f t="shared" si="64"/>
        <v>0.16189999999999999</v>
      </c>
      <c r="Q242" s="18">
        <v>61.917879999999997</v>
      </c>
      <c r="R242" s="21">
        <f t="shared" si="65"/>
        <v>7819.1137221599993</v>
      </c>
      <c r="S242" s="21">
        <f t="shared" si="66"/>
        <v>10.024504771999998</v>
      </c>
      <c r="T242" s="22">
        <f t="shared" si="63"/>
        <v>1.2820512820512821E-3</v>
      </c>
    </row>
    <row r="243" spans="1:20" x14ac:dyDescent="0.25">
      <c r="A243" s="1">
        <v>239</v>
      </c>
      <c r="B243" s="18" t="s">
        <v>642</v>
      </c>
      <c r="C243" s="18" t="s">
        <v>633</v>
      </c>
      <c r="D243" s="18" t="s">
        <v>399</v>
      </c>
      <c r="E243" s="18" t="s">
        <v>400</v>
      </c>
      <c r="F243" s="18" t="s">
        <v>413</v>
      </c>
      <c r="G243" s="18" t="s">
        <v>414</v>
      </c>
      <c r="H243" s="18" t="s">
        <v>88</v>
      </c>
      <c r="I243" s="18" t="s">
        <v>89</v>
      </c>
      <c r="J243" s="18">
        <v>7810</v>
      </c>
      <c r="K243" s="18" t="s">
        <v>89</v>
      </c>
      <c r="L243" s="18">
        <v>7800</v>
      </c>
      <c r="M243" s="18">
        <v>1</v>
      </c>
      <c r="N243" s="20">
        <v>1.619E-2</v>
      </c>
      <c r="O243" s="20">
        <f t="shared" si="59"/>
        <v>126.282</v>
      </c>
      <c r="P243" s="20">
        <f t="shared" si="64"/>
        <v>0.16189999999999999</v>
      </c>
      <c r="Q243" s="18">
        <v>61.917879999999997</v>
      </c>
      <c r="R243" s="21">
        <f t="shared" si="65"/>
        <v>7819.1137221599993</v>
      </c>
      <c r="S243" s="21">
        <f t="shared" si="66"/>
        <v>10.024504771999998</v>
      </c>
      <c r="T243" s="22">
        <f t="shared" si="63"/>
        <v>1.2820512820512821E-3</v>
      </c>
    </row>
    <row r="244" spans="1:20" x14ac:dyDescent="0.25">
      <c r="A244" s="1">
        <v>240</v>
      </c>
      <c r="B244" s="18" t="s">
        <v>643</v>
      </c>
      <c r="C244" s="18" t="s">
        <v>633</v>
      </c>
      <c r="D244" s="18" t="s">
        <v>399</v>
      </c>
      <c r="E244" s="18" t="s">
        <v>404</v>
      </c>
      <c r="F244" s="18" t="s">
        <v>413</v>
      </c>
      <c r="G244" s="18" t="s">
        <v>414</v>
      </c>
      <c r="H244" s="18" t="s">
        <v>88</v>
      </c>
      <c r="I244" s="18" t="s">
        <v>89</v>
      </c>
      <c r="J244" s="18">
        <v>7810</v>
      </c>
      <c r="K244" s="18" t="s">
        <v>89</v>
      </c>
      <c r="L244" s="18">
        <v>7800</v>
      </c>
      <c r="M244" s="18">
        <v>1</v>
      </c>
      <c r="N244" s="20">
        <v>1.619E-2</v>
      </c>
      <c r="O244" s="20">
        <f t="shared" ref="O244:O250" si="67">(L244*M244)*N244</f>
        <v>126.282</v>
      </c>
      <c r="P244" s="20">
        <f t="shared" si="64"/>
        <v>0.16189999999999999</v>
      </c>
      <c r="Q244" s="18">
        <v>61.917879999999997</v>
      </c>
      <c r="R244" s="21">
        <f t="shared" si="65"/>
        <v>7819.1137221599993</v>
      </c>
      <c r="S244" s="21">
        <f t="shared" si="66"/>
        <v>10.024504771999998</v>
      </c>
      <c r="T244" s="22">
        <f t="shared" ref="T244:T250" si="68">S244/R244</f>
        <v>1.2820512820512821E-3</v>
      </c>
    </row>
    <row r="245" spans="1:20" x14ac:dyDescent="0.25">
      <c r="A245" s="1">
        <v>241</v>
      </c>
      <c r="B245" s="1" t="s">
        <v>644</v>
      </c>
      <c r="C245" s="1" t="s">
        <v>633</v>
      </c>
      <c r="D245" s="1" t="s">
        <v>399</v>
      </c>
      <c r="E245" s="1" t="s">
        <v>420</v>
      </c>
      <c r="F245" s="1" t="s">
        <v>421</v>
      </c>
      <c r="G245" s="1" t="s">
        <v>422</v>
      </c>
      <c r="H245" s="1" t="s">
        <v>88</v>
      </c>
      <c r="I245" s="1" t="s">
        <v>89</v>
      </c>
      <c r="J245" s="1">
        <v>10000</v>
      </c>
      <c r="K245" s="1" t="s">
        <v>89</v>
      </c>
      <c r="L245" s="1">
        <v>8453</v>
      </c>
      <c r="M245" s="1">
        <v>3</v>
      </c>
      <c r="N245" s="2">
        <v>1.619E-2</v>
      </c>
      <c r="O245" s="2">
        <f t="shared" si="67"/>
        <v>410.56220999999999</v>
      </c>
      <c r="P245" s="2">
        <f t="shared" si="64"/>
        <v>75.137789999999995</v>
      </c>
      <c r="Q245" s="1">
        <v>61.917879999999997</v>
      </c>
      <c r="R245" s="3">
        <f t="shared" si="65"/>
        <v>25421.1416513148</v>
      </c>
      <c r="S245" s="3">
        <f t="shared" si="66"/>
        <v>4652.3726646851992</v>
      </c>
      <c r="T245" s="4">
        <f t="shared" si="68"/>
        <v>0.18301194842067903</v>
      </c>
    </row>
    <row r="246" spans="1:20" x14ac:dyDescent="0.25">
      <c r="A246" s="1">
        <v>242</v>
      </c>
      <c r="B246" s="1" t="s">
        <v>645</v>
      </c>
      <c r="C246" s="1" t="s">
        <v>633</v>
      </c>
      <c r="D246" s="1" t="s">
        <v>399</v>
      </c>
      <c r="E246" s="1" t="s">
        <v>406</v>
      </c>
      <c r="F246" s="1" t="s">
        <v>421</v>
      </c>
      <c r="G246" s="1" t="s">
        <v>422</v>
      </c>
      <c r="H246" s="1" t="s">
        <v>88</v>
      </c>
      <c r="I246" s="1" t="s">
        <v>89</v>
      </c>
      <c r="J246" s="1">
        <v>10000</v>
      </c>
      <c r="K246" s="1" t="s">
        <v>89</v>
      </c>
      <c r="L246" s="1">
        <v>8453</v>
      </c>
      <c r="M246" s="1">
        <v>3</v>
      </c>
      <c r="N246" s="2">
        <v>1.619E-2</v>
      </c>
      <c r="O246" s="2">
        <f t="shared" si="67"/>
        <v>410.56220999999999</v>
      </c>
      <c r="P246" s="2">
        <f t="shared" si="64"/>
        <v>75.137789999999995</v>
      </c>
      <c r="Q246" s="1">
        <v>61.917879999999997</v>
      </c>
      <c r="R246" s="3">
        <f t="shared" si="65"/>
        <v>25421.1416513148</v>
      </c>
      <c r="S246" s="3">
        <f t="shared" si="66"/>
        <v>4652.3726646851992</v>
      </c>
      <c r="T246" s="4">
        <f t="shared" si="68"/>
        <v>0.18301194842067903</v>
      </c>
    </row>
    <row r="247" spans="1:20" x14ac:dyDescent="0.25">
      <c r="A247" s="1">
        <v>243</v>
      </c>
      <c r="B247" s="1" t="s">
        <v>646</v>
      </c>
      <c r="C247" s="1" t="s">
        <v>633</v>
      </c>
      <c r="D247" s="1" t="s">
        <v>399</v>
      </c>
      <c r="E247" s="1" t="s">
        <v>420</v>
      </c>
      <c r="F247" s="1" t="s">
        <v>425</v>
      </c>
      <c r="G247" s="1" t="s">
        <v>283</v>
      </c>
      <c r="H247" s="1" t="s">
        <v>88</v>
      </c>
      <c r="I247" s="1" t="s">
        <v>89</v>
      </c>
      <c r="J247" s="1">
        <v>8400</v>
      </c>
      <c r="K247" s="1" t="s">
        <v>89</v>
      </c>
      <c r="L247" s="1">
        <v>7400</v>
      </c>
      <c r="M247" s="1">
        <v>1</v>
      </c>
      <c r="N247" s="2">
        <v>1.619E-2</v>
      </c>
      <c r="O247" s="2">
        <f t="shared" si="67"/>
        <v>119.806</v>
      </c>
      <c r="P247" s="2">
        <f t="shared" si="64"/>
        <v>16.190000000000001</v>
      </c>
      <c r="Q247" s="1">
        <v>61.917879999999997</v>
      </c>
      <c r="R247" s="3">
        <f t="shared" si="65"/>
        <v>7418.1335312799993</v>
      </c>
      <c r="S247" s="3">
        <f t="shared" si="66"/>
        <v>1002.4504772</v>
      </c>
      <c r="T247" s="4">
        <f t="shared" si="68"/>
        <v>0.13513513513513514</v>
      </c>
    </row>
    <row r="248" spans="1:20" x14ac:dyDescent="0.25">
      <c r="A248" s="1">
        <v>244</v>
      </c>
      <c r="B248" s="1" t="s">
        <v>647</v>
      </c>
      <c r="C248" s="1" t="s">
        <v>633</v>
      </c>
      <c r="D248" s="1" t="s">
        <v>399</v>
      </c>
      <c r="E248" s="1" t="s">
        <v>406</v>
      </c>
      <c r="F248" s="1" t="s">
        <v>425</v>
      </c>
      <c r="G248" s="1" t="s">
        <v>283</v>
      </c>
      <c r="H248" s="1" t="s">
        <v>88</v>
      </c>
      <c r="I248" s="1" t="s">
        <v>89</v>
      </c>
      <c r="J248" s="1">
        <v>8400</v>
      </c>
      <c r="K248" s="1" t="s">
        <v>89</v>
      </c>
      <c r="L248" s="1">
        <v>7400</v>
      </c>
      <c r="M248" s="1">
        <v>1</v>
      </c>
      <c r="N248" s="2">
        <v>1.619E-2</v>
      </c>
      <c r="O248" s="2">
        <f t="shared" si="67"/>
        <v>119.806</v>
      </c>
      <c r="P248" s="2">
        <f t="shared" si="64"/>
        <v>16.190000000000001</v>
      </c>
      <c r="Q248" s="1">
        <v>61.917879999999997</v>
      </c>
      <c r="R248" s="3">
        <f t="shared" si="65"/>
        <v>7418.1335312799993</v>
      </c>
      <c r="S248" s="3">
        <f t="shared" si="66"/>
        <v>1002.4504772</v>
      </c>
      <c r="T248" s="4">
        <f t="shared" si="68"/>
        <v>0.13513513513513514</v>
      </c>
    </row>
    <row r="249" spans="1:20" x14ac:dyDescent="0.25">
      <c r="A249" s="1">
        <v>245</v>
      </c>
      <c r="B249" s="1" t="s">
        <v>648</v>
      </c>
      <c r="C249" s="1" t="s">
        <v>649</v>
      </c>
      <c r="D249" s="1" t="s">
        <v>586</v>
      </c>
      <c r="E249" s="1" t="s">
        <v>219</v>
      </c>
      <c r="F249" s="1" t="s">
        <v>650</v>
      </c>
      <c r="G249" s="1" t="s">
        <v>322</v>
      </c>
      <c r="H249" s="1" t="s">
        <v>323</v>
      </c>
      <c r="I249" s="1" t="s">
        <v>23</v>
      </c>
      <c r="J249" s="1">
        <v>150</v>
      </c>
      <c r="K249" s="1" t="s">
        <v>23</v>
      </c>
      <c r="L249" s="1">
        <v>140</v>
      </c>
      <c r="M249" s="1">
        <v>11</v>
      </c>
      <c r="N249" s="2">
        <v>1</v>
      </c>
      <c r="O249" s="2">
        <f t="shared" si="67"/>
        <v>1540</v>
      </c>
      <c r="P249" s="2">
        <f t="shared" si="64"/>
        <v>110</v>
      </c>
      <c r="Q249" s="1">
        <v>61.917879999999997</v>
      </c>
      <c r="R249" s="3">
        <f t="shared" si="65"/>
        <v>95353.535199999998</v>
      </c>
      <c r="S249" s="3">
        <f t="shared" si="66"/>
        <v>6810.9667999999992</v>
      </c>
      <c r="T249" s="4">
        <f t="shared" si="68"/>
        <v>7.1428571428571425E-2</v>
      </c>
    </row>
    <row r="250" spans="1:20" x14ac:dyDescent="0.25">
      <c r="A250" s="1">
        <v>246</v>
      </c>
      <c r="B250" s="1" t="s">
        <v>651</v>
      </c>
      <c r="C250" s="5">
        <v>41670</v>
      </c>
      <c r="D250" s="1" t="s">
        <v>25</v>
      </c>
      <c r="E250" s="1" t="s">
        <v>183</v>
      </c>
      <c r="F250" s="1" t="s">
        <v>652</v>
      </c>
      <c r="G250" s="1" t="s">
        <v>283</v>
      </c>
      <c r="H250" s="1" t="s">
        <v>88</v>
      </c>
      <c r="I250" s="1" t="s">
        <v>89</v>
      </c>
      <c r="J250" s="1">
        <v>9000</v>
      </c>
      <c r="K250" s="1" t="s">
        <v>89</v>
      </c>
      <c r="L250" s="1">
        <v>7413</v>
      </c>
      <c r="M250" s="1">
        <v>2</v>
      </c>
      <c r="N250" s="2">
        <v>1.619E-2</v>
      </c>
      <c r="O250" s="2">
        <f t="shared" si="67"/>
        <v>240.03294</v>
      </c>
      <c r="P250" s="2">
        <f t="shared" si="64"/>
        <v>51.387059999999998</v>
      </c>
      <c r="Q250" s="1">
        <v>61.901910000000001</v>
      </c>
      <c r="R250" s="3">
        <f t="shared" si="65"/>
        <v>14858.497448915399</v>
      </c>
      <c r="S250" s="3">
        <f t="shared" si="66"/>
        <v>3180.9571632846</v>
      </c>
      <c r="T250" s="4">
        <f t="shared" si="68"/>
        <v>0.21408336705787132</v>
      </c>
    </row>
    <row r="251" spans="1:20" x14ac:dyDescent="0.25">
      <c r="A251" s="1">
        <v>247</v>
      </c>
      <c r="B251" s="1" t="s">
        <v>653</v>
      </c>
      <c r="C251" s="5">
        <v>41669</v>
      </c>
      <c r="D251" s="1" t="s">
        <v>25</v>
      </c>
      <c r="E251" s="1" t="s">
        <v>236</v>
      </c>
      <c r="F251" s="1" t="s">
        <v>654</v>
      </c>
      <c r="G251" s="1" t="s">
        <v>655</v>
      </c>
      <c r="H251" s="1" t="s">
        <v>117</v>
      </c>
      <c r="I251" s="1" t="s">
        <v>23</v>
      </c>
      <c r="J251" s="1">
        <v>190</v>
      </c>
      <c r="K251" s="1" t="s">
        <v>23</v>
      </c>
      <c r="L251" s="1">
        <v>129</v>
      </c>
      <c r="M251" s="1">
        <v>2</v>
      </c>
      <c r="N251" s="2">
        <v>1</v>
      </c>
      <c r="O251" s="2">
        <f t="shared" ref="O251:O255" si="69">(L251*M251)*N251</f>
        <v>258</v>
      </c>
      <c r="P251" s="2">
        <f t="shared" ref="P251:P255" si="70">(J251-L251)*M251*N251</f>
        <v>122</v>
      </c>
      <c r="Q251" s="1">
        <v>61.901910000000001</v>
      </c>
      <c r="R251" s="3">
        <f t="shared" ref="R251:R255" si="71">O251*Q251</f>
        <v>15970.692779999999</v>
      </c>
      <c r="S251" s="3">
        <f t="shared" ref="S251:S255" si="72">P251*Q251</f>
        <v>7552.0330199999999</v>
      </c>
      <c r="T251" s="4">
        <f t="shared" ref="T251:T255" si="73">S251/R251</f>
        <v>0.47286821705426357</v>
      </c>
    </row>
    <row r="252" spans="1:20" x14ac:dyDescent="0.25">
      <c r="A252" s="1">
        <v>248</v>
      </c>
      <c r="B252" s="1" t="s">
        <v>656</v>
      </c>
      <c r="C252" s="5">
        <v>41669</v>
      </c>
      <c r="D252" s="1" t="s">
        <v>15</v>
      </c>
      <c r="E252" s="1" t="s">
        <v>268</v>
      </c>
      <c r="F252" s="1" t="s">
        <v>654</v>
      </c>
      <c r="G252" s="1" t="s">
        <v>655</v>
      </c>
      <c r="H252" s="1" t="s">
        <v>117</v>
      </c>
      <c r="I252" s="1" t="s">
        <v>23</v>
      </c>
      <c r="J252" s="1">
        <v>190</v>
      </c>
      <c r="K252" s="1" t="s">
        <v>23</v>
      </c>
      <c r="L252" s="1">
        <v>129</v>
      </c>
      <c r="M252" s="1">
        <v>2</v>
      </c>
      <c r="N252" s="2">
        <v>1</v>
      </c>
      <c r="O252" s="2">
        <f t="shared" si="69"/>
        <v>258</v>
      </c>
      <c r="P252" s="2">
        <f t="shared" si="70"/>
        <v>122</v>
      </c>
      <c r="Q252" s="1">
        <v>61.901910000000001</v>
      </c>
      <c r="R252" s="3">
        <f t="shared" si="71"/>
        <v>15970.692779999999</v>
      </c>
      <c r="S252" s="3">
        <f t="shared" si="72"/>
        <v>7552.0330199999999</v>
      </c>
      <c r="T252" s="4">
        <f t="shared" si="73"/>
        <v>0.47286821705426357</v>
      </c>
    </row>
    <row r="253" spans="1:20" x14ac:dyDescent="0.25">
      <c r="A253" s="1">
        <v>249</v>
      </c>
      <c r="B253" s="1" t="s">
        <v>657</v>
      </c>
      <c r="C253" s="5">
        <v>41669</v>
      </c>
      <c r="D253" s="1" t="s">
        <v>25</v>
      </c>
      <c r="E253" s="1" t="s">
        <v>229</v>
      </c>
      <c r="F253" s="1" t="s">
        <v>658</v>
      </c>
      <c r="G253" s="1" t="s">
        <v>408</v>
      </c>
      <c r="H253" s="1" t="s">
        <v>88</v>
      </c>
      <c r="I253" s="1" t="s">
        <v>89</v>
      </c>
      <c r="J253" s="1">
        <v>7500</v>
      </c>
      <c r="K253" s="1" t="s">
        <v>89</v>
      </c>
      <c r="L253" s="1">
        <v>6500</v>
      </c>
      <c r="M253" s="1">
        <v>1</v>
      </c>
      <c r="N253" s="2">
        <v>1.619E-2</v>
      </c>
      <c r="O253" s="2">
        <f t="shared" si="69"/>
        <v>105.235</v>
      </c>
      <c r="P253" s="2">
        <f t="shared" si="70"/>
        <v>16.190000000000001</v>
      </c>
      <c r="Q253" s="1">
        <v>61.901910000000001</v>
      </c>
      <c r="R253" s="3">
        <f t="shared" si="71"/>
        <v>6514.2474988499998</v>
      </c>
      <c r="S253" s="3">
        <f t="shared" si="72"/>
        <v>1002.1919229000001</v>
      </c>
      <c r="T253" s="4">
        <f t="shared" si="73"/>
        <v>0.15384615384615388</v>
      </c>
    </row>
    <row r="254" spans="1:20" x14ac:dyDescent="0.25">
      <c r="A254" s="1">
        <v>250</v>
      </c>
      <c r="B254" s="1" t="s">
        <v>659</v>
      </c>
      <c r="C254" s="5">
        <v>41669</v>
      </c>
      <c r="D254" s="1" t="s">
        <v>15</v>
      </c>
      <c r="E254" s="1" t="s">
        <v>660</v>
      </c>
      <c r="F254" s="1" t="s">
        <v>658</v>
      </c>
      <c r="G254" s="1" t="s">
        <v>408</v>
      </c>
      <c r="H254" s="1" t="s">
        <v>88</v>
      </c>
      <c r="I254" s="1" t="s">
        <v>89</v>
      </c>
      <c r="J254" s="1">
        <v>7500</v>
      </c>
      <c r="K254" s="1" t="s">
        <v>89</v>
      </c>
      <c r="L254" s="1">
        <v>6500</v>
      </c>
      <c r="M254" s="1">
        <v>1</v>
      </c>
      <c r="N254" s="2">
        <v>1.619E-2</v>
      </c>
      <c r="O254" s="2">
        <f t="shared" si="69"/>
        <v>105.235</v>
      </c>
      <c r="P254" s="2">
        <f t="shared" si="70"/>
        <v>16.190000000000001</v>
      </c>
      <c r="Q254" s="1">
        <v>61.901910000000001</v>
      </c>
      <c r="R254" s="3">
        <f t="shared" si="71"/>
        <v>6514.2474988499998</v>
      </c>
      <c r="S254" s="3">
        <f t="shared" si="72"/>
        <v>1002.1919229000001</v>
      </c>
      <c r="T254" s="4">
        <f t="shared" si="73"/>
        <v>0.15384615384615388</v>
      </c>
    </row>
    <row r="255" spans="1:20" x14ac:dyDescent="0.25">
      <c r="A255" s="1">
        <v>251</v>
      </c>
      <c r="B255" s="1" t="s">
        <v>661</v>
      </c>
      <c r="C255" s="5">
        <v>41668</v>
      </c>
      <c r="D255" s="1" t="s">
        <v>25</v>
      </c>
      <c r="E255" s="1" t="s">
        <v>280</v>
      </c>
      <c r="F255" s="1" t="s">
        <v>662</v>
      </c>
      <c r="G255" s="1" t="s">
        <v>54</v>
      </c>
      <c r="H255" s="1" t="s">
        <v>54</v>
      </c>
      <c r="I255" s="1" t="s">
        <v>119</v>
      </c>
      <c r="J255" s="1">
        <v>170</v>
      </c>
      <c r="K255" s="1" t="s">
        <v>119</v>
      </c>
      <c r="L255" s="1">
        <v>160</v>
      </c>
      <c r="M255" s="1">
        <v>2</v>
      </c>
      <c r="N255" s="2">
        <v>0.78829000000000005</v>
      </c>
      <c r="O255" s="2">
        <f t="shared" si="69"/>
        <v>252.25280000000001</v>
      </c>
      <c r="P255" s="2">
        <f t="shared" si="70"/>
        <v>15.7658</v>
      </c>
      <c r="Q255" s="1">
        <v>61.901910000000001</v>
      </c>
      <c r="R255" s="3">
        <f t="shared" si="71"/>
        <v>15614.930122848</v>
      </c>
      <c r="S255" s="3">
        <f t="shared" si="72"/>
        <v>975.93313267799999</v>
      </c>
      <c r="T255" s="4">
        <f t="shared" si="73"/>
        <v>6.25E-2</v>
      </c>
    </row>
    <row r="256" spans="1:20" x14ac:dyDescent="0.25">
      <c r="A256" s="1">
        <v>252</v>
      </c>
      <c r="B256" s="1" t="s">
        <v>663</v>
      </c>
      <c r="C256" s="5">
        <v>41668</v>
      </c>
      <c r="D256" s="1" t="s">
        <v>25</v>
      </c>
      <c r="E256" s="1" t="s">
        <v>664</v>
      </c>
      <c r="F256" s="1" t="s">
        <v>658</v>
      </c>
      <c r="G256" s="1" t="s">
        <v>408</v>
      </c>
      <c r="H256" s="1" t="s">
        <v>88</v>
      </c>
      <c r="I256" s="1" t="s">
        <v>89</v>
      </c>
      <c r="J256" s="1">
        <v>7500</v>
      </c>
      <c r="K256" s="1" t="s">
        <v>89</v>
      </c>
      <c r="L256" s="1">
        <v>6500</v>
      </c>
      <c r="M256" s="1">
        <v>1</v>
      </c>
      <c r="N256" s="2">
        <v>1.619E-2</v>
      </c>
      <c r="O256" s="2">
        <f t="shared" ref="O256:O285" si="74">(L256*M256)*N256</f>
        <v>105.235</v>
      </c>
      <c r="P256" s="2">
        <f t="shared" ref="P256:P285" si="75">(J256-L256)*M256*N256</f>
        <v>16.190000000000001</v>
      </c>
      <c r="Q256" s="1">
        <v>61.901910000000001</v>
      </c>
      <c r="R256" s="3">
        <f t="shared" ref="R256:R284" si="76">O256*Q256</f>
        <v>6514.2474988499998</v>
      </c>
      <c r="S256" s="3">
        <f t="shared" ref="S256:S284" si="77">P256*Q256</f>
        <v>1002.1919229000001</v>
      </c>
      <c r="T256" s="4">
        <f t="shared" ref="T256:T284" si="78">S256/R256</f>
        <v>0.15384615384615388</v>
      </c>
    </row>
    <row r="257" spans="1:20" x14ac:dyDescent="0.25">
      <c r="A257" s="1">
        <v>253</v>
      </c>
      <c r="B257" s="1" t="s">
        <v>665</v>
      </c>
      <c r="C257" s="5">
        <v>41668</v>
      </c>
      <c r="D257" s="1" t="s">
        <v>25</v>
      </c>
      <c r="E257" s="1" t="s">
        <v>666</v>
      </c>
      <c r="F257" s="1" t="s">
        <v>658</v>
      </c>
      <c r="G257" s="1" t="s">
        <v>408</v>
      </c>
      <c r="H257" s="1" t="s">
        <v>88</v>
      </c>
      <c r="I257" s="1" t="s">
        <v>89</v>
      </c>
      <c r="J257" s="1">
        <v>7500</v>
      </c>
      <c r="K257" s="1" t="s">
        <v>89</v>
      </c>
      <c r="L257" s="1">
        <v>6500</v>
      </c>
      <c r="M257" s="1">
        <v>1</v>
      </c>
      <c r="N257" s="2">
        <v>1.619E-2</v>
      </c>
      <c r="O257" s="2">
        <f t="shared" si="74"/>
        <v>105.235</v>
      </c>
      <c r="P257" s="2">
        <f t="shared" si="75"/>
        <v>16.190000000000001</v>
      </c>
      <c r="Q257" s="1">
        <v>61.901910000000001</v>
      </c>
      <c r="R257" s="3">
        <f t="shared" si="76"/>
        <v>6514.2474988499998</v>
      </c>
      <c r="S257" s="3">
        <f t="shared" si="77"/>
        <v>1002.1919229000001</v>
      </c>
      <c r="T257" s="4">
        <f t="shared" si="78"/>
        <v>0.15384615384615388</v>
      </c>
    </row>
    <row r="258" spans="1:20" x14ac:dyDescent="0.25">
      <c r="A258" s="1">
        <v>254</v>
      </c>
      <c r="B258" s="1" t="s">
        <v>667</v>
      </c>
      <c r="C258" s="5">
        <v>41667</v>
      </c>
      <c r="D258" s="1" t="s">
        <v>25</v>
      </c>
      <c r="E258" s="1" t="s">
        <v>229</v>
      </c>
      <c r="F258" s="1" t="s">
        <v>668</v>
      </c>
      <c r="G258" s="1" t="s">
        <v>185</v>
      </c>
      <c r="H258" s="1" t="s">
        <v>83</v>
      </c>
      <c r="I258" s="1" t="s">
        <v>32</v>
      </c>
      <c r="J258" s="1">
        <v>114</v>
      </c>
      <c r="K258" s="1" t="s">
        <v>32</v>
      </c>
      <c r="L258" s="1">
        <v>104</v>
      </c>
      <c r="M258" s="1">
        <v>2</v>
      </c>
      <c r="N258" s="2">
        <v>1.36879</v>
      </c>
      <c r="O258" s="2">
        <f t="shared" si="74"/>
        <v>284.70832000000001</v>
      </c>
      <c r="P258" s="2">
        <f t="shared" si="75"/>
        <v>27.375799999999998</v>
      </c>
      <c r="Q258" s="1">
        <v>61.901910000000001</v>
      </c>
      <c r="R258" s="3">
        <f t="shared" si="76"/>
        <v>17623.988800891202</v>
      </c>
      <c r="S258" s="3">
        <f t="shared" si="77"/>
        <v>1694.614307778</v>
      </c>
      <c r="T258" s="4">
        <f t="shared" si="78"/>
        <v>9.6153846153846145E-2</v>
      </c>
    </row>
    <row r="259" spans="1:20" x14ac:dyDescent="0.25">
      <c r="A259" s="1">
        <v>255</v>
      </c>
      <c r="B259" s="1" t="s">
        <v>669</v>
      </c>
      <c r="C259" s="5">
        <v>41662</v>
      </c>
      <c r="D259" s="1" t="s">
        <v>15</v>
      </c>
      <c r="E259" s="1" t="s">
        <v>35</v>
      </c>
      <c r="F259" s="1" t="s">
        <v>670</v>
      </c>
      <c r="G259" s="1" t="s">
        <v>53</v>
      </c>
      <c r="H259" s="1" t="s">
        <v>54</v>
      </c>
      <c r="I259" s="1" t="s">
        <v>23</v>
      </c>
      <c r="J259" s="1">
        <v>227</v>
      </c>
      <c r="K259" s="1" t="s">
        <v>23</v>
      </c>
      <c r="L259" s="1">
        <v>217</v>
      </c>
      <c r="M259" s="1">
        <v>3</v>
      </c>
      <c r="N259" s="2">
        <v>1</v>
      </c>
      <c r="O259" s="2">
        <f t="shared" si="74"/>
        <v>651</v>
      </c>
      <c r="P259" s="2">
        <f t="shared" si="75"/>
        <v>30</v>
      </c>
      <c r="Q259" s="1">
        <v>61.901910000000001</v>
      </c>
      <c r="R259" s="3">
        <f t="shared" si="76"/>
        <v>40298.143409999997</v>
      </c>
      <c r="S259" s="3">
        <f t="shared" si="77"/>
        <v>1857.0572999999999</v>
      </c>
      <c r="T259" s="4">
        <f t="shared" si="78"/>
        <v>4.6082949308755762E-2</v>
      </c>
    </row>
    <row r="260" spans="1:20" x14ac:dyDescent="0.25">
      <c r="A260" s="1">
        <v>256</v>
      </c>
      <c r="B260" s="1" t="s">
        <v>671</v>
      </c>
      <c r="C260" s="5">
        <v>41661</v>
      </c>
      <c r="D260" s="1" t="s">
        <v>15</v>
      </c>
      <c r="E260" s="1" t="s">
        <v>112</v>
      </c>
      <c r="F260" s="1" t="s">
        <v>672</v>
      </c>
      <c r="G260" s="1" t="s">
        <v>185</v>
      </c>
      <c r="H260" s="1" t="s">
        <v>83</v>
      </c>
      <c r="I260" s="1" t="s">
        <v>32</v>
      </c>
      <c r="J260" s="1">
        <v>161</v>
      </c>
      <c r="K260" s="1" t="s">
        <v>32</v>
      </c>
      <c r="L260" s="1">
        <v>151</v>
      </c>
      <c r="M260" s="1">
        <v>1</v>
      </c>
      <c r="N260" s="2">
        <v>1.36879</v>
      </c>
      <c r="O260" s="2">
        <f t="shared" si="74"/>
        <v>206.68728999999999</v>
      </c>
      <c r="P260" s="2">
        <f t="shared" si="75"/>
        <v>13.687899999999999</v>
      </c>
      <c r="Q260" s="1">
        <v>61.901910000000001</v>
      </c>
      <c r="R260" s="3">
        <f t="shared" si="76"/>
        <v>12794.3380237239</v>
      </c>
      <c r="S260" s="3">
        <f t="shared" si="77"/>
        <v>847.30715388900001</v>
      </c>
      <c r="T260" s="4">
        <f t="shared" si="78"/>
        <v>6.6225165562913912E-2</v>
      </c>
    </row>
    <row r="261" spans="1:20" x14ac:dyDescent="0.25">
      <c r="A261" s="1">
        <v>257</v>
      </c>
      <c r="B261" s="1" t="s">
        <v>673</v>
      </c>
      <c r="C261" s="5">
        <v>41659</v>
      </c>
      <c r="D261" s="1" t="s">
        <v>15</v>
      </c>
      <c r="E261" s="1" t="s">
        <v>358</v>
      </c>
      <c r="F261" s="1" t="s">
        <v>674</v>
      </c>
      <c r="G261" s="1" t="s">
        <v>675</v>
      </c>
      <c r="H261" s="1" t="s">
        <v>54</v>
      </c>
      <c r="I261" s="1" t="s">
        <v>23</v>
      </c>
      <c r="J261" s="1">
        <v>184</v>
      </c>
      <c r="K261" s="1" t="s">
        <v>23</v>
      </c>
      <c r="L261" s="1">
        <v>174</v>
      </c>
      <c r="M261" s="1">
        <v>1</v>
      </c>
      <c r="N261" s="2">
        <v>1</v>
      </c>
      <c r="O261" s="2">
        <f t="shared" si="74"/>
        <v>174</v>
      </c>
      <c r="P261" s="2">
        <f t="shared" si="75"/>
        <v>10</v>
      </c>
      <c r="Q261" s="1">
        <v>61.901910000000001</v>
      </c>
      <c r="R261" s="3">
        <f t="shared" si="76"/>
        <v>10770.932339999999</v>
      </c>
      <c r="S261" s="3">
        <f t="shared" si="77"/>
        <v>619.01909999999998</v>
      </c>
      <c r="T261" s="4">
        <f t="shared" si="78"/>
        <v>5.7471264367816091E-2</v>
      </c>
    </row>
    <row r="262" spans="1:20" x14ac:dyDescent="0.25">
      <c r="A262" s="1">
        <v>258</v>
      </c>
      <c r="B262" s="1" t="s">
        <v>676</v>
      </c>
      <c r="C262" s="5">
        <v>41657</v>
      </c>
      <c r="D262" s="1" t="s">
        <v>15</v>
      </c>
      <c r="E262" s="1" t="s">
        <v>677</v>
      </c>
      <c r="F262" s="1" t="s">
        <v>678</v>
      </c>
      <c r="G262" s="1" t="s">
        <v>679</v>
      </c>
      <c r="H262" s="1" t="s">
        <v>492</v>
      </c>
      <c r="I262" s="1" t="s">
        <v>23</v>
      </c>
      <c r="J262" s="1">
        <v>160</v>
      </c>
      <c r="K262" s="1" t="s">
        <v>23</v>
      </c>
      <c r="L262" s="1">
        <v>150</v>
      </c>
      <c r="M262" s="1">
        <v>2</v>
      </c>
      <c r="N262" s="2">
        <v>1</v>
      </c>
      <c r="O262" s="2">
        <f t="shared" si="74"/>
        <v>300</v>
      </c>
      <c r="P262" s="2">
        <f t="shared" si="75"/>
        <v>20</v>
      </c>
      <c r="Q262" s="1">
        <v>61.901910000000001</v>
      </c>
      <c r="R262" s="3">
        <f t="shared" si="76"/>
        <v>18570.573</v>
      </c>
      <c r="S262" s="3">
        <f t="shared" si="77"/>
        <v>1238.0382</v>
      </c>
      <c r="T262" s="4">
        <f t="shared" si="78"/>
        <v>6.6666666666666666E-2</v>
      </c>
    </row>
    <row r="263" spans="1:20" x14ac:dyDescent="0.25">
      <c r="A263" s="1">
        <v>259</v>
      </c>
      <c r="B263" s="1" t="s">
        <v>680</v>
      </c>
      <c r="C263" s="5">
        <v>41657</v>
      </c>
      <c r="D263" s="1" t="s">
        <v>15</v>
      </c>
      <c r="E263" s="1" t="s">
        <v>67</v>
      </c>
      <c r="F263" s="1" t="s">
        <v>678</v>
      </c>
      <c r="G263" s="1" t="s">
        <v>679</v>
      </c>
      <c r="H263" s="1" t="s">
        <v>492</v>
      </c>
      <c r="I263" s="1" t="s">
        <v>23</v>
      </c>
      <c r="J263" s="1">
        <v>160</v>
      </c>
      <c r="K263" s="1" t="s">
        <v>23</v>
      </c>
      <c r="L263" s="1">
        <v>150</v>
      </c>
      <c r="M263" s="1">
        <v>2</v>
      </c>
      <c r="N263" s="2">
        <v>1</v>
      </c>
      <c r="O263" s="2">
        <f t="shared" si="74"/>
        <v>300</v>
      </c>
      <c r="P263" s="2">
        <f t="shared" si="75"/>
        <v>20</v>
      </c>
      <c r="Q263" s="1">
        <v>61.901910000000001</v>
      </c>
      <c r="R263" s="3">
        <f t="shared" si="76"/>
        <v>18570.573</v>
      </c>
      <c r="S263" s="3">
        <f t="shared" si="77"/>
        <v>1238.0382</v>
      </c>
      <c r="T263" s="4">
        <f t="shared" si="78"/>
        <v>6.6666666666666666E-2</v>
      </c>
    </row>
    <row r="264" spans="1:20" x14ac:dyDescent="0.25">
      <c r="A264" s="1">
        <v>260</v>
      </c>
      <c r="B264" s="1" t="s">
        <v>681</v>
      </c>
      <c r="C264" s="5">
        <v>41657</v>
      </c>
      <c r="D264" s="1" t="s">
        <v>15</v>
      </c>
      <c r="E264" s="1" t="s">
        <v>97</v>
      </c>
      <c r="F264" s="1" t="s">
        <v>672</v>
      </c>
      <c r="G264" s="1" t="s">
        <v>185</v>
      </c>
      <c r="H264" s="1" t="s">
        <v>83</v>
      </c>
      <c r="I264" s="1" t="s">
        <v>32</v>
      </c>
      <c r="J264" s="1">
        <v>177</v>
      </c>
      <c r="K264" s="1" t="s">
        <v>32</v>
      </c>
      <c r="L264" s="1">
        <v>167</v>
      </c>
      <c r="M264" s="1">
        <v>2</v>
      </c>
      <c r="N264" s="2">
        <v>1.36879</v>
      </c>
      <c r="O264" s="2">
        <f t="shared" si="74"/>
        <v>457.17586</v>
      </c>
      <c r="P264" s="2">
        <f t="shared" si="75"/>
        <v>27.375799999999998</v>
      </c>
      <c r="Q264" s="1">
        <v>61.901910000000001</v>
      </c>
      <c r="R264" s="3">
        <f t="shared" si="76"/>
        <v>28300.058939892602</v>
      </c>
      <c r="S264" s="3">
        <f t="shared" si="77"/>
        <v>1694.614307778</v>
      </c>
      <c r="T264" s="4">
        <f t="shared" si="78"/>
        <v>5.9880239520958077E-2</v>
      </c>
    </row>
    <row r="265" spans="1:20" x14ac:dyDescent="0.25">
      <c r="A265" s="1">
        <v>261</v>
      </c>
      <c r="B265" s="1" t="s">
        <v>682</v>
      </c>
      <c r="C265" s="5">
        <v>41655</v>
      </c>
      <c r="D265" s="1" t="s">
        <v>15</v>
      </c>
      <c r="E265" s="1" t="s">
        <v>97</v>
      </c>
      <c r="F265" s="1" t="s">
        <v>683</v>
      </c>
      <c r="G265" s="1" t="s">
        <v>129</v>
      </c>
      <c r="H265" s="1" t="s">
        <v>50</v>
      </c>
      <c r="I265" s="1" t="s">
        <v>23</v>
      </c>
      <c r="J265" s="1">
        <v>148</v>
      </c>
      <c r="K265" s="1" t="s">
        <v>23</v>
      </c>
      <c r="L265" s="1">
        <v>138</v>
      </c>
      <c r="M265" s="1">
        <v>1</v>
      </c>
      <c r="N265" s="2">
        <v>1</v>
      </c>
      <c r="O265" s="2">
        <f t="shared" si="74"/>
        <v>138</v>
      </c>
      <c r="P265" s="2">
        <f t="shared" si="75"/>
        <v>10</v>
      </c>
      <c r="Q265" s="1">
        <v>61.901910000000001</v>
      </c>
      <c r="R265" s="3">
        <f t="shared" si="76"/>
        <v>8542.4635799999996</v>
      </c>
      <c r="S265" s="3">
        <f t="shared" si="77"/>
        <v>619.01909999999998</v>
      </c>
      <c r="T265" s="4">
        <f t="shared" si="78"/>
        <v>7.2463768115942032E-2</v>
      </c>
    </row>
    <row r="266" spans="1:20" x14ac:dyDescent="0.25">
      <c r="A266" s="1">
        <v>262</v>
      </c>
      <c r="B266" s="1" t="s">
        <v>684</v>
      </c>
      <c r="C266" s="5">
        <v>41655</v>
      </c>
      <c r="D266" s="1" t="s">
        <v>15</v>
      </c>
      <c r="E266" s="1" t="s">
        <v>97</v>
      </c>
      <c r="F266" s="1" t="s">
        <v>683</v>
      </c>
      <c r="G266" s="1" t="s">
        <v>129</v>
      </c>
      <c r="H266" s="1" t="s">
        <v>50</v>
      </c>
      <c r="I266" s="1" t="s">
        <v>23</v>
      </c>
      <c r="J266" s="1">
        <v>219</v>
      </c>
      <c r="K266" s="1" t="s">
        <v>23</v>
      </c>
      <c r="L266" s="1">
        <v>209</v>
      </c>
      <c r="M266" s="1">
        <v>2</v>
      </c>
      <c r="N266" s="2">
        <v>1</v>
      </c>
      <c r="O266" s="2">
        <f t="shared" si="74"/>
        <v>418</v>
      </c>
      <c r="P266" s="2">
        <f t="shared" si="75"/>
        <v>20</v>
      </c>
      <c r="Q266" s="1">
        <v>61.901910000000001</v>
      </c>
      <c r="R266" s="3">
        <f t="shared" si="76"/>
        <v>25874.998380000001</v>
      </c>
      <c r="S266" s="3">
        <f t="shared" si="77"/>
        <v>1238.0382</v>
      </c>
      <c r="T266" s="4">
        <f t="shared" si="78"/>
        <v>4.784688995215311E-2</v>
      </c>
    </row>
    <row r="267" spans="1:20" x14ac:dyDescent="0.25">
      <c r="A267" s="1">
        <v>263</v>
      </c>
      <c r="B267" s="1" t="s">
        <v>685</v>
      </c>
      <c r="C267" s="5">
        <v>41655</v>
      </c>
      <c r="D267" s="1" t="s">
        <v>15</v>
      </c>
      <c r="E267" s="1" t="s">
        <v>686</v>
      </c>
      <c r="F267" s="1" t="s">
        <v>687</v>
      </c>
      <c r="G267" s="1" t="s">
        <v>688</v>
      </c>
      <c r="H267" s="1" t="s">
        <v>492</v>
      </c>
      <c r="I267" s="1" t="s">
        <v>23</v>
      </c>
      <c r="J267" s="1">
        <v>168</v>
      </c>
      <c r="K267" s="1" t="s">
        <v>23</v>
      </c>
      <c r="L267" s="1">
        <v>158</v>
      </c>
      <c r="M267" s="1">
        <v>2</v>
      </c>
      <c r="N267" s="2">
        <v>1</v>
      </c>
      <c r="O267" s="2">
        <f t="shared" si="74"/>
        <v>316</v>
      </c>
      <c r="P267" s="2">
        <f t="shared" si="75"/>
        <v>20</v>
      </c>
      <c r="Q267" s="1">
        <v>61.901910000000001</v>
      </c>
      <c r="R267" s="3">
        <f t="shared" si="76"/>
        <v>19561.003560000001</v>
      </c>
      <c r="S267" s="3">
        <f t="shared" si="77"/>
        <v>1238.0382</v>
      </c>
      <c r="T267" s="4">
        <f t="shared" si="78"/>
        <v>6.3291139240506319E-2</v>
      </c>
    </row>
    <row r="268" spans="1:20" x14ac:dyDescent="0.25">
      <c r="A268" s="1">
        <v>264</v>
      </c>
      <c r="B268" s="1" t="s">
        <v>689</v>
      </c>
      <c r="C268" s="5">
        <v>41654</v>
      </c>
      <c r="D268" s="1" t="s">
        <v>15</v>
      </c>
      <c r="E268" s="1" t="s">
        <v>19</v>
      </c>
      <c r="F268" s="1" t="s">
        <v>690</v>
      </c>
      <c r="G268" s="1" t="s">
        <v>691</v>
      </c>
      <c r="H268" s="1" t="s">
        <v>22</v>
      </c>
      <c r="I268" s="1" t="s">
        <v>23</v>
      </c>
      <c r="J268" s="1">
        <v>190</v>
      </c>
      <c r="K268" s="1" t="s">
        <v>23</v>
      </c>
      <c r="L268" s="1">
        <v>128</v>
      </c>
      <c r="M268" s="1">
        <v>5</v>
      </c>
      <c r="N268" s="2">
        <v>1</v>
      </c>
      <c r="O268" s="2">
        <f t="shared" si="74"/>
        <v>640</v>
      </c>
      <c r="P268" s="2">
        <f t="shared" si="75"/>
        <v>310</v>
      </c>
      <c r="Q268" s="1">
        <v>61.901910000000001</v>
      </c>
      <c r="R268" s="3">
        <f t="shared" si="76"/>
        <v>39617.222399999999</v>
      </c>
      <c r="S268" s="3">
        <f t="shared" si="77"/>
        <v>19189.592100000002</v>
      </c>
      <c r="T268" s="4">
        <f t="shared" si="78"/>
        <v>0.48437500000000006</v>
      </c>
    </row>
    <row r="269" spans="1:20" x14ac:dyDescent="0.25">
      <c r="A269" s="1">
        <v>265</v>
      </c>
      <c r="B269" s="1" t="s">
        <v>692</v>
      </c>
      <c r="C269" s="5">
        <v>41652</v>
      </c>
      <c r="D269" s="1" t="s">
        <v>25</v>
      </c>
      <c r="E269" s="1" t="s">
        <v>693</v>
      </c>
      <c r="F269" s="1" t="s">
        <v>694</v>
      </c>
      <c r="G269" s="1" t="s">
        <v>695</v>
      </c>
      <c r="H269" s="1" t="s">
        <v>50</v>
      </c>
      <c r="I269" s="1" t="s">
        <v>23</v>
      </c>
      <c r="J269" s="1">
        <v>165</v>
      </c>
      <c r="K269" s="1" t="s">
        <v>23</v>
      </c>
      <c r="L269" s="1">
        <v>125</v>
      </c>
      <c r="M269" s="1">
        <v>13</v>
      </c>
      <c r="N269" s="2">
        <v>1</v>
      </c>
      <c r="O269" s="2">
        <f t="shared" si="74"/>
        <v>1625</v>
      </c>
      <c r="P269" s="2">
        <f t="shared" si="75"/>
        <v>520</v>
      </c>
      <c r="Q269" s="1">
        <v>61.901910000000001</v>
      </c>
      <c r="R269" s="3">
        <f t="shared" si="76"/>
        <v>100590.60374999999</v>
      </c>
      <c r="S269" s="3">
        <f t="shared" si="77"/>
        <v>32188.993200000001</v>
      </c>
      <c r="T269" s="4">
        <f t="shared" si="78"/>
        <v>0.32</v>
      </c>
    </row>
    <row r="270" spans="1:20" x14ac:dyDescent="0.25">
      <c r="A270" s="1">
        <v>266</v>
      </c>
      <c r="B270" s="1" t="s">
        <v>696</v>
      </c>
      <c r="C270" s="5">
        <v>41652</v>
      </c>
      <c r="D270" s="1" t="s">
        <v>25</v>
      </c>
      <c r="E270" s="1" t="s">
        <v>697</v>
      </c>
      <c r="F270" s="1" t="s">
        <v>694</v>
      </c>
      <c r="G270" s="1" t="s">
        <v>695</v>
      </c>
      <c r="H270" s="1" t="s">
        <v>50</v>
      </c>
      <c r="I270" s="1" t="s">
        <v>23</v>
      </c>
      <c r="J270" s="1">
        <v>165</v>
      </c>
      <c r="K270" s="1" t="s">
        <v>23</v>
      </c>
      <c r="L270" s="1">
        <v>155</v>
      </c>
      <c r="M270" s="1">
        <v>4</v>
      </c>
      <c r="N270" s="2">
        <v>1</v>
      </c>
      <c r="O270" s="2">
        <f t="shared" si="74"/>
        <v>620</v>
      </c>
      <c r="P270" s="2">
        <f t="shared" si="75"/>
        <v>40</v>
      </c>
      <c r="Q270" s="1">
        <v>61.901910000000001</v>
      </c>
      <c r="R270" s="3">
        <f t="shared" si="76"/>
        <v>38379.184200000003</v>
      </c>
      <c r="S270" s="3">
        <f t="shared" si="77"/>
        <v>2476.0763999999999</v>
      </c>
      <c r="T270" s="4">
        <f t="shared" si="78"/>
        <v>6.4516129032258063E-2</v>
      </c>
    </row>
    <row r="271" spans="1:20" x14ac:dyDescent="0.25">
      <c r="A271" s="1">
        <v>267</v>
      </c>
      <c r="B271" s="1" t="s">
        <v>698</v>
      </c>
      <c r="C271" s="5">
        <v>41652</v>
      </c>
      <c r="D271" s="1" t="s">
        <v>15</v>
      </c>
      <c r="E271" s="1" t="s">
        <v>477</v>
      </c>
      <c r="F271" s="1" t="s">
        <v>699</v>
      </c>
      <c r="G271" s="1" t="s">
        <v>54</v>
      </c>
      <c r="H271" s="1" t="s">
        <v>54</v>
      </c>
      <c r="I271" s="1" t="s">
        <v>119</v>
      </c>
      <c r="J271" s="1">
        <v>246</v>
      </c>
      <c r="K271" s="1" t="s">
        <v>119</v>
      </c>
      <c r="L271" s="1">
        <v>235</v>
      </c>
      <c r="M271" s="1">
        <v>3</v>
      </c>
      <c r="N271" s="2">
        <v>0.78829000000000005</v>
      </c>
      <c r="O271" s="2">
        <f t="shared" si="74"/>
        <v>555.74445000000003</v>
      </c>
      <c r="P271" s="2">
        <f t="shared" si="75"/>
        <v>26.013570000000001</v>
      </c>
      <c r="Q271" s="1">
        <v>61.901910000000001</v>
      </c>
      <c r="R271" s="3">
        <f t="shared" si="76"/>
        <v>34401.642926899505</v>
      </c>
      <c r="S271" s="3">
        <f t="shared" si="77"/>
        <v>1610.2896689187</v>
      </c>
      <c r="T271" s="4">
        <f t="shared" si="78"/>
        <v>4.6808510638297864E-2</v>
      </c>
    </row>
    <row r="272" spans="1:20" x14ac:dyDescent="0.25">
      <c r="A272" s="1">
        <v>268</v>
      </c>
      <c r="B272" s="1" t="s">
        <v>700</v>
      </c>
      <c r="C272" s="5">
        <v>41648</v>
      </c>
      <c r="D272" s="1" t="s">
        <v>25</v>
      </c>
      <c r="E272" s="1" t="s">
        <v>236</v>
      </c>
      <c r="F272" s="1" t="s">
        <v>701</v>
      </c>
      <c r="G272" s="1" t="s">
        <v>702</v>
      </c>
      <c r="H272" s="1" t="s">
        <v>88</v>
      </c>
      <c r="I272" s="1" t="s">
        <v>89</v>
      </c>
      <c r="J272" s="1">
        <v>7400</v>
      </c>
      <c r="K272" s="1" t="s">
        <v>89</v>
      </c>
      <c r="L272" s="1">
        <v>6400</v>
      </c>
      <c r="M272" s="1">
        <v>1</v>
      </c>
      <c r="N272" s="2">
        <v>1.619E-2</v>
      </c>
      <c r="O272" s="2">
        <f t="shared" si="74"/>
        <v>103.616</v>
      </c>
      <c r="P272" s="2">
        <f t="shared" si="75"/>
        <v>16.190000000000001</v>
      </c>
      <c r="Q272" s="1">
        <v>61.901910000000001</v>
      </c>
      <c r="R272" s="3">
        <f t="shared" si="76"/>
        <v>6414.0283065599997</v>
      </c>
      <c r="S272" s="3">
        <f t="shared" si="77"/>
        <v>1002.1919229000001</v>
      </c>
      <c r="T272" s="4">
        <f t="shared" si="78"/>
        <v>0.15625000000000003</v>
      </c>
    </row>
    <row r="273" spans="1:20" x14ac:dyDescent="0.25">
      <c r="A273" s="1">
        <v>269</v>
      </c>
      <c r="B273" s="1" t="s">
        <v>703</v>
      </c>
      <c r="C273" s="5">
        <v>41648</v>
      </c>
      <c r="D273" s="1" t="s">
        <v>15</v>
      </c>
      <c r="E273" s="1" t="s">
        <v>455</v>
      </c>
      <c r="F273" s="1" t="s">
        <v>701</v>
      </c>
      <c r="G273" s="1" t="s">
        <v>702</v>
      </c>
      <c r="H273" s="1" t="s">
        <v>88</v>
      </c>
      <c r="I273" s="1" t="s">
        <v>89</v>
      </c>
      <c r="J273" s="1">
        <v>7421</v>
      </c>
      <c r="K273" s="1" t="s">
        <v>89</v>
      </c>
      <c r="L273" s="1">
        <v>6400</v>
      </c>
      <c r="M273" s="1">
        <v>1</v>
      </c>
      <c r="N273" s="2">
        <v>1.619E-2</v>
      </c>
      <c r="O273" s="2">
        <f t="shared" si="74"/>
        <v>103.616</v>
      </c>
      <c r="P273" s="2">
        <f t="shared" si="75"/>
        <v>16.529989999999998</v>
      </c>
      <c r="Q273" s="1">
        <v>61.901910000000001</v>
      </c>
      <c r="R273" s="3">
        <f t="shared" si="76"/>
        <v>6414.0283065599997</v>
      </c>
      <c r="S273" s="3">
        <f t="shared" si="77"/>
        <v>1023.2379532808999</v>
      </c>
      <c r="T273" s="4">
        <f t="shared" si="78"/>
        <v>0.15953124999999999</v>
      </c>
    </row>
    <row r="274" spans="1:20" x14ac:dyDescent="0.25">
      <c r="A274" s="1">
        <v>270</v>
      </c>
      <c r="B274" s="1" t="s">
        <v>704</v>
      </c>
      <c r="C274" s="5">
        <v>41643</v>
      </c>
      <c r="D274" s="1" t="s">
        <v>15</v>
      </c>
      <c r="E274" s="1" t="s">
        <v>343</v>
      </c>
      <c r="F274" s="1" t="s">
        <v>348</v>
      </c>
      <c r="G274" s="1" t="s">
        <v>30</v>
      </c>
      <c r="H274" s="1" t="s">
        <v>31</v>
      </c>
      <c r="I274" s="1" t="s">
        <v>32</v>
      </c>
      <c r="J274" s="1">
        <v>75</v>
      </c>
      <c r="K274" s="1" t="s">
        <v>32</v>
      </c>
      <c r="L274" s="1">
        <v>65</v>
      </c>
      <c r="M274" s="1">
        <v>6</v>
      </c>
      <c r="N274" s="2">
        <v>1.36879</v>
      </c>
      <c r="O274" s="2">
        <f t="shared" si="74"/>
        <v>533.82809999999995</v>
      </c>
      <c r="P274" s="2">
        <f t="shared" si="75"/>
        <v>82.127399999999994</v>
      </c>
      <c r="Q274" s="1">
        <v>61.901910000000001</v>
      </c>
      <c r="R274" s="3">
        <f t="shared" si="76"/>
        <v>33044.979001670996</v>
      </c>
      <c r="S274" s="3">
        <f t="shared" si="77"/>
        <v>5083.8429233339994</v>
      </c>
      <c r="T274" s="4">
        <f t="shared" si="78"/>
        <v>0.15384615384615385</v>
      </c>
    </row>
    <row r="275" spans="1:20" x14ac:dyDescent="0.25">
      <c r="A275" s="1">
        <v>271</v>
      </c>
      <c r="B275" s="1" t="s">
        <v>705</v>
      </c>
      <c r="C275" s="5">
        <v>41642</v>
      </c>
      <c r="D275" s="1" t="s">
        <v>15</v>
      </c>
      <c r="E275" s="1" t="s">
        <v>706</v>
      </c>
      <c r="F275" s="1" t="s">
        <v>582</v>
      </c>
      <c r="G275" s="1" t="s">
        <v>164</v>
      </c>
      <c r="H275" s="1" t="s">
        <v>31</v>
      </c>
      <c r="I275" s="1" t="s">
        <v>32</v>
      </c>
      <c r="J275" s="1">
        <v>189</v>
      </c>
      <c r="K275" s="1" t="s">
        <v>32</v>
      </c>
      <c r="L275" s="1">
        <v>179</v>
      </c>
      <c r="M275" s="1">
        <v>2</v>
      </c>
      <c r="N275" s="2">
        <v>1.36879</v>
      </c>
      <c r="O275" s="2">
        <f t="shared" si="74"/>
        <v>490.02681999999999</v>
      </c>
      <c r="P275" s="2">
        <f t="shared" si="75"/>
        <v>27.375799999999998</v>
      </c>
      <c r="Q275" s="1">
        <v>61.901910000000001</v>
      </c>
      <c r="R275" s="3">
        <f t="shared" si="76"/>
        <v>30333.5961092262</v>
      </c>
      <c r="S275" s="3">
        <f t="shared" si="77"/>
        <v>1694.614307778</v>
      </c>
      <c r="T275" s="4">
        <f t="shared" si="78"/>
        <v>5.5865921787709494E-2</v>
      </c>
    </row>
    <row r="276" spans="1:20" x14ac:dyDescent="0.25">
      <c r="A276" s="1">
        <v>272</v>
      </c>
      <c r="B276" s="1" t="s">
        <v>707</v>
      </c>
      <c r="C276" s="5">
        <v>41642</v>
      </c>
      <c r="D276" s="1" t="s">
        <v>15</v>
      </c>
      <c r="E276" s="1" t="s">
        <v>708</v>
      </c>
      <c r="F276" s="1" t="s">
        <v>582</v>
      </c>
      <c r="G276" s="1" t="s">
        <v>164</v>
      </c>
      <c r="H276" s="1" t="s">
        <v>31</v>
      </c>
      <c r="I276" s="1" t="s">
        <v>32</v>
      </c>
      <c r="J276" s="1">
        <v>189</v>
      </c>
      <c r="K276" s="1" t="s">
        <v>32</v>
      </c>
      <c r="L276" s="1">
        <v>179</v>
      </c>
      <c r="M276" s="1">
        <v>1</v>
      </c>
      <c r="N276" s="2">
        <v>1.36879</v>
      </c>
      <c r="O276" s="2">
        <f t="shared" si="74"/>
        <v>245.01340999999999</v>
      </c>
      <c r="P276" s="2">
        <f t="shared" si="75"/>
        <v>13.687899999999999</v>
      </c>
      <c r="Q276" s="1">
        <v>61.901910000000001</v>
      </c>
      <c r="R276" s="3">
        <f t="shared" si="76"/>
        <v>15166.7980546131</v>
      </c>
      <c r="S276" s="3">
        <f t="shared" si="77"/>
        <v>847.30715388900001</v>
      </c>
      <c r="T276" s="4">
        <f t="shared" si="78"/>
        <v>5.5865921787709494E-2</v>
      </c>
    </row>
    <row r="277" spans="1:20" x14ac:dyDescent="0.25">
      <c r="A277" s="1">
        <v>273</v>
      </c>
      <c r="B277" s="1" t="s">
        <v>709</v>
      </c>
      <c r="C277" s="5">
        <v>41642</v>
      </c>
      <c r="D277" s="1" t="s">
        <v>15</v>
      </c>
      <c r="E277" s="1" t="s">
        <v>710</v>
      </c>
      <c r="F277" s="1" t="s">
        <v>582</v>
      </c>
      <c r="G277" s="1" t="s">
        <v>164</v>
      </c>
      <c r="H277" s="1" t="s">
        <v>31</v>
      </c>
      <c r="I277" s="1" t="s">
        <v>32</v>
      </c>
      <c r="J277" s="1">
        <v>152</v>
      </c>
      <c r="K277" s="1" t="s">
        <v>32</v>
      </c>
      <c r="L277" s="1">
        <v>142</v>
      </c>
      <c r="M277" s="1">
        <v>1</v>
      </c>
      <c r="N277" s="2">
        <v>1.36879</v>
      </c>
      <c r="O277" s="2">
        <f t="shared" si="74"/>
        <v>194.36818</v>
      </c>
      <c r="P277" s="2">
        <f t="shared" si="75"/>
        <v>13.687899999999999</v>
      </c>
      <c r="Q277" s="1">
        <v>61.901910000000001</v>
      </c>
      <c r="R277" s="3">
        <f t="shared" si="76"/>
        <v>12031.7615852238</v>
      </c>
      <c r="S277" s="3">
        <f t="shared" si="77"/>
        <v>847.30715388900001</v>
      </c>
      <c r="T277" s="4">
        <f t="shared" si="78"/>
        <v>7.0422535211267609E-2</v>
      </c>
    </row>
    <row r="278" spans="1:20" x14ac:dyDescent="0.25">
      <c r="A278" s="1">
        <v>274</v>
      </c>
      <c r="B278" s="1" t="s">
        <v>711</v>
      </c>
      <c r="C278" s="5">
        <v>41695</v>
      </c>
      <c r="D278" s="1" t="s">
        <v>15</v>
      </c>
      <c r="E278" s="1" t="s">
        <v>35</v>
      </c>
      <c r="F278" s="1" t="s">
        <v>712</v>
      </c>
      <c r="G278" s="1" t="s">
        <v>713</v>
      </c>
      <c r="H278" s="1" t="s">
        <v>88</v>
      </c>
      <c r="I278" s="1" t="s">
        <v>89</v>
      </c>
      <c r="J278" s="1">
        <v>4380</v>
      </c>
      <c r="K278" s="1" t="s">
        <v>89</v>
      </c>
      <c r="L278" s="1">
        <v>4280</v>
      </c>
      <c r="M278" s="1">
        <v>1</v>
      </c>
      <c r="N278" s="2">
        <v>1.619E-2</v>
      </c>
      <c r="O278" s="2">
        <f t="shared" si="74"/>
        <v>69.293199999999999</v>
      </c>
      <c r="P278" s="2">
        <f t="shared" si="75"/>
        <v>1.619</v>
      </c>
      <c r="Q278" s="1">
        <v>61.901910000000001</v>
      </c>
      <c r="R278" s="3">
        <f t="shared" si="76"/>
        <v>4289.3814300120002</v>
      </c>
      <c r="S278" s="3">
        <f t="shared" si="77"/>
        <v>100.21919229</v>
      </c>
      <c r="T278" s="4">
        <f t="shared" si="78"/>
        <v>2.336448598130841E-2</v>
      </c>
    </row>
    <row r="279" spans="1:20" x14ac:dyDescent="0.25">
      <c r="A279" s="1">
        <v>275</v>
      </c>
      <c r="B279" s="1" t="s">
        <v>714</v>
      </c>
      <c r="C279" s="5">
        <v>41695</v>
      </c>
      <c r="D279" s="1" t="s">
        <v>15</v>
      </c>
      <c r="E279" s="1" t="s">
        <v>60</v>
      </c>
      <c r="F279" s="1" t="s">
        <v>712</v>
      </c>
      <c r="G279" s="1" t="s">
        <v>713</v>
      </c>
      <c r="H279" s="1" t="s">
        <v>88</v>
      </c>
      <c r="I279" s="1" t="s">
        <v>89</v>
      </c>
      <c r="J279" s="1">
        <v>4380</v>
      </c>
      <c r="K279" s="1" t="s">
        <v>89</v>
      </c>
      <c r="L279" s="1">
        <v>4280</v>
      </c>
      <c r="M279" s="1">
        <v>1</v>
      </c>
      <c r="N279" s="2">
        <v>1.619E-2</v>
      </c>
      <c r="O279" s="2">
        <f t="shared" si="74"/>
        <v>69.293199999999999</v>
      </c>
      <c r="P279" s="2">
        <f t="shared" si="75"/>
        <v>1.619</v>
      </c>
      <c r="Q279" s="1">
        <v>61.901910000000001</v>
      </c>
      <c r="R279" s="3">
        <f t="shared" si="76"/>
        <v>4289.3814300120002</v>
      </c>
      <c r="S279" s="3">
        <f t="shared" si="77"/>
        <v>100.21919229</v>
      </c>
      <c r="T279" s="4">
        <f t="shared" si="78"/>
        <v>2.336448598130841E-2</v>
      </c>
    </row>
    <row r="280" spans="1:20" x14ac:dyDescent="0.25">
      <c r="A280" s="1">
        <v>276</v>
      </c>
      <c r="B280" s="1" t="s">
        <v>715</v>
      </c>
      <c r="C280" s="5">
        <v>41695</v>
      </c>
      <c r="D280" s="1" t="s">
        <v>25</v>
      </c>
      <c r="E280" s="1" t="s">
        <v>183</v>
      </c>
      <c r="F280" s="1" t="s">
        <v>712</v>
      </c>
      <c r="G280" s="1" t="s">
        <v>713</v>
      </c>
      <c r="H280" s="1" t="s">
        <v>88</v>
      </c>
      <c r="I280" s="1" t="s">
        <v>89</v>
      </c>
      <c r="J280" s="1">
        <v>4380</v>
      </c>
      <c r="K280" s="1" t="s">
        <v>89</v>
      </c>
      <c r="L280" s="1">
        <v>4280</v>
      </c>
      <c r="M280" s="1">
        <v>2</v>
      </c>
      <c r="N280" s="2">
        <v>1.619E-2</v>
      </c>
      <c r="O280" s="2">
        <f t="shared" si="74"/>
        <v>138.5864</v>
      </c>
      <c r="P280" s="2">
        <f t="shared" si="75"/>
        <v>3.238</v>
      </c>
      <c r="Q280" s="1">
        <v>61.901910000000001</v>
      </c>
      <c r="R280" s="3">
        <f t="shared" si="76"/>
        <v>8578.7628600240005</v>
      </c>
      <c r="S280" s="3">
        <f t="shared" si="77"/>
        <v>200.43838457999999</v>
      </c>
      <c r="T280" s="4">
        <f t="shared" si="78"/>
        <v>2.336448598130841E-2</v>
      </c>
    </row>
    <row r="281" spans="1:20" x14ac:dyDescent="0.25">
      <c r="A281" s="1">
        <v>277</v>
      </c>
      <c r="B281" s="1" t="s">
        <v>716</v>
      </c>
      <c r="C281" s="5">
        <v>41692</v>
      </c>
      <c r="D281" s="1" t="s">
        <v>15</v>
      </c>
      <c r="E281" s="1" t="s">
        <v>72</v>
      </c>
      <c r="F281" s="1" t="s">
        <v>672</v>
      </c>
      <c r="G281" s="1" t="s">
        <v>185</v>
      </c>
      <c r="H281" s="1" t="s">
        <v>83</v>
      </c>
      <c r="I281" s="1" t="s">
        <v>32</v>
      </c>
      <c r="J281" s="1">
        <v>170</v>
      </c>
      <c r="K281" s="1" t="s">
        <v>32</v>
      </c>
      <c r="L281" s="1">
        <v>125</v>
      </c>
      <c r="M281" s="1">
        <v>1</v>
      </c>
      <c r="N281" s="2">
        <v>1.36879</v>
      </c>
      <c r="O281" s="2">
        <f t="shared" si="74"/>
        <v>171.09875</v>
      </c>
      <c r="P281" s="2">
        <f t="shared" si="75"/>
        <v>61.595549999999996</v>
      </c>
      <c r="Q281" s="1">
        <v>61.901910000000001</v>
      </c>
      <c r="R281" s="3">
        <f t="shared" si="76"/>
        <v>10591.3394236125</v>
      </c>
      <c r="S281" s="3">
        <f t="shared" si="77"/>
        <v>3812.8821925005</v>
      </c>
      <c r="T281" s="4">
        <f t="shared" si="78"/>
        <v>0.36</v>
      </c>
    </row>
    <row r="282" spans="1:20" x14ac:dyDescent="0.25">
      <c r="A282" s="1">
        <v>278</v>
      </c>
      <c r="B282" s="1" t="s">
        <v>717</v>
      </c>
      <c r="C282" s="5">
        <v>41692</v>
      </c>
      <c r="D282" s="1" t="s">
        <v>15</v>
      </c>
      <c r="E282" s="1" t="s">
        <v>72</v>
      </c>
      <c r="F282" s="1" t="s">
        <v>348</v>
      </c>
      <c r="G282" s="1" t="s">
        <v>30</v>
      </c>
      <c r="H282" s="1" t="s">
        <v>31</v>
      </c>
      <c r="I282" s="1" t="s">
        <v>32</v>
      </c>
      <c r="J282" s="1">
        <v>90</v>
      </c>
      <c r="K282" s="1" t="s">
        <v>32</v>
      </c>
      <c r="L282" s="1">
        <v>63</v>
      </c>
      <c r="M282" s="1">
        <v>1</v>
      </c>
      <c r="N282" s="2">
        <v>1.36879</v>
      </c>
      <c r="O282" s="2">
        <f t="shared" si="74"/>
        <v>86.233769999999993</v>
      </c>
      <c r="P282" s="2">
        <f t="shared" si="75"/>
        <v>36.957329999999999</v>
      </c>
      <c r="Q282" s="1">
        <v>61.901910000000001</v>
      </c>
      <c r="R282" s="3">
        <f t="shared" si="76"/>
        <v>5338.0350695007</v>
      </c>
      <c r="S282" s="3">
        <f t="shared" si="77"/>
        <v>2287.7293155002999</v>
      </c>
      <c r="T282" s="4">
        <f t="shared" si="78"/>
        <v>0.42857142857142855</v>
      </c>
    </row>
    <row r="283" spans="1:20" x14ac:dyDescent="0.25">
      <c r="A283" s="1">
        <v>279</v>
      </c>
      <c r="B283" s="1" t="s">
        <v>718</v>
      </c>
      <c r="C283" s="5">
        <v>41692</v>
      </c>
      <c r="D283" s="1" t="s">
        <v>719</v>
      </c>
      <c r="E283" s="1" t="s">
        <v>720</v>
      </c>
      <c r="F283" s="1" t="s">
        <v>721</v>
      </c>
      <c r="G283" s="1" t="s">
        <v>722</v>
      </c>
      <c r="H283" s="1" t="s">
        <v>105</v>
      </c>
      <c r="I283" s="1" t="s">
        <v>32</v>
      </c>
      <c r="J283" s="1">
        <v>140</v>
      </c>
      <c r="K283" s="1" t="s">
        <v>32</v>
      </c>
      <c r="L283" s="1">
        <v>130</v>
      </c>
      <c r="M283" s="1">
        <v>1</v>
      </c>
      <c r="N283" s="2">
        <v>1.36879</v>
      </c>
      <c r="O283" s="2">
        <f t="shared" si="74"/>
        <v>177.9427</v>
      </c>
      <c r="P283" s="2">
        <f t="shared" si="75"/>
        <v>13.687899999999999</v>
      </c>
      <c r="Q283" s="1">
        <v>61.901910000000001</v>
      </c>
      <c r="R283" s="3">
        <f t="shared" si="76"/>
        <v>11014.993000557</v>
      </c>
      <c r="S283" s="3">
        <f t="shared" si="77"/>
        <v>847.30715388900001</v>
      </c>
      <c r="T283" s="4">
        <f t="shared" si="78"/>
        <v>7.6923076923076927E-2</v>
      </c>
    </row>
    <row r="284" spans="1:20" x14ac:dyDescent="0.25">
      <c r="A284" s="1">
        <v>280</v>
      </c>
      <c r="B284" s="1" t="s">
        <v>723</v>
      </c>
      <c r="C284" s="5">
        <v>41692</v>
      </c>
      <c r="D284" s="1" t="s">
        <v>719</v>
      </c>
      <c r="E284" s="1" t="s">
        <v>724</v>
      </c>
      <c r="F284" s="1" t="s">
        <v>721</v>
      </c>
      <c r="G284" s="1" t="s">
        <v>722</v>
      </c>
      <c r="H284" s="1" t="s">
        <v>105</v>
      </c>
      <c r="I284" s="1" t="s">
        <v>32</v>
      </c>
      <c r="J284" s="1">
        <v>140</v>
      </c>
      <c r="K284" s="1" t="s">
        <v>32</v>
      </c>
      <c r="L284" s="1">
        <v>130</v>
      </c>
      <c r="M284" s="1">
        <v>1</v>
      </c>
      <c r="N284" s="2">
        <v>1.36879</v>
      </c>
      <c r="O284" s="2">
        <f t="shared" si="74"/>
        <v>177.9427</v>
      </c>
      <c r="P284" s="2">
        <f t="shared" si="75"/>
        <v>13.687899999999999</v>
      </c>
      <c r="Q284" s="1">
        <v>61.901910000000001</v>
      </c>
      <c r="R284" s="3">
        <f t="shared" si="76"/>
        <v>11014.993000557</v>
      </c>
      <c r="S284" s="3">
        <f t="shared" si="77"/>
        <v>847.30715388900001</v>
      </c>
      <c r="T284" s="4">
        <f t="shared" si="78"/>
        <v>7.6923076923076927E-2</v>
      </c>
    </row>
    <row r="285" spans="1:20" x14ac:dyDescent="0.25">
      <c r="A285" s="1">
        <v>281</v>
      </c>
      <c r="B285" s="1" t="s">
        <v>725</v>
      </c>
      <c r="C285" s="5">
        <v>41691</v>
      </c>
      <c r="D285" s="1" t="s">
        <v>586</v>
      </c>
      <c r="E285" s="1" t="s">
        <v>726</v>
      </c>
      <c r="F285" s="1" t="s">
        <v>727</v>
      </c>
      <c r="G285" s="1" t="s">
        <v>261</v>
      </c>
      <c r="H285" s="1" t="s">
        <v>728</v>
      </c>
      <c r="I285" s="1" t="s">
        <v>23</v>
      </c>
      <c r="J285" s="1">
        <v>137</v>
      </c>
      <c r="K285" s="1" t="s">
        <v>23</v>
      </c>
      <c r="L285" s="1">
        <v>127</v>
      </c>
      <c r="M285" s="1">
        <v>3</v>
      </c>
      <c r="N285" s="2">
        <v>1</v>
      </c>
      <c r="O285" s="2">
        <f t="shared" si="74"/>
        <v>381</v>
      </c>
      <c r="P285" s="2">
        <f t="shared" si="75"/>
        <v>30</v>
      </c>
      <c r="Q285" s="1">
        <v>61.901910000000001</v>
      </c>
      <c r="R285" s="3">
        <f t="shared" ref="R285" si="79">O285*Q285</f>
        <v>23584.627710000001</v>
      </c>
      <c r="S285" s="3">
        <f t="shared" ref="S285" si="80">P285*Q285</f>
        <v>1857.0572999999999</v>
      </c>
      <c r="T285" s="4">
        <f t="shared" ref="T285" si="81">S285/R285</f>
        <v>7.874015748031496E-2</v>
      </c>
    </row>
    <row r="286" spans="1:20" x14ac:dyDescent="0.25">
      <c r="A286" s="1">
        <v>282</v>
      </c>
      <c r="B286" s="1" t="s">
        <v>729</v>
      </c>
      <c r="C286" s="5">
        <v>41690</v>
      </c>
      <c r="D286" s="1" t="s">
        <v>15</v>
      </c>
      <c r="E286" s="1" t="s">
        <v>477</v>
      </c>
      <c r="F286" s="1" t="s">
        <v>306</v>
      </c>
      <c r="G286" s="1" t="s">
        <v>54</v>
      </c>
      <c r="H286" s="1" t="s">
        <v>54</v>
      </c>
      <c r="I286" s="1" t="s">
        <v>23</v>
      </c>
      <c r="J286" s="1">
        <v>157</v>
      </c>
      <c r="K286" s="1" t="s">
        <v>23</v>
      </c>
      <c r="L286" s="1">
        <v>147</v>
      </c>
      <c r="M286" s="1">
        <v>2</v>
      </c>
      <c r="N286" s="2">
        <v>1</v>
      </c>
      <c r="O286" s="2">
        <f t="shared" ref="O286:O310" si="82">(L286*M286)*N286</f>
        <v>294</v>
      </c>
      <c r="P286" s="2">
        <f t="shared" ref="P286:P310" si="83">(J286-L286)*M286*N286</f>
        <v>20</v>
      </c>
      <c r="Q286" s="1">
        <v>61.901910000000001</v>
      </c>
      <c r="R286" s="3">
        <f t="shared" ref="R286:R310" si="84">O286*Q286</f>
        <v>18199.161540000001</v>
      </c>
      <c r="S286" s="3">
        <f t="shared" ref="S286:S310" si="85">P286*Q286</f>
        <v>1238.0382</v>
      </c>
      <c r="T286" s="4">
        <f t="shared" ref="T286:T310" si="86">S286/R286</f>
        <v>6.8027210884353734E-2</v>
      </c>
    </row>
    <row r="287" spans="1:20" x14ac:dyDescent="0.25">
      <c r="A287" s="1">
        <v>283</v>
      </c>
      <c r="B287" s="1" t="s">
        <v>730</v>
      </c>
      <c r="C287" s="5">
        <v>41689</v>
      </c>
      <c r="D287" s="1" t="s">
        <v>15</v>
      </c>
      <c r="E287" s="1" t="s">
        <v>477</v>
      </c>
      <c r="F287" s="1" t="s">
        <v>731</v>
      </c>
      <c r="G287" s="1" t="s">
        <v>691</v>
      </c>
      <c r="H287" s="1" t="s">
        <v>22</v>
      </c>
      <c r="I287" s="1" t="s">
        <v>23</v>
      </c>
      <c r="J287" s="1">
        <v>158</v>
      </c>
      <c r="K287" s="1" t="s">
        <v>23</v>
      </c>
      <c r="L287" s="1">
        <v>148</v>
      </c>
      <c r="M287" s="1">
        <v>3</v>
      </c>
      <c r="N287" s="2">
        <v>1</v>
      </c>
      <c r="O287" s="2">
        <f t="shared" si="82"/>
        <v>444</v>
      </c>
      <c r="P287" s="2">
        <f t="shared" si="83"/>
        <v>30</v>
      </c>
      <c r="Q287" s="1">
        <v>61.901910000000001</v>
      </c>
      <c r="R287" s="3">
        <f t="shared" si="84"/>
        <v>27484.448039999999</v>
      </c>
      <c r="S287" s="3">
        <f t="shared" si="85"/>
        <v>1857.0572999999999</v>
      </c>
      <c r="T287" s="4">
        <f t="shared" si="86"/>
        <v>6.7567567567567571E-2</v>
      </c>
    </row>
    <row r="288" spans="1:20" x14ac:dyDescent="0.25">
      <c r="A288" s="1">
        <v>284</v>
      </c>
      <c r="B288" s="1" t="s">
        <v>732</v>
      </c>
      <c r="C288" s="5">
        <v>41688</v>
      </c>
      <c r="D288" s="1" t="s">
        <v>15</v>
      </c>
      <c r="E288" s="1" t="s">
        <v>38</v>
      </c>
      <c r="F288" s="1" t="s">
        <v>733</v>
      </c>
      <c r="G288" s="1" t="s">
        <v>734</v>
      </c>
      <c r="H288" s="1" t="s">
        <v>50</v>
      </c>
      <c r="I288" s="1" t="s">
        <v>23</v>
      </c>
      <c r="J288" s="1">
        <v>175</v>
      </c>
      <c r="K288" s="1" t="s">
        <v>23</v>
      </c>
      <c r="L288" s="1">
        <v>165</v>
      </c>
      <c r="M288" s="1">
        <v>2</v>
      </c>
      <c r="N288" s="2">
        <v>1</v>
      </c>
      <c r="O288" s="2">
        <f t="shared" si="82"/>
        <v>330</v>
      </c>
      <c r="P288" s="2">
        <f t="shared" si="83"/>
        <v>20</v>
      </c>
      <c r="Q288" s="1">
        <v>61.901910000000001</v>
      </c>
      <c r="R288" s="3">
        <f t="shared" si="84"/>
        <v>20427.630300000001</v>
      </c>
      <c r="S288" s="3">
        <f t="shared" si="85"/>
        <v>1238.0382</v>
      </c>
      <c r="T288" s="4">
        <f t="shared" si="86"/>
        <v>6.0606060606060601E-2</v>
      </c>
    </row>
    <row r="289" spans="1:20" x14ac:dyDescent="0.25">
      <c r="A289" s="1">
        <v>285</v>
      </c>
      <c r="B289" s="1" t="s">
        <v>735</v>
      </c>
      <c r="C289" s="5">
        <v>41687</v>
      </c>
      <c r="D289" s="1" t="s">
        <v>15</v>
      </c>
      <c r="E289" s="1" t="s">
        <v>47</v>
      </c>
      <c r="F289" s="1" t="s">
        <v>736</v>
      </c>
      <c r="G289" s="1" t="s">
        <v>294</v>
      </c>
      <c r="H289" s="1" t="s">
        <v>31</v>
      </c>
      <c r="I289" s="1" t="s">
        <v>32</v>
      </c>
      <c r="J289" s="1">
        <v>90</v>
      </c>
      <c r="K289" s="1" t="s">
        <v>32</v>
      </c>
      <c r="L289" s="1">
        <v>70</v>
      </c>
      <c r="M289" s="1">
        <v>2</v>
      </c>
      <c r="N289" s="2">
        <v>1.36879</v>
      </c>
      <c r="O289" s="2">
        <f t="shared" si="82"/>
        <v>191.63059999999999</v>
      </c>
      <c r="P289" s="2">
        <f t="shared" si="83"/>
        <v>54.751599999999996</v>
      </c>
      <c r="Q289" s="1">
        <v>61.901910000000001</v>
      </c>
      <c r="R289" s="3">
        <f t="shared" si="84"/>
        <v>11862.300154445998</v>
      </c>
      <c r="S289" s="3">
        <f t="shared" si="85"/>
        <v>3389.228615556</v>
      </c>
      <c r="T289" s="4">
        <f t="shared" si="86"/>
        <v>0.28571428571428575</v>
      </c>
    </row>
    <row r="290" spans="1:20" x14ac:dyDescent="0.25">
      <c r="A290" s="1">
        <v>286</v>
      </c>
      <c r="B290" s="1" t="s">
        <v>737</v>
      </c>
      <c r="C290" s="5">
        <v>41687</v>
      </c>
      <c r="D290" s="1" t="s">
        <v>15</v>
      </c>
      <c r="E290" s="1" t="s">
        <v>738</v>
      </c>
      <c r="F290" s="1" t="s">
        <v>739</v>
      </c>
      <c r="G290" s="1" t="s">
        <v>238</v>
      </c>
      <c r="H290" s="1" t="s">
        <v>117</v>
      </c>
      <c r="I290" s="1" t="s">
        <v>23</v>
      </c>
      <c r="J290" s="1">
        <v>131</v>
      </c>
      <c r="K290" s="1" t="s">
        <v>23</v>
      </c>
      <c r="L290" s="1">
        <v>121</v>
      </c>
      <c r="M290" s="1">
        <v>1</v>
      </c>
      <c r="N290" s="2">
        <v>1</v>
      </c>
      <c r="O290" s="2">
        <f t="shared" si="82"/>
        <v>121</v>
      </c>
      <c r="P290" s="2">
        <f t="shared" si="83"/>
        <v>10</v>
      </c>
      <c r="Q290" s="1">
        <v>61.901910000000001</v>
      </c>
      <c r="R290" s="3">
        <f t="shared" si="84"/>
        <v>7490.1311100000003</v>
      </c>
      <c r="S290" s="3">
        <f t="shared" si="85"/>
        <v>619.01909999999998</v>
      </c>
      <c r="T290" s="4">
        <f t="shared" si="86"/>
        <v>8.2644628099173542E-2</v>
      </c>
    </row>
    <row r="291" spans="1:20" x14ac:dyDescent="0.25">
      <c r="A291" s="1">
        <v>287</v>
      </c>
      <c r="B291" s="18" t="s">
        <v>740</v>
      </c>
      <c r="C291" s="19">
        <v>41684</v>
      </c>
      <c r="D291" s="18" t="s">
        <v>25</v>
      </c>
      <c r="E291" s="18" t="s">
        <v>660</v>
      </c>
      <c r="F291" s="18" t="s">
        <v>741</v>
      </c>
      <c r="G291" s="18" t="s">
        <v>414</v>
      </c>
      <c r="H291" s="18" t="s">
        <v>88</v>
      </c>
      <c r="I291" s="18" t="s">
        <v>89</v>
      </c>
      <c r="J291" s="18">
        <v>10210</v>
      </c>
      <c r="K291" s="18" t="s">
        <v>89</v>
      </c>
      <c r="L291" s="18">
        <v>9999</v>
      </c>
      <c r="M291" s="18">
        <v>2</v>
      </c>
      <c r="N291" s="20">
        <v>1.619E-2</v>
      </c>
      <c r="O291" s="20">
        <f t="shared" si="82"/>
        <v>323.76761999999997</v>
      </c>
      <c r="P291" s="20">
        <f t="shared" si="83"/>
        <v>6.8321800000000001</v>
      </c>
      <c r="Q291" s="18">
        <v>61.901910000000001</v>
      </c>
      <c r="R291" s="21">
        <f t="shared" si="84"/>
        <v>20041.834074154198</v>
      </c>
      <c r="S291" s="21">
        <f t="shared" si="85"/>
        <v>422.92499146380004</v>
      </c>
      <c r="T291" s="22">
        <f t="shared" si="86"/>
        <v>2.1102110211021107E-2</v>
      </c>
    </row>
    <row r="292" spans="1:20" x14ac:dyDescent="0.25">
      <c r="A292" s="1">
        <v>288</v>
      </c>
      <c r="B292" s="18" t="s">
        <v>742</v>
      </c>
      <c r="C292" s="19">
        <v>41684</v>
      </c>
      <c r="D292" s="18" t="s">
        <v>25</v>
      </c>
      <c r="E292" s="18" t="s">
        <v>666</v>
      </c>
      <c r="F292" s="18" t="s">
        <v>741</v>
      </c>
      <c r="G292" s="18" t="s">
        <v>414</v>
      </c>
      <c r="H292" s="18" t="s">
        <v>88</v>
      </c>
      <c r="I292" s="18" t="s">
        <v>89</v>
      </c>
      <c r="J292" s="18">
        <v>10210</v>
      </c>
      <c r="K292" s="18" t="s">
        <v>89</v>
      </c>
      <c r="L292" s="18">
        <v>9999</v>
      </c>
      <c r="M292" s="18">
        <v>2</v>
      </c>
      <c r="N292" s="20">
        <v>1.619E-2</v>
      </c>
      <c r="O292" s="20">
        <f t="shared" si="82"/>
        <v>323.76761999999997</v>
      </c>
      <c r="P292" s="20">
        <f t="shared" si="83"/>
        <v>6.8321800000000001</v>
      </c>
      <c r="Q292" s="18">
        <v>61.901910000000001</v>
      </c>
      <c r="R292" s="21">
        <f t="shared" si="84"/>
        <v>20041.834074154198</v>
      </c>
      <c r="S292" s="21">
        <f t="shared" si="85"/>
        <v>422.92499146380004</v>
      </c>
      <c r="T292" s="22">
        <f t="shared" si="86"/>
        <v>2.1102110211021107E-2</v>
      </c>
    </row>
    <row r="293" spans="1:20" x14ac:dyDescent="0.25">
      <c r="A293" s="1">
        <v>289</v>
      </c>
      <c r="B293" s="18" t="s">
        <v>743</v>
      </c>
      <c r="C293" s="19">
        <v>41684</v>
      </c>
      <c r="D293" s="18" t="s">
        <v>25</v>
      </c>
      <c r="E293" s="18" t="s">
        <v>664</v>
      </c>
      <c r="F293" s="18" t="s">
        <v>741</v>
      </c>
      <c r="G293" s="18" t="s">
        <v>414</v>
      </c>
      <c r="H293" s="18" t="s">
        <v>88</v>
      </c>
      <c r="I293" s="18" t="s">
        <v>89</v>
      </c>
      <c r="J293" s="18">
        <v>10210</v>
      </c>
      <c r="K293" s="18" t="s">
        <v>89</v>
      </c>
      <c r="L293" s="18">
        <v>9999</v>
      </c>
      <c r="M293" s="18">
        <v>2</v>
      </c>
      <c r="N293" s="20">
        <v>1.619E-2</v>
      </c>
      <c r="O293" s="20">
        <f t="shared" si="82"/>
        <v>323.76761999999997</v>
      </c>
      <c r="P293" s="20">
        <f t="shared" si="83"/>
        <v>6.8321800000000001</v>
      </c>
      <c r="Q293" s="18">
        <v>61.901910000000001</v>
      </c>
      <c r="R293" s="21">
        <f t="shared" si="84"/>
        <v>20041.834074154198</v>
      </c>
      <c r="S293" s="21">
        <f t="shared" si="85"/>
        <v>422.92499146380004</v>
      </c>
      <c r="T293" s="22">
        <f t="shared" si="86"/>
        <v>2.1102110211021107E-2</v>
      </c>
    </row>
    <row r="294" spans="1:20" x14ac:dyDescent="0.25">
      <c r="A294" s="1">
        <v>290</v>
      </c>
      <c r="B294" s="18" t="s">
        <v>744</v>
      </c>
      <c r="C294" s="19">
        <v>41684</v>
      </c>
      <c r="D294" s="18" t="s">
        <v>25</v>
      </c>
      <c r="E294" s="18" t="s">
        <v>229</v>
      </c>
      <c r="F294" s="18" t="s">
        <v>741</v>
      </c>
      <c r="G294" s="18" t="s">
        <v>414</v>
      </c>
      <c r="H294" s="18" t="s">
        <v>88</v>
      </c>
      <c r="I294" s="18" t="s">
        <v>89</v>
      </c>
      <c r="J294" s="18">
        <v>10210</v>
      </c>
      <c r="K294" s="18" t="s">
        <v>89</v>
      </c>
      <c r="L294" s="18">
        <v>9999</v>
      </c>
      <c r="M294" s="18">
        <v>2</v>
      </c>
      <c r="N294" s="20">
        <v>1.619E-2</v>
      </c>
      <c r="O294" s="20">
        <f t="shared" si="82"/>
        <v>323.76761999999997</v>
      </c>
      <c r="P294" s="20">
        <f t="shared" si="83"/>
        <v>6.8321800000000001</v>
      </c>
      <c r="Q294" s="18">
        <v>61.901910000000001</v>
      </c>
      <c r="R294" s="21">
        <f t="shared" si="84"/>
        <v>20041.834074154198</v>
      </c>
      <c r="S294" s="21">
        <f t="shared" si="85"/>
        <v>422.92499146380004</v>
      </c>
      <c r="T294" s="22">
        <f t="shared" si="86"/>
        <v>2.1102110211021107E-2</v>
      </c>
    </row>
    <row r="295" spans="1:20" x14ac:dyDescent="0.25">
      <c r="A295" s="1">
        <v>291</v>
      </c>
      <c r="B295" s="1" t="s">
        <v>745</v>
      </c>
      <c r="C295" s="5">
        <v>41682</v>
      </c>
      <c r="D295" s="1" t="s">
        <v>15</v>
      </c>
      <c r="E295" s="1" t="s">
        <v>38</v>
      </c>
      <c r="F295" s="1" t="s">
        <v>746</v>
      </c>
      <c r="G295" s="1" t="s">
        <v>747</v>
      </c>
      <c r="H295" s="1" t="s">
        <v>140</v>
      </c>
      <c r="I295" s="1" t="s">
        <v>141</v>
      </c>
      <c r="J295" s="1">
        <v>150</v>
      </c>
      <c r="K295" s="1" t="s">
        <v>141</v>
      </c>
      <c r="L295" s="1">
        <v>118</v>
      </c>
      <c r="M295" s="1">
        <v>3</v>
      </c>
      <c r="N295" s="2">
        <v>1.65507</v>
      </c>
      <c r="O295" s="2">
        <f t="shared" si="82"/>
        <v>585.89477999999997</v>
      </c>
      <c r="P295" s="2">
        <f t="shared" si="83"/>
        <v>158.88672</v>
      </c>
      <c r="Q295" s="1">
        <v>61.901910000000001</v>
      </c>
      <c r="R295" s="3">
        <f t="shared" si="84"/>
        <v>36268.005941029798</v>
      </c>
      <c r="S295" s="3">
        <f t="shared" si="85"/>
        <v>9835.3914416352</v>
      </c>
      <c r="T295" s="4">
        <f t="shared" si="86"/>
        <v>0.2711864406779661</v>
      </c>
    </row>
    <row r="296" spans="1:20" x14ac:dyDescent="0.25">
      <c r="A296" s="1">
        <v>292</v>
      </c>
      <c r="B296" s="1" t="s">
        <v>748</v>
      </c>
      <c r="C296" s="5">
        <v>41682</v>
      </c>
      <c r="D296" s="1" t="s">
        <v>25</v>
      </c>
      <c r="E296" s="1" t="s">
        <v>236</v>
      </c>
      <c r="F296" s="1" t="s">
        <v>746</v>
      </c>
      <c r="G296" s="1" t="s">
        <v>747</v>
      </c>
      <c r="H296" s="1" t="s">
        <v>140</v>
      </c>
      <c r="I296" s="1" t="s">
        <v>141</v>
      </c>
      <c r="J296" s="1">
        <v>120</v>
      </c>
      <c r="K296" s="1" t="s">
        <v>141</v>
      </c>
      <c r="L296" s="1">
        <v>105</v>
      </c>
      <c r="M296" s="1">
        <v>5</v>
      </c>
      <c r="N296" s="2">
        <v>1.65507</v>
      </c>
      <c r="O296" s="2">
        <f t="shared" si="82"/>
        <v>868.91174999999998</v>
      </c>
      <c r="P296" s="2">
        <f t="shared" si="83"/>
        <v>124.13025</v>
      </c>
      <c r="Q296" s="1">
        <v>61.901910000000001</v>
      </c>
      <c r="R296" s="3">
        <f t="shared" si="84"/>
        <v>53787.296946442497</v>
      </c>
      <c r="S296" s="3">
        <f t="shared" si="85"/>
        <v>7683.8995637775006</v>
      </c>
      <c r="T296" s="4">
        <f t="shared" si="86"/>
        <v>0.14285714285714288</v>
      </c>
    </row>
    <row r="297" spans="1:20" x14ac:dyDescent="0.25">
      <c r="A297" s="1">
        <v>293</v>
      </c>
      <c r="B297" s="1" t="s">
        <v>749</v>
      </c>
      <c r="C297" s="5">
        <v>41682</v>
      </c>
      <c r="D297" s="1" t="s">
        <v>719</v>
      </c>
      <c r="E297" s="1" t="s">
        <v>724</v>
      </c>
      <c r="F297" s="1" t="s">
        <v>750</v>
      </c>
      <c r="G297" s="1" t="s">
        <v>185</v>
      </c>
      <c r="H297" s="1" t="s">
        <v>83</v>
      </c>
      <c r="I297" s="1" t="s">
        <v>32</v>
      </c>
      <c r="J297" s="1">
        <v>126</v>
      </c>
      <c r="K297" s="1" t="s">
        <v>32</v>
      </c>
      <c r="L297" s="1">
        <v>116</v>
      </c>
      <c r="M297" s="1">
        <v>1</v>
      </c>
      <c r="N297" s="2">
        <v>1.36879</v>
      </c>
      <c r="O297" s="2">
        <f t="shared" si="82"/>
        <v>158.77964</v>
      </c>
      <c r="P297" s="2">
        <f t="shared" si="83"/>
        <v>13.687899999999999</v>
      </c>
      <c r="Q297" s="1">
        <v>61.901910000000001</v>
      </c>
      <c r="R297" s="3">
        <f t="shared" si="84"/>
        <v>9828.7629851124002</v>
      </c>
      <c r="S297" s="3">
        <f t="shared" si="85"/>
        <v>847.30715388900001</v>
      </c>
      <c r="T297" s="4">
        <f t="shared" si="86"/>
        <v>8.620689655172413E-2</v>
      </c>
    </row>
    <row r="298" spans="1:20" x14ac:dyDescent="0.25">
      <c r="A298" s="1">
        <v>294</v>
      </c>
      <c r="B298" s="1" t="s">
        <v>751</v>
      </c>
      <c r="C298" s="5">
        <v>41682</v>
      </c>
      <c r="D298" s="1" t="s">
        <v>719</v>
      </c>
      <c r="E298" s="1" t="s">
        <v>720</v>
      </c>
      <c r="F298" s="1" t="s">
        <v>750</v>
      </c>
      <c r="G298" s="1" t="s">
        <v>185</v>
      </c>
      <c r="H298" s="1" t="s">
        <v>83</v>
      </c>
      <c r="I298" s="1" t="s">
        <v>32</v>
      </c>
      <c r="J298" s="1">
        <v>126</v>
      </c>
      <c r="K298" s="1" t="s">
        <v>32</v>
      </c>
      <c r="L298" s="1">
        <v>116</v>
      </c>
      <c r="M298" s="1">
        <v>1</v>
      </c>
      <c r="N298" s="2">
        <v>1.36879</v>
      </c>
      <c r="O298" s="2">
        <f t="shared" si="82"/>
        <v>158.77964</v>
      </c>
      <c r="P298" s="2">
        <f t="shared" si="83"/>
        <v>13.687899999999999</v>
      </c>
      <c r="Q298" s="1">
        <v>61.901910000000001</v>
      </c>
      <c r="R298" s="3">
        <f t="shared" si="84"/>
        <v>9828.7629851124002</v>
      </c>
      <c r="S298" s="3">
        <f t="shared" si="85"/>
        <v>847.30715388900001</v>
      </c>
      <c r="T298" s="4">
        <f t="shared" si="86"/>
        <v>8.620689655172413E-2</v>
      </c>
    </row>
    <row r="299" spans="1:20" x14ac:dyDescent="0.25">
      <c r="A299" s="1">
        <v>295</v>
      </c>
      <c r="B299" s="1" t="s">
        <v>752</v>
      </c>
      <c r="C299" s="5">
        <v>41682</v>
      </c>
      <c r="D299" s="1" t="s">
        <v>15</v>
      </c>
      <c r="E299" s="1" t="s">
        <v>677</v>
      </c>
      <c r="F299" s="1" t="s">
        <v>753</v>
      </c>
      <c r="G299" s="1" t="s">
        <v>227</v>
      </c>
      <c r="H299" s="1" t="s">
        <v>88</v>
      </c>
      <c r="I299" s="1" t="s">
        <v>89</v>
      </c>
      <c r="J299" s="1">
        <v>4278</v>
      </c>
      <c r="K299" s="1" t="s">
        <v>89</v>
      </c>
      <c r="L299" s="1">
        <v>4178</v>
      </c>
      <c r="M299" s="1">
        <v>1</v>
      </c>
      <c r="N299" s="2">
        <v>1.619E-2</v>
      </c>
      <c r="O299" s="2">
        <f t="shared" si="82"/>
        <v>67.641819999999996</v>
      </c>
      <c r="P299" s="2">
        <f t="shared" si="83"/>
        <v>1.619</v>
      </c>
      <c r="Q299" s="1">
        <v>61.901910000000001</v>
      </c>
      <c r="R299" s="3">
        <f t="shared" si="84"/>
        <v>4187.1578538761996</v>
      </c>
      <c r="S299" s="3">
        <f t="shared" si="85"/>
        <v>100.21919229</v>
      </c>
      <c r="T299" s="4">
        <f t="shared" si="86"/>
        <v>2.3934897079942556E-2</v>
      </c>
    </row>
    <row r="300" spans="1:20" x14ac:dyDescent="0.25">
      <c r="A300" s="1">
        <v>296</v>
      </c>
      <c r="B300" s="1" t="s">
        <v>754</v>
      </c>
      <c r="C300" s="5">
        <v>41682</v>
      </c>
      <c r="D300" s="1" t="s">
        <v>25</v>
      </c>
      <c r="E300" s="1" t="s">
        <v>280</v>
      </c>
      <c r="F300" s="1" t="s">
        <v>753</v>
      </c>
      <c r="G300" s="1" t="s">
        <v>227</v>
      </c>
      <c r="H300" s="1" t="s">
        <v>88</v>
      </c>
      <c r="I300" s="1" t="s">
        <v>89</v>
      </c>
      <c r="J300" s="1">
        <v>4278</v>
      </c>
      <c r="K300" s="1" t="s">
        <v>89</v>
      </c>
      <c r="L300" s="1">
        <v>4178</v>
      </c>
      <c r="M300" s="1">
        <v>1</v>
      </c>
      <c r="N300" s="2">
        <v>1.619E-2</v>
      </c>
      <c r="O300" s="2">
        <f t="shared" si="82"/>
        <v>67.641819999999996</v>
      </c>
      <c r="P300" s="2">
        <f t="shared" si="83"/>
        <v>1.619</v>
      </c>
      <c r="Q300" s="1">
        <v>61.901910000000001</v>
      </c>
      <c r="R300" s="3">
        <f t="shared" si="84"/>
        <v>4187.1578538761996</v>
      </c>
      <c r="S300" s="3">
        <f t="shared" si="85"/>
        <v>100.21919229</v>
      </c>
      <c r="T300" s="4">
        <f t="shared" si="86"/>
        <v>2.3934897079942556E-2</v>
      </c>
    </row>
    <row r="301" spans="1:20" x14ac:dyDescent="0.25">
      <c r="A301" s="1">
        <v>297</v>
      </c>
      <c r="B301" s="1" t="s">
        <v>755</v>
      </c>
      <c r="C301" s="5">
        <v>41681</v>
      </c>
      <c r="D301" s="1" t="s">
        <v>25</v>
      </c>
      <c r="E301" s="1" t="s">
        <v>756</v>
      </c>
      <c r="F301" s="1" t="s">
        <v>757</v>
      </c>
      <c r="G301" s="1" t="s">
        <v>438</v>
      </c>
      <c r="H301" s="1" t="s">
        <v>88</v>
      </c>
      <c r="I301" s="1" t="s">
        <v>89</v>
      </c>
      <c r="J301" s="1">
        <v>4700</v>
      </c>
      <c r="K301" s="1" t="s">
        <v>89</v>
      </c>
      <c r="L301" s="1">
        <v>3700</v>
      </c>
      <c r="M301" s="1">
        <v>1</v>
      </c>
      <c r="N301" s="2">
        <v>1.619E-2</v>
      </c>
      <c r="O301" s="2">
        <f t="shared" si="82"/>
        <v>59.902999999999999</v>
      </c>
      <c r="P301" s="2">
        <f t="shared" si="83"/>
        <v>16.190000000000001</v>
      </c>
      <c r="Q301" s="1">
        <v>61.901910000000001</v>
      </c>
      <c r="R301" s="3">
        <f t="shared" si="84"/>
        <v>3708.1101147300001</v>
      </c>
      <c r="S301" s="3">
        <f t="shared" si="85"/>
        <v>1002.1919229000001</v>
      </c>
      <c r="T301" s="4">
        <f t="shared" si="86"/>
        <v>0.27027027027027029</v>
      </c>
    </row>
    <row r="302" spans="1:20" x14ac:dyDescent="0.25">
      <c r="A302" s="1">
        <v>298</v>
      </c>
      <c r="B302" s="1" t="s">
        <v>758</v>
      </c>
      <c r="C302" s="5">
        <v>41678</v>
      </c>
      <c r="D302" s="1" t="s">
        <v>15</v>
      </c>
      <c r="E302" s="1" t="s">
        <v>72</v>
      </c>
      <c r="F302" s="1" t="s">
        <v>134</v>
      </c>
      <c r="G302" s="1" t="s">
        <v>759</v>
      </c>
      <c r="H302" s="1" t="s">
        <v>31</v>
      </c>
      <c r="I302" s="1" t="s">
        <v>32</v>
      </c>
      <c r="J302" s="1">
        <v>200</v>
      </c>
      <c r="K302" s="1" t="s">
        <v>32</v>
      </c>
      <c r="L302" s="1">
        <v>113</v>
      </c>
      <c r="M302" s="1">
        <v>4</v>
      </c>
      <c r="N302" s="2">
        <v>1.36879</v>
      </c>
      <c r="O302" s="2">
        <f t="shared" si="82"/>
        <v>618.69308000000001</v>
      </c>
      <c r="P302" s="2">
        <f t="shared" si="83"/>
        <v>476.33891999999997</v>
      </c>
      <c r="Q302" s="1">
        <v>61.901910000000001</v>
      </c>
      <c r="R302" s="3">
        <f t="shared" si="84"/>
        <v>38298.283355782798</v>
      </c>
      <c r="S302" s="3">
        <f t="shared" si="85"/>
        <v>29486.288955337197</v>
      </c>
      <c r="T302" s="4">
        <f t="shared" si="86"/>
        <v>0.76991150442477874</v>
      </c>
    </row>
    <row r="303" spans="1:20" x14ac:dyDescent="0.25">
      <c r="A303" s="1">
        <v>299</v>
      </c>
      <c r="B303" s="1" t="s">
        <v>760</v>
      </c>
      <c r="C303" s="5">
        <v>41678</v>
      </c>
      <c r="D303" s="1" t="s">
        <v>15</v>
      </c>
      <c r="E303" s="1" t="s">
        <v>72</v>
      </c>
      <c r="F303" s="1" t="s">
        <v>350</v>
      </c>
      <c r="G303" s="1" t="s">
        <v>82</v>
      </c>
      <c r="H303" s="1" t="s">
        <v>83</v>
      </c>
      <c r="I303" s="1" t="s">
        <v>32</v>
      </c>
      <c r="J303" s="1">
        <v>148</v>
      </c>
      <c r="K303" s="1" t="s">
        <v>32</v>
      </c>
      <c r="L303" s="1">
        <v>102</v>
      </c>
      <c r="M303" s="1">
        <v>1</v>
      </c>
      <c r="N303" s="2">
        <v>1.36879</v>
      </c>
      <c r="O303" s="2">
        <f t="shared" si="82"/>
        <v>139.61658</v>
      </c>
      <c r="P303" s="2">
        <f t="shared" si="83"/>
        <v>62.96434</v>
      </c>
      <c r="Q303" s="1">
        <v>61.901910000000001</v>
      </c>
      <c r="R303" s="3">
        <f t="shared" si="84"/>
        <v>8642.5329696678</v>
      </c>
      <c r="S303" s="3">
        <f t="shared" si="85"/>
        <v>3897.6129078894</v>
      </c>
      <c r="T303" s="4">
        <f t="shared" si="86"/>
        <v>0.45098039215686275</v>
      </c>
    </row>
    <row r="304" spans="1:20" x14ac:dyDescent="0.25">
      <c r="A304" s="1">
        <v>300</v>
      </c>
      <c r="B304" s="1" t="s">
        <v>761</v>
      </c>
      <c r="C304" s="5">
        <v>41677</v>
      </c>
      <c r="D304" s="1" t="s">
        <v>15</v>
      </c>
      <c r="E304" s="1" t="s">
        <v>72</v>
      </c>
      <c r="F304" s="1" t="s">
        <v>348</v>
      </c>
      <c r="G304" s="1" t="s">
        <v>30</v>
      </c>
      <c r="H304" s="1" t="s">
        <v>31</v>
      </c>
      <c r="I304" s="1" t="s">
        <v>32</v>
      </c>
      <c r="J304" s="1">
        <v>94</v>
      </c>
      <c r="K304" s="1" t="s">
        <v>32</v>
      </c>
      <c r="L304" s="1">
        <v>84</v>
      </c>
      <c r="M304" s="1">
        <v>1</v>
      </c>
      <c r="N304" s="2">
        <v>1.36879</v>
      </c>
      <c r="O304" s="2">
        <f t="shared" si="82"/>
        <v>114.97836</v>
      </c>
      <c r="P304" s="2">
        <f t="shared" si="83"/>
        <v>13.687899999999999</v>
      </c>
      <c r="Q304" s="1">
        <v>61.901910000000001</v>
      </c>
      <c r="R304" s="3">
        <f t="shared" si="84"/>
        <v>7117.3800926675995</v>
      </c>
      <c r="S304" s="3">
        <f t="shared" si="85"/>
        <v>847.30715388900001</v>
      </c>
      <c r="T304" s="4">
        <f t="shared" si="86"/>
        <v>0.11904761904761905</v>
      </c>
    </row>
    <row r="305" spans="1:20" x14ac:dyDescent="0.25">
      <c r="A305" s="1">
        <v>301</v>
      </c>
      <c r="B305" s="1" t="s">
        <v>762</v>
      </c>
      <c r="C305" s="5">
        <v>41676</v>
      </c>
      <c r="D305" s="1" t="s">
        <v>15</v>
      </c>
      <c r="E305" s="1" t="s">
        <v>72</v>
      </c>
      <c r="F305" s="1" t="s">
        <v>350</v>
      </c>
      <c r="G305" s="1" t="s">
        <v>82</v>
      </c>
      <c r="H305" s="1" t="s">
        <v>83</v>
      </c>
      <c r="I305" s="1" t="s">
        <v>32</v>
      </c>
      <c r="J305" s="1">
        <v>148</v>
      </c>
      <c r="K305" s="1" t="s">
        <v>32</v>
      </c>
      <c r="L305" s="1">
        <v>138</v>
      </c>
      <c r="M305" s="1">
        <v>2</v>
      </c>
      <c r="N305" s="2">
        <v>1.36879</v>
      </c>
      <c r="O305" s="2">
        <f t="shared" si="82"/>
        <v>377.78604000000001</v>
      </c>
      <c r="P305" s="2">
        <f t="shared" si="83"/>
        <v>27.375799999999998</v>
      </c>
      <c r="Q305" s="1">
        <v>61.901910000000001</v>
      </c>
      <c r="R305" s="3">
        <f t="shared" si="84"/>
        <v>23385.677447336402</v>
      </c>
      <c r="S305" s="3">
        <f t="shared" si="85"/>
        <v>1694.614307778</v>
      </c>
      <c r="T305" s="4">
        <f t="shared" si="86"/>
        <v>7.2463768115942018E-2</v>
      </c>
    </row>
    <row r="306" spans="1:20" x14ac:dyDescent="0.25">
      <c r="A306" s="1">
        <v>302</v>
      </c>
      <c r="B306" s="1" t="s">
        <v>763</v>
      </c>
      <c r="C306" s="5">
        <v>41676</v>
      </c>
      <c r="D306" s="1" t="s">
        <v>719</v>
      </c>
      <c r="E306" s="1" t="s">
        <v>720</v>
      </c>
      <c r="F306" s="1" t="s">
        <v>764</v>
      </c>
      <c r="G306" s="1" t="s">
        <v>765</v>
      </c>
      <c r="H306" s="1" t="s">
        <v>50</v>
      </c>
      <c r="I306" s="1" t="s">
        <v>23</v>
      </c>
      <c r="J306" s="1">
        <v>190</v>
      </c>
      <c r="K306" s="1" t="s">
        <v>23</v>
      </c>
      <c r="L306" s="1">
        <v>139</v>
      </c>
      <c r="M306" s="1">
        <v>4</v>
      </c>
      <c r="N306" s="2">
        <v>1</v>
      </c>
      <c r="O306" s="2">
        <f t="shared" si="82"/>
        <v>556</v>
      </c>
      <c r="P306" s="2">
        <f t="shared" si="83"/>
        <v>204</v>
      </c>
      <c r="Q306" s="1">
        <v>61.901910000000001</v>
      </c>
      <c r="R306" s="3">
        <f t="shared" si="84"/>
        <v>34417.461960000001</v>
      </c>
      <c r="S306" s="3">
        <f t="shared" si="85"/>
        <v>12627.98964</v>
      </c>
      <c r="T306" s="4">
        <f t="shared" si="86"/>
        <v>0.36690647482014388</v>
      </c>
    </row>
    <row r="307" spans="1:20" x14ac:dyDescent="0.25">
      <c r="A307" s="1">
        <v>303</v>
      </c>
      <c r="B307" s="1" t="s">
        <v>766</v>
      </c>
      <c r="C307" s="5">
        <v>41676</v>
      </c>
      <c r="D307" s="1" t="s">
        <v>719</v>
      </c>
      <c r="E307" s="1" t="s">
        <v>724</v>
      </c>
      <c r="F307" s="1" t="s">
        <v>764</v>
      </c>
      <c r="G307" s="1" t="s">
        <v>765</v>
      </c>
      <c r="H307" s="1" t="s">
        <v>50</v>
      </c>
      <c r="I307" s="1" t="s">
        <v>23</v>
      </c>
      <c r="J307" s="1">
        <v>190</v>
      </c>
      <c r="K307" s="1" t="s">
        <v>23</v>
      </c>
      <c r="L307" s="1">
        <v>139</v>
      </c>
      <c r="M307" s="1">
        <v>4</v>
      </c>
      <c r="N307" s="2">
        <v>1</v>
      </c>
      <c r="O307" s="2">
        <f t="shared" si="82"/>
        <v>556</v>
      </c>
      <c r="P307" s="2">
        <f t="shared" si="83"/>
        <v>204</v>
      </c>
      <c r="Q307" s="1">
        <v>61.901910000000001</v>
      </c>
      <c r="R307" s="3">
        <f t="shared" si="84"/>
        <v>34417.461960000001</v>
      </c>
      <c r="S307" s="3">
        <f t="shared" si="85"/>
        <v>12627.98964</v>
      </c>
      <c r="T307" s="4">
        <f t="shared" si="86"/>
        <v>0.36690647482014388</v>
      </c>
    </row>
    <row r="308" spans="1:20" x14ac:dyDescent="0.25">
      <c r="A308" s="1">
        <v>304</v>
      </c>
      <c r="B308" s="1" t="s">
        <v>767</v>
      </c>
      <c r="C308" s="5">
        <v>41675</v>
      </c>
      <c r="D308" s="1" t="s">
        <v>15</v>
      </c>
      <c r="E308" s="1" t="s">
        <v>72</v>
      </c>
      <c r="F308" s="1" t="s">
        <v>768</v>
      </c>
      <c r="G308" s="1" t="s">
        <v>353</v>
      </c>
      <c r="H308" s="1" t="s">
        <v>158</v>
      </c>
      <c r="I308" s="1" t="s">
        <v>32</v>
      </c>
      <c r="J308" s="1">
        <v>118</v>
      </c>
      <c r="K308" s="1" t="s">
        <v>32</v>
      </c>
      <c r="L308" s="1">
        <v>117</v>
      </c>
      <c r="M308" s="1">
        <v>1</v>
      </c>
      <c r="N308" s="2">
        <v>1.36879</v>
      </c>
      <c r="O308" s="2">
        <f t="shared" si="82"/>
        <v>160.14842999999999</v>
      </c>
      <c r="P308" s="2">
        <f t="shared" si="83"/>
        <v>1.36879</v>
      </c>
      <c r="Q308" s="1">
        <v>61.901910000000001</v>
      </c>
      <c r="R308" s="3">
        <f t="shared" si="84"/>
        <v>9913.4937005012998</v>
      </c>
      <c r="S308" s="3">
        <f t="shared" si="85"/>
        <v>84.730715388899995</v>
      </c>
      <c r="T308" s="4">
        <f t="shared" si="86"/>
        <v>8.5470085470085461E-3</v>
      </c>
    </row>
    <row r="309" spans="1:20" x14ac:dyDescent="0.25">
      <c r="A309" s="1">
        <v>305</v>
      </c>
      <c r="B309" s="1" t="s">
        <v>769</v>
      </c>
      <c r="C309" s="5">
        <v>41675</v>
      </c>
      <c r="D309" s="1" t="s">
        <v>15</v>
      </c>
      <c r="E309" s="1" t="s">
        <v>72</v>
      </c>
      <c r="F309" s="1" t="s">
        <v>770</v>
      </c>
      <c r="G309" s="1" t="s">
        <v>185</v>
      </c>
      <c r="H309" s="1" t="s">
        <v>83</v>
      </c>
      <c r="I309" s="1" t="s">
        <v>32</v>
      </c>
      <c r="J309" s="1">
        <v>162</v>
      </c>
      <c r="K309" s="1" t="s">
        <v>32</v>
      </c>
      <c r="L309" s="1">
        <v>161</v>
      </c>
      <c r="M309" s="1">
        <v>1</v>
      </c>
      <c r="N309" s="2">
        <v>1.36879</v>
      </c>
      <c r="O309" s="2">
        <f t="shared" si="82"/>
        <v>220.37519</v>
      </c>
      <c r="P309" s="2">
        <f t="shared" si="83"/>
        <v>1.36879</v>
      </c>
      <c r="Q309" s="1">
        <v>61.901910000000001</v>
      </c>
      <c r="R309" s="3">
        <f t="shared" si="84"/>
        <v>13641.6451776129</v>
      </c>
      <c r="S309" s="3">
        <f t="shared" si="85"/>
        <v>84.730715388899995</v>
      </c>
      <c r="T309" s="4">
        <f t="shared" si="86"/>
        <v>6.2111801242236021E-3</v>
      </c>
    </row>
    <row r="310" spans="1:20" x14ac:dyDescent="0.25">
      <c r="A310" s="1">
        <v>306</v>
      </c>
      <c r="B310" s="1" t="s">
        <v>771</v>
      </c>
      <c r="C310" s="5">
        <v>41675</v>
      </c>
      <c r="D310" s="1" t="s">
        <v>15</v>
      </c>
      <c r="E310" s="1" t="s">
        <v>477</v>
      </c>
      <c r="F310" s="1" t="s">
        <v>52</v>
      </c>
      <c r="G310" s="1" t="s">
        <v>53</v>
      </c>
      <c r="H310" s="1" t="s">
        <v>54</v>
      </c>
      <c r="I310" s="1" t="s">
        <v>119</v>
      </c>
      <c r="J310" s="1">
        <v>200</v>
      </c>
      <c r="K310" s="1" t="s">
        <v>23</v>
      </c>
      <c r="L310" s="1">
        <v>155</v>
      </c>
      <c r="M310" s="1">
        <v>2</v>
      </c>
      <c r="N310" s="2">
        <v>1</v>
      </c>
      <c r="O310" s="2">
        <f t="shared" si="82"/>
        <v>310</v>
      </c>
      <c r="P310" s="2">
        <f t="shared" si="83"/>
        <v>90</v>
      </c>
      <c r="Q310" s="1">
        <v>61.901910000000001</v>
      </c>
      <c r="R310" s="3">
        <f t="shared" si="84"/>
        <v>19189.592100000002</v>
      </c>
      <c r="S310" s="3">
        <f t="shared" si="85"/>
        <v>5571.1719000000003</v>
      </c>
      <c r="T310" s="4">
        <f t="shared" si="86"/>
        <v>0.29032258064516125</v>
      </c>
    </row>
    <row r="311" spans="1:20" x14ac:dyDescent="0.25">
      <c r="A311" s="1">
        <v>307</v>
      </c>
      <c r="B311" s="1" t="s">
        <v>772</v>
      </c>
      <c r="C311" s="5">
        <v>41674</v>
      </c>
      <c r="D311" s="1" t="s">
        <v>25</v>
      </c>
      <c r="E311" s="1" t="s">
        <v>183</v>
      </c>
      <c r="F311" s="1" t="s">
        <v>652</v>
      </c>
      <c r="G311" s="1" t="s">
        <v>283</v>
      </c>
      <c r="H311" s="1" t="s">
        <v>88</v>
      </c>
      <c r="I311" s="1" t="s">
        <v>89</v>
      </c>
      <c r="J311" s="1">
        <v>9000</v>
      </c>
      <c r="K311" s="1" t="s">
        <v>89</v>
      </c>
      <c r="L311" s="1">
        <v>8459</v>
      </c>
      <c r="M311" s="1">
        <v>1</v>
      </c>
      <c r="N311" s="2">
        <v>1.619E-2</v>
      </c>
      <c r="O311" s="2">
        <f t="shared" ref="O311" si="87">(L311*M311)*N311</f>
        <v>136.95121</v>
      </c>
      <c r="P311" s="2">
        <f t="shared" ref="P311" si="88">(J311-L311)*M311*N311</f>
        <v>8.7587899999999994</v>
      </c>
      <c r="Q311" s="1">
        <v>61.901910000000001</v>
      </c>
      <c r="R311" s="3">
        <f t="shared" ref="R311" si="89">O311*Q311</f>
        <v>8477.5414758111001</v>
      </c>
      <c r="S311" s="3">
        <f t="shared" ref="S311" si="90">P311*Q311</f>
        <v>542.18583028889998</v>
      </c>
      <c r="T311" s="4">
        <f t="shared" ref="T311" si="91">S311/R311</f>
        <v>6.395555030145407E-2</v>
      </c>
    </row>
    <row r="312" spans="1:20" s="17" customFormat="1" x14ac:dyDescent="0.25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3">
        <f>SUM(M5:M311)</f>
        <v>787</v>
      </c>
      <c r="N312" s="14"/>
      <c r="O312" s="14">
        <f>SUM(O5:O311)</f>
        <v>121257.78688000009</v>
      </c>
      <c r="P312" s="14">
        <f>SUM(P5:P311)</f>
        <v>12843.642770000004</v>
      </c>
      <c r="Q312" s="12"/>
      <c r="R312" s="15">
        <f>SUM(R5:R311)</f>
        <v>7407674.222818573</v>
      </c>
      <c r="S312" s="15">
        <f>SUM(S5:S311)</f>
        <v>784296.25649291975</v>
      </c>
      <c r="T312" s="16">
        <f>S312/R312</f>
        <v>0.10587618095798225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 from Apr 13 to Feb 14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Achintya Ravindra</cp:lastModifiedBy>
  <dcterms:created xsi:type="dcterms:W3CDTF">2014-03-18T10:22:42Z</dcterms:created>
  <dcterms:modified xsi:type="dcterms:W3CDTF">2014-03-19T07:52:36Z</dcterms:modified>
</cp:coreProperties>
</file>