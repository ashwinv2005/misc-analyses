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465" windowWidth="18735" windowHeight="8205" activeTab="1"/>
  </bookViews>
  <sheets>
    <sheet name="Travel" sheetId="1" r:id="rId1"/>
    <sheet name="Pivot - Sector" sheetId="4" r:id="rId2"/>
    <sheet name="Sectorwise" sheetId="11" r:id="rId3"/>
    <sheet name="Pivot - Psgr &amp; Sector" sheetId="26" r:id="rId4"/>
    <sheet name="Pivot - Psgr &amp; Airline" sheetId="32" r:id="rId5"/>
    <sheet name="Passengerwsie" sheetId="28" r:id="rId6"/>
    <sheet name="Sheet1" sheetId="33" r:id="rId7"/>
  </sheets>
  <definedNames>
    <definedName name="_xlnm._FilterDatabase" localSheetId="5" hidden="1">Passengerwsie!$A$2:$O$142</definedName>
    <definedName name="_xlnm._FilterDatabase" localSheetId="2" hidden="1">Sectorwise!$A$2:$N$121</definedName>
    <definedName name="_xlnm._FilterDatabase" localSheetId="0" hidden="1">Travel!$A$2:$X$811</definedName>
  </definedNames>
  <calcPr calcId="145621"/>
  <pivotCaches>
    <pivotCache cacheId="0" r:id="rId8"/>
    <pivotCache cacheId="1" r:id="rId9"/>
  </pivotCaches>
</workbook>
</file>

<file path=xl/calcChain.xml><?xml version="1.0" encoding="utf-8"?>
<calcChain xmlns="http://schemas.openxmlformats.org/spreadsheetml/2006/main">
  <c r="F4" i="28" l="1"/>
  <c r="B1" i="32"/>
  <c r="C1" i="32" s="1"/>
  <c r="D1" i="32" s="1"/>
  <c r="E1" i="32" s="1"/>
  <c r="F1" i="32" s="1"/>
  <c r="G1" i="32" s="1"/>
  <c r="H1" i="32" s="1"/>
  <c r="I1" i="32" s="1"/>
  <c r="J1" i="32" s="1"/>
  <c r="K1" i="32" s="1"/>
  <c r="L1" i="32" s="1"/>
  <c r="M1" i="32" s="1"/>
  <c r="N1" i="32" s="1"/>
  <c r="O1" i="32" s="1"/>
  <c r="P1" i="32" s="1"/>
  <c r="Q1" i="32" s="1"/>
  <c r="R1" i="32" s="1"/>
  <c r="S1" i="32" s="1"/>
  <c r="T1" i="32" s="1"/>
  <c r="U1" i="32" s="1"/>
  <c r="V1" i="32" s="1"/>
  <c r="W1" i="32" s="1"/>
  <c r="X1" i="32" s="1"/>
  <c r="Y1" i="32" s="1"/>
  <c r="Z1" i="32" s="1"/>
  <c r="AA1" i="32" s="1"/>
  <c r="AB1" i="32" s="1"/>
  <c r="AC1" i="32" s="1"/>
  <c r="AD1" i="32" s="1"/>
  <c r="AE1" i="32" s="1"/>
  <c r="AF1" i="32" s="1"/>
  <c r="AG1" i="32" s="1"/>
  <c r="AH1" i="32" s="1"/>
  <c r="AI1" i="32" s="1"/>
  <c r="AJ1" i="32" s="1"/>
  <c r="AK1" i="32" s="1"/>
  <c r="AL1" i="32" s="1"/>
  <c r="AM1" i="32" s="1"/>
  <c r="AN1" i="32" s="1"/>
  <c r="AO1" i="32" s="1"/>
  <c r="AP1" i="32" s="1"/>
  <c r="AQ1" i="32" s="1"/>
  <c r="AR1" i="32" s="1"/>
  <c r="AS1" i="32" s="1"/>
  <c r="AT1" i="32" s="1"/>
  <c r="AU1" i="32" s="1"/>
  <c r="AV1" i="32" s="1"/>
  <c r="AW1" i="32" s="1"/>
  <c r="AX1" i="32" s="1"/>
  <c r="AY1" i="32" s="1"/>
  <c r="AZ1" i="32" s="1"/>
  <c r="BA1" i="32" s="1"/>
  <c r="BB1" i="32" s="1"/>
  <c r="BC1" i="32" s="1"/>
  <c r="BD1" i="32" s="1"/>
  <c r="BE1" i="32" s="1"/>
  <c r="BF1" i="32" s="1"/>
  <c r="BG1" i="32" s="1"/>
  <c r="BH1" i="32" s="1"/>
  <c r="BI1" i="32" s="1"/>
  <c r="BJ1" i="32" s="1"/>
  <c r="BK1" i="32" s="1"/>
  <c r="BL1" i="32" s="1"/>
  <c r="BM1" i="32" s="1"/>
  <c r="BN1" i="32" s="1"/>
  <c r="BO1" i="32" s="1"/>
  <c r="BP1" i="32" s="1"/>
  <c r="BQ1" i="32" s="1"/>
  <c r="BR1" i="32" s="1"/>
  <c r="BS1" i="32" s="1"/>
  <c r="BT1" i="32" s="1"/>
  <c r="BU1" i="32" s="1"/>
  <c r="BV1" i="32" s="1"/>
  <c r="BW1" i="32" s="1"/>
  <c r="BX1" i="32" s="1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4" i="28"/>
  <c r="C4" i="28"/>
  <c r="C5" i="28" l="1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B1" i="26"/>
  <c r="C1" i="26" s="1"/>
  <c r="D1" i="26" s="1"/>
  <c r="E1" i="26" s="1"/>
  <c r="F1" i="26" s="1"/>
  <c r="G1" i="26" s="1"/>
  <c r="H1" i="26" s="1"/>
  <c r="I1" i="26" s="1"/>
  <c r="J1" i="26" s="1"/>
  <c r="K1" i="26" s="1"/>
  <c r="L1" i="26" s="1"/>
  <c r="M1" i="26" s="1"/>
  <c r="N1" i="26" s="1"/>
  <c r="O1" i="26" s="1"/>
  <c r="P1" i="26" s="1"/>
  <c r="Q1" i="26" s="1"/>
  <c r="R1" i="26" s="1"/>
  <c r="S1" i="26" s="1"/>
  <c r="T1" i="26" s="1"/>
  <c r="U1" i="26" s="1"/>
  <c r="V1" i="26" s="1"/>
  <c r="W1" i="26" s="1"/>
  <c r="X1" i="26" s="1"/>
  <c r="Y1" i="26" s="1"/>
  <c r="Z1" i="26" s="1"/>
  <c r="AA1" i="26" s="1"/>
  <c r="AB1" i="26" s="1"/>
  <c r="AC1" i="26" s="1"/>
  <c r="AD1" i="26" s="1"/>
  <c r="AE1" i="26" s="1"/>
  <c r="AF1" i="26" s="1"/>
  <c r="AG1" i="26" s="1"/>
  <c r="AH1" i="26" s="1"/>
  <c r="AI1" i="26" s="1"/>
  <c r="AJ1" i="26" s="1"/>
  <c r="AK1" i="26" s="1"/>
  <c r="AL1" i="26" s="1"/>
  <c r="AM1" i="26" s="1"/>
  <c r="AN1" i="26" s="1"/>
  <c r="AO1" i="26" s="1"/>
  <c r="AP1" i="26" s="1"/>
  <c r="AQ1" i="26" s="1"/>
  <c r="AR1" i="26" s="1"/>
  <c r="AS1" i="26" s="1"/>
  <c r="AT1" i="26" s="1"/>
  <c r="AU1" i="26" s="1"/>
  <c r="AV1" i="26" s="1"/>
  <c r="AW1" i="26" s="1"/>
  <c r="AX1" i="26" s="1"/>
  <c r="AY1" i="26" s="1"/>
  <c r="AZ1" i="26" s="1"/>
  <c r="BA1" i="26" s="1"/>
  <c r="BB1" i="26" s="1"/>
  <c r="BC1" i="26" s="1"/>
  <c r="BD1" i="26" s="1"/>
  <c r="BE1" i="26" s="1"/>
  <c r="BF1" i="26" s="1"/>
  <c r="BG1" i="26" s="1"/>
  <c r="BH1" i="26" s="1"/>
  <c r="BI1" i="26" s="1"/>
  <c r="BJ1" i="26" s="1"/>
  <c r="BK1" i="26" s="1"/>
  <c r="BL1" i="26" s="1"/>
  <c r="BM1" i="26" s="1"/>
  <c r="BN1" i="26" s="1"/>
  <c r="BO1" i="26" s="1"/>
  <c r="BP1" i="26" s="1"/>
  <c r="BQ1" i="26" s="1"/>
  <c r="BR1" i="26" s="1"/>
  <c r="BS1" i="26" s="1"/>
  <c r="BT1" i="26" s="1"/>
  <c r="BU1" i="26" s="1"/>
  <c r="BV1" i="26" s="1"/>
  <c r="BW1" i="26" s="1"/>
  <c r="BX1" i="26" s="1"/>
  <c r="BY1" i="26" s="1"/>
  <c r="BZ1" i="26" s="1"/>
  <c r="CA1" i="26" s="1"/>
  <c r="CB1" i="26" s="1"/>
  <c r="CC1" i="26" s="1"/>
  <c r="CD1" i="26" s="1"/>
  <c r="CE1" i="26" s="1"/>
  <c r="CF1" i="26" s="1"/>
  <c r="CG1" i="26" s="1"/>
  <c r="CH1" i="26" s="1"/>
  <c r="CI1" i="26" s="1"/>
  <c r="CJ1" i="26" s="1"/>
  <c r="CK1" i="26" s="1"/>
  <c r="CL1" i="26" s="1"/>
  <c r="CM1" i="26" s="1"/>
  <c r="CN1" i="26" s="1"/>
  <c r="CO1" i="26" s="1"/>
  <c r="CP1" i="26" s="1"/>
  <c r="CQ1" i="26" s="1"/>
  <c r="CR1" i="26" s="1"/>
  <c r="CS1" i="26" s="1"/>
  <c r="CT1" i="26" s="1"/>
  <c r="CU1" i="26" s="1"/>
  <c r="CV1" i="26" s="1"/>
  <c r="CW1" i="26" s="1"/>
  <c r="CX1" i="26" s="1"/>
  <c r="CY1" i="26" s="1"/>
  <c r="CZ1" i="26" s="1"/>
  <c r="DA1" i="26" s="1"/>
  <c r="DB1" i="26" s="1"/>
  <c r="DC1" i="26" s="1"/>
  <c r="DD1" i="26" s="1"/>
  <c r="DE1" i="26" s="1"/>
  <c r="DF1" i="26" s="1"/>
  <c r="DG1" i="26" s="1"/>
  <c r="DH1" i="26" s="1"/>
  <c r="DI1" i="26" s="1"/>
  <c r="DJ1" i="26" s="1"/>
  <c r="DK1" i="26" s="1"/>
  <c r="DL1" i="26" s="1"/>
  <c r="DM1" i="26" s="1"/>
  <c r="DN1" i="26" s="1"/>
  <c r="DO1" i="26" s="1"/>
  <c r="DP1" i="26" s="1"/>
  <c r="DQ1" i="26" s="1"/>
  <c r="DR1" i="26" s="1"/>
  <c r="DS1" i="26" s="1"/>
  <c r="DT1" i="26" s="1"/>
  <c r="DU1" i="26" s="1"/>
  <c r="DV1" i="26" s="1"/>
  <c r="DW1" i="26" s="1"/>
  <c r="DX1" i="26" s="1"/>
  <c r="DY1" i="26" s="1"/>
  <c r="DZ1" i="26" s="1"/>
  <c r="EA1" i="26" s="1"/>
  <c r="EB1" i="26" s="1"/>
  <c r="EC1" i="26" s="1"/>
  <c r="ED1" i="26" s="1"/>
  <c r="EE1" i="26" s="1"/>
  <c r="EF1" i="26" s="1"/>
  <c r="EG1" i="26" s="1"/>
  <c r="EH1" i="26" s="1"/>
  <c r="EI1" i="26" s="1"/>
  <c r="EJ1" i="26" s="1"/>
  <c r="EK1" i="26" s="1"/>
  <c r="EL1" i="26" s="1"/>
  <c r="EM1" i="26" s="1"/>
  <c r="EN1" i="26" s="1"/>
  <c r="EO1" i="26" s="1"/>
  <c r="EP1" i="26" s="1"/>
  <c r="EQ1" i="26" s="1"/>
  <c r="ER1" i="26" s="1"/>
  <c r="ES1" i="26" s="1"/>
  <c r="ET1" i="26" s="1"/>
  <c r="EU1" i="26" s="1"/>
  <c r="EV1" i="26" s="1"/>
  <c r="EW1" i="26" s="1"/>
  <c r="EX1" i="26" s="1"/>
  <c r="EY1" i="26" s="1"/>
  <c r="EZ1" i="26" s="1"/>
  <c r="FA1" i="26" s="1"/>
  <c r="FB1" i="26" s="1"/>
  <c r="FC1" i="26" s="1"/>
  <c r="FD1" i="26" s="1"/>
  <c r="FE1" i="26" s="1"/>
  <c r="FF1" i="26" s="1"/>
  <c r="FG1" i="26" s="1"/>
  <c r="FH1" i="26" s="1"/>
  <c r="FI1" i="26" s="1"/>
  <c r="FJ1" i="26" s="1"/>
  <c r="FK1" i="26" s="1"/>
  <c r="FL1" i="26" s="1"/>
  <c r="FM1" i="26" s="1"/>
  <c r="FN1" i="26" s="1"/>
  <c r="FO1" i="26" s="1"/>
  <c r="FP1" i="26" s="1"/>
  <c r="FQ1" i="26" s="1"/>
  <c r="FR1" i="26" s="1"/>
  <c r="FS1" i="26" s="1"/>
  <c r="FT1" i="26" s="1"/>
  <c r="FU1" i="26" s="1"/>
  <c r="FV1" i="26" s="1"/>
  <c r="FW1" i="26" s="1"/>
  <c r="FX1" i="26" s="1"/>
  <c r="FY1" i="26" s="1"/>
  <c r="FZ1" i="26" s="1"/>
  <c r="GA1" i="26" s="1"/>
  <c r="GB1" i="26" s="1"/>
  <c r="GC1" i="26" s="1"/>
  <c r="GD1" i="26" s="1"/>
  <c r="GE1" i="26" s="1"/>
  <c r="GF1" i="26" s="1"/>
  <c r="GG1" i="26" s="1"/>
  <c r="GH1" i="26" s="1"/>
  <c r="GI1" i="26" s="1"/>
  <c r="GJ1" i="26" s="1"/>
  <c r="GK1" i="26" s="1"/>
  <c r="GL1" i="26" s="1"/>
  <c r="GM1" i="26" s="1"/>
  <c r="GN1" i="26" s="1"/>
  <c r="GO1" i="26" s="1"/>
  <c r="GP1" i="26" s="1"/>
  <c r="GQ1" i="26" s="1"/>
  <c r="GR1" i="26" s="1"/>
  <c r="GS1" i="26" s="1"/>
  <c r="GT1" i="26" s="1"/>
  <c r="GU1" i="26" s="1"/>
  <c r="GV1" i="26" s="1"/>
  <c r="GW1" i="26" s="1"/>
  <c r="GX1" i="26" s="1"/>
  <c r="GY1" i="26" s="1"/>
  <c r="GZ1" i="26" s="1"/>
  <c r="HA1" i="26" s="1"/>
  <c r="HB1" i="26" s="1"/>
  <c r="HC1" i="26" s="1"/>
  <c r="HD1" i="26" s="1"/>
  <c r="HE1" i="26" s="1"/>
  <c r="HF1" i="26" s="1"/>
  <c r="HG1" i="26" s="1"/>
  <c r="HH1" i="26" s="1"/>
  <c r="HI1" i="26" s="1"/>
  <c r="HJ1" i="26" s="1"/>
  <c r="HK1" i="26" s="1"/>
  <c r="HL1" i="26" s="1"/>
  <c r="HM1" i="26" s="1"/>
  <c r="HN1" i="26" s="1"/>
  <c r="HO1" i="26" s="1"/>
  <c r="HP1" i="26" s="1"/>
  <c r="HQ1" i="26" s="1"/>
  <c r="HR1" i="26" s="1"/>
  <c r="HS1" i="26" s="1"/>
  <c r="HT1" i="26" s="1"/>
  <c r="HU1" i="26" s="1"/>
  <c r="HV1" i="26" s="1"/>
  <c r="HW1" i="26" s="1"/>
  <c r="HX1" i="26" s="1"/>
  <c r="HY1" i="26" s="1"/>
  <c r="HZ1" i="26" s="1"/>
  <c r="IA1" i="26" s="1"/>
  <c r="IB1" i="26" s="1"/>
  <c r="IC1" i="26" s="1"/>
  <c r="ID1" i="26" s="1"/>
  <c r="IE1" i="26" s="1"/>
  <c r="IF1" i="26" s="1"/>
  <c r="IG1" i="26" s="1"/>
  <c r="IH1" i="26" s="1"/>
  <c r="II1" i="26" s="1"/>
  <c r="IJ1" i="26" s="1"/>
  <c r="IK1" i="26" s="1"/>
  <c r="IL1" i="26" s="1"/>
  <c r="IM1" i="26" s="1"/>
  <c r="IN1" i="26" s="1"/>
  <c r="IO1" i="26" s="1"/>
  <c r="IP1" i="26" s="1"/>
  <c r="IQ1" i="26" s="1"/>
  <c r="IR1" i="26" s="1"/>
  <c r="IS1" i="26" s="1"/>
  <c r="IT1" i="26" s="1"/>
  <c r="IU1" i="26" s="1"/>
  <c r="IV1" i="26" s="1"/>
  <c r="IW1" i="26" s="1"/>
  <c r="IX1" i="26" s="1"/>
  <c r="IY1" i="26" s="1"/>
  <c r="IZ1" i="26" s="1"/>
  <c r="JA1" i="26" s="1"/>
  <c r="JB1" i="26" s="1"/>
  <c r="JC1" i="26" s="1"/>
  <c r="JD1" i="26" s="1"/>
  <c r="JE1" i="26" s="1"/>
  <c r="JF1" i="26" s="1"/>
  <c r="JG1" i="26" s="1"/>
  <c r="JH1" i="26" s="1"/>
  <c r="JI1" i="26" s="1"/>
  <c r="JJ1" i="26" s="1"/>
  <c r="JK1" i="26" s="1"/>
  <c r="JL1" i="26" s="1"/>
  <c r="JM1" i="26" s="1"/>
  <c r="JN1" i="26" s="1"/>
  <c r="JO1" i="26" s="1"/>
  <c r="JP1" i="26" s="1"/>
  <c r="JQ1" i="26" s="1"/>
  <c r="JR1" i="26" s="1"/>
  <c r="JS1" i="26" s="1"/>
  <c r="JT1" i="26" s="1"/>
  <c r="JU1" i="26" s="1"/>
  <c r="JV1" i="26" s="1"/>
  <c r="JW1" i="26" s="1"/>
  <c r="JX1" i="26" s="1"/>
  <c r="JY1" i="26" s="1"/>
  <c r="JZ1" i="26" s="1"/>
  <c r="KA1" i="26" s="1"/>
  <c r="KB1" i="26" s="1"/>
  <c r="KC1" i="26" s="1"/>
  <c r="KD1" i="26" s="1"/>
  <c r="KE1" i="26" s="1"/>
  <c r="KF1" i="26" s="1"/>
  <c r="KG1" i="26" s="1"/>
  <c r="KH1" i="26" s="1"/>
  <c r="KI1" i="26" s="1"/>
  <c r="KJ1" i="26" s="1"/>
  <c r="KK1" i="26" s="1"/>
  <c r="KL1" i="26" s="1"/>
  <c r="KM1" i="26" s="1"/>
  <c r="KN1" i="26" s="1"/>
  <c r="KO1" i="26" s="1"/>
  <c r="KP1" i="26" s="1"/>
  <c r="KQ1" i="26" s="1"/>
  <c r="KR1" i="26" s="1"/>
  <c r="KS1" i="26" s="1"/>
  <c r="KT1" i="26" s="1"/>
  <c r="KU1" i="26" s="1"/>
  <c r="KV1" i="26" s="1"/>
  <c r="KW1" i="26" s="1"/>
  <c r="KX1" i="26" s="1"/>
  <c r="KY1" i="26" s="1"/>
  <c r="KZ1" i="26" s="1"/>
  <c r="LA1" i="26" s="1"/>
  <c r="LB1" i="26" s="1"/>
  <c r="LC1" i="26" s="1"/>
  <c r="LD1" i="26" s="1"/>
  <c r="LE1" i="26" s="1"/>
  <c r="LF1" i="26" s="1"/>
  <c r="LG1" i="26" s="1"/>
  <c r="LH1" i="26" s="1"/>
  <c r="LI1" i="26" s="1"/>
  <c r="LJ1" i="26" s="1"/>
  <c r="LK1" i="26" s="1"/>
  <c r="LL1" i="26" s="1"/>
  <c r="LM1" i="26" s="1"/>
  <c r="LN1" i="26" s="1"/>
  <c r="LO1" i="26" s="1"/>
  <c r="LP1" i="26" s="1"/>
  <c r="LQ1" i="26" s="1"/>
  <c r="LR1" i="26" s="1"/>
  <c r="LS1" i="26" s="1"/>
  <c r="LT1" i="26" s="1"/>
  <c r="LU1" i="26" s="1"/>
  <c r="LV1" i="26" s="1"/>
  <c r="LW1" i="26" s="1"/>
  <c r="LX1" i="26" s="1"/>
  <c r="LY1" i="26" s="1"/>
  <c r="LZ1" i="26" s="1"/>
  <c r="MA1" i="26" s="1"/>
  <c r="MB1" i="26" s="1"/>
  <c r="MC1" i="26" s="1"/>
  <c r="MD1" i="26" s="1"/>
  <c r="ME1" i="26" s="1"/>
  <c r="MF1" i="26" s="1"/>
  <c r="MG1" i="26" s="1"/>
  <c r="MH1" i="26" s="1"/>
  <c r="MI1" i="26" s="1"/>
  <c r="MJ1" i="26" s="1"/>
  <c r="MK1" i="26" s="1"/>
  <c r="ML1" i="26" s="1"/>
  <c r="MM1" i="26" s="1"/>
  <c r="MN1" i="26" s="1"/>
  <c r="MO1" i="26" s="1"/>
  <c r="MP1" i="26" s="1"/>
  <c r="MQ1" i="26" s="1"/>
  <c r="MR1" i="26" s="1"/>
  <c r="MS1" i="26" s="1"/>
  <c r="MT1" i="26" s="1"/>
  <c r="N5" i="28"/>
  <c r="N6" i="28"/>
  <c r="N7" i="28"/>
  <c r="N8" i="28"/>
  <c r="N9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N4" i="28"/>
  <c r="J4" i="28"/>
  <c r="E7" i="28" l="1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O59" i="28" s="1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5" i="28"/>
  <c r="E6" i="28"/>
  <c r="E4" i="28"/>
  <c r="G49" i="28" l="1"/>
  <c r="G65" i="28"/>
  <c r="G80" i="28"/>
  <c r="K111" i="28"/>
  <c r="K107" i="28"/>
  <c r="K103" i="28"/>
  <c r="K95" i="28"/>
  <c r="K91" i="28"/>
  <c r="K79" i="28"/>
  <c r="K75" i="28"/>
  <c r="K71" i="28"/>
  <c r="O67" i="28"/>
  <c r="O63" i="28"/>
  <c r="O51" i="28"/>
  <c r="O43" i="28"/>
  <c r="O35" i="28"/>
  <c r="O31" i="28"/>
  <c r="O27" i="28"/>
  <c r="O19" i="28"/>
  <c r="O15" i="28"/>
  <c r="O11" i="28"/>
  <c r="G33" i="28"/>
  <c r="G17" i="28"/>
  <c r="K99" i="28"/>
  <c r="K87" i="28"/>
  <c r="K83" i="28"/>
  <c r="O47" i="28"/>
  <c r="G112" i="28"/>
  <c r="G108" i="28"/>
  <c r="G104" i="28"/>
  <c r="G100" i="28"/>
  <c r="G96" i="28"/>
  <c r="G92" i="28"/>
  <c r="G88" i="28"/>
  <c r="G84" i="28"/>
  <c r="G76" i="28"/>
  <c r="G72" i="28"/>
  <c r="G6" i="28"/>
  <c r="O6" i="28"/>
  <c r="K6" i="28"/>
  <c r="K131" i="28"/>
  <c r="G131" i="28"/>
  <c r="O131" i="28"/>
  <c r="K127" i="28"/>
  <c r="O127" i="28"/>
  <c r="G127" i="28"/>
  <c r="K115" i="28"/>
  <c r="G115" i="28"/>
  <c r="O115" i="28"/>
  <c r="O138" i="28"/>
  <c r="G138" i="28"/>
  <c r="K138" i="28"/>
  <c r="O134" i="28"/>
  <c r="G134" i="28"/>
  <c r="K134" i="28"/>
  <c r="O130" i="28"/>
  <c r="K130" i="28"/>
  <c r="G130" i="28"/>
  <c r="O126" i="28"/>
  <c r="K126" i="28"/>
  <c r="G126" i="28"/>
  <c r="O122" i="28"/>
  <c r="G122" i="28"/>
  <c r="K122" i="28"/>
  <c r="O114" i="28"/>
  <c r="K114" i="28"/>
  <c r="G114" i="28"/>
  <c r="O106" i="28"/>
  <c r="G106" i="28"/>
  <c r="K106" i="28"/>
  <c r="O102" i="28"/>
  <c r="G102" i="28"/>
  <c r="K102" i="28"/>
  <c r="O94" i="28"/>
  <c r="K94" i="28"/>
  <c r="G94" i="28"/>
  <c r="O90" i="28"/>
  <c r="G90" i="28"/>
  <c r="K90" i="28"/>
  <c r="O82" i="28"/>
  <c r="K82" i="28"/>
  <c r="G82" i="28"/>
  <c r="O78" i="28"/>
  <c r="K78" i="28"/>
  <c r="G78" i="28"/>
  <c r="O70" i="28"/>
  <c r="G70" i="28"/>
  <c r="K70" i="28"/>
  <c r="G62" i="28"/>
  <c r="O62" i="28"/>
  <c r="K62" i="28"/>
  <c r="K139" i="28"/>
  <c r="O139" i="28"/>
  <c r="G139" i="28"/>
  <c r="K119" i="28"/>
  <c r="O119" i="28"/>
  <c r="G119" i="28"/>
  <c r="O5" i="28"/>
  <c r="K5" i="28"/>
  <c r="G5" i="28"/>
  <c r="O118" i="28"/>
  <c r="G118" i="28"/>
  <c r="K118" i="28"/>
  <c r="O110" i="28"/>
  <c r="K110" i="28"/>
  <c r="G110" i="28"/>
  <c r="O98" i="28"/>
  <c r="K98" i="28"/>
  <c r="G98" i="28"/>
  <c r="O86" i="28"/>
  <c r="G86" i="28"/>
  <c r="K86" i="28"/>
  <c r="O74" i="28"/>
  <c r="G74" i="28"/>
  <c r="K74" i="28"/>
  <c r="G66" i="28"/>
  <c r="O66" i="28"/>
  <c r="K66" i="28"/>
  <c r="K135" i="28"/>
  <c r="O135" i="28"/>
  <c r="G135" i="28"/>
  <c r="K123" i="28"/>
  <c r="O123" i="28"/>
  <c r="G123" i="28"/>
  <c r="E142" i="28"/>
  <c r="O4" i="28"/>
  <c r="K4" i="28"/>
  <c r="G4" i="28"/>
  <c r="O140" i="28"/>
  <c r="K140" i="28"/>
  <c r="G140" i="28"/>
  <c r="O136" i="28"/>
  <c r="K136" i="28"/>
  <c r="G136" i="28"/>
  <c r="O132" i="28"/>
  <c r="K132" i="28"/>
  <c r="G132" i="28"/>
  <c r="O128" i="28"/>
  <c r="K128" i="28"/>
  <c r="G128" i="28"/>
  <c r="O124" i="28"/>
  <c r="K124" i="28"/>
  <c r="G124" i="28"/>
  <c r="O120" i="28"/>
  <c r="K120" i="28"/>
  <c r="G120" i="28"/>
  <c r="O116" i="28"/>
  <c r="K116" i="28"/>
  <c r="G116" i="28"/>
  <c r="G58" i="28"/>
  <c r="O58" i="28"/>
  <c r="G54" i="28"/>
  <c r="O54" i="28"/>
  <c r="G50" i="28"/>
  <c r="O50" i="28"/>
  <c r="G46" i="28"/>
  <c r="O46" i="28"/>
  <c r="G42" i="28"/>
  <c r="O42" i="28"/>
  <c r="G38" i="28"/>
  <c r="O38" i="28"/>
  <c r="G34" i="28"/>
  <c r="O34" i="28"/>
  <c r="G30" i="28"/>
  <c r="O30" i="28"/>
  <c r="G26" i="28"/>
  <c r="O26" i="28"/>
  <c r="G22" i="28"/>
  <c r="O22" i="28"/>
  <c r="G18" i="28"/>
  <c r="O18" i="28"/>
  <c r="G14" i="28"/>
  <c r="O14" i="28"/>
  <c r="G10" i="28"/>
  <c r="O10" i="28"/>
  <c r="K58" i="28"/>
  <c r="K42" i="28"/>
  <c r="K26" i="28"/>
  <c r="K10" i="28"/>
  <c r="O99" i="28"/>
  <c r="O83" i="28"/>
  <c r="O141" i="28"/>
  <c r="K141" i="28"/>
  <c r="O137" i="28"/>
  <c r="K137" i="28"/>
  <c r="O133" i="28"/>
  <c r="K133" i="28"/>
  <c r="O129" i="28"/>
  <c r="K129" i="28"/>
  <c r="O125" i="28"/>
  <c r="K125" i="28"/>
  <c r="O121" i="28"/>
  <c r="K121" i="28"/>
  <c r="O117" i="28"/>
  <c r="K117" i="28"/>
  <c r="O113" i="28"/>
  <c r="K113" i="28"/>
  <c r="O109" i="28"/>
  <c r="K109" i="28"/>
  <c r="O105" i="28"/>
  <c r="K105" i="28"/>
  <c r="O101" i="28"/>
  <c r="K101" i="28"/>
  <c r="O97" i="28"/>
  <c r="K97" i="28"/>
  <c r="O93" i="28"/>
  <c r="K93" i="28"/>
  <c r="O89" i="28"/>
  <c r="K89" i="28"/>
  <c r="O85" i="28"/>
  <c r="K85" i="28"/>
  <c r="O81" i="28"/>
  <c r="K81" i="28"/>
  <c r="O77" i="28"/>
  <c r="K77" i="28"/>
  <c r="O73" i="28"/>
  <c r="K73" i="28"/>
  <c r="O69" i="28"/>
  <c r="K69" i="28"/>
  <c r="O65" i="28"/>
  <c r="K65" i="28"/>
  <c r="O61" i="28"/>
  <c r="K61" i="28"/>
  <c r="O57" i="28"/>
  <c r="K57" i="28"/>
  <c r="O53" i="28"/>
  <c r="K53" i="28"/>
  <c r="O49" i="28"/>
  <c r="K49" i="28"/>
  <c r="O45" i="28"/>
  <c r="K45" i="28"/>
  <c r="O41" i="28"/>
  <c r="K41" i="28"/>
  <c r="O37" i="28"/>
  <c r="K37" i="28"/>
  <c r="O33" i="28"/>
  <c r="K33" i="28"/>
  <c r="O29" i="28"/>
  <c r="K29" i="28"/>
  <c r="O25" i="28"/>
  <c r="K25" i="28"/>
  <c r="O21" i="28"/>
  <c r="K21" i="28"/>
  <c r="O17" i="28"/>
  <c r="K17" i="28"/>
  <c r="O13" i="28"/>
  <c r="K13" i="28"/>
  <c r="O9" i="28"/>
  <c r="K9" i="28"/>
  <c r="G111" i="28"/>
  <c r="G107" i="28"/>
  <c r="G103" i="28"/>
  <c r="G99" i="28"/>
  <c r="G95" i="28"/>
  <c r="G91" i="28"/>
  <c r="G87" i="28"/>
  <c r="G83" i="28"/>
  <c r="G79" i="28"/>
  <c r="G75" i="28"/>
  <c r="G71" i="28"/>
  <c r="G61" i="28"/>
  <c r="G45" i="28"/>
  <c r="G29" i="28"/>
  <c r="G13" i="28"/>
  <c r="K54" i="28"/>
  <c r="K38" i="28"/>
  <c r="K22" i="28"/>
  <c r="O111" i="28"/>
  <c r="O95" i="28"/>
  <c r="O79" i="28"/>
  <c r="O112" i="28"/>
  <c r="K112" i="28"/>
  <c r="O108" i="28"/>
  <c r="K108" i="28"/>
  <c r="O104" i="28"/>
  <c r="K104" i="28"/>
  <c r="O100" i="28"/>
  <c r="K100" i="28"/>
  <c r="O96" i="28"/>
  <c r="K96" i="28"/>
  <c r="O92" i="28"/>
  <c r="K92" i="28"/>
  <c r="O88" i="28"/>
  <c r="K88" i="28"/>
  <c r="O84" i="28"/>
  <c r="K84" i="28"/>
  <c r="O80" i="28"/>
  <c r="K80" i="28"/>
  <c r="O76" i="28"/>
  <c r="K76" i="28"/>
  <c r="O72" i="28"/>
  <c r="K72" i="28"/>
  <c r="O68" i="28"/>
  <c r="K68" i="28"/>
  <c r="G68" i="28"/>
  <c r="O64" i="28"/>
  <c r="K64" i="28"/>
  <c r="G64" i="28"/>
  <c r="O60" i="28"/>
  <c r="K60" i="28"/>
  <c r="G60" i="28"/>
  <c r="O56" i="28"/>
  <c r="K56" i="28"/>
  <c r="G56" i="28"/>
  <c r="O52" i="28"/>
  <c r="K52" i="28"/>
  <c r="G52" i="28"/>
  <c r="O48" i="28"/>
  <c r="K48" i="28"/>
  <c r="G48" i="28"/>
  <c r="O44" i="28"/>
  <c r="K44" i="28"/>
  <c r="G44" i="28"/>
  <c r="O40" i="28"/>
  <c r="K40" i="28"/>
  <c r="G40" i="28"/>
  <c r="O36" i="28"/>
  <c r="K36" i="28"/>
  <c r="G36" i="28"/>
  <c r="O32" i="28"/>
  <c r="K32" i="28"/>
  <c r="G32" i="28"/>
  <c r="O28" i="28"/>
  <c r="K28" i="28"/>
  <c r="G28" i="28"/>
  <c r="O24" i="28"/>
  <c r="K24" i="28"/>
  <c r="G24" i="28"/>
  <c r="O20" i="28"/>
  <c r="K20" i="28"/>
  <c r="G20" i="28"/>
  <c r="O16" i="28"/>
  <c r="K16" i="28"/>
  <c r="G16" i="28"/>
  <c r="O12" i="28"/>
  <c r="K12" i="28"/>
  <c r="G12" i="28"/>
  <c r="O8" i="28"/>
  <c r="K8" i="28"/>
  <c r="G8" i="28"/>
  <c r="G57" i="28"/>
  <c r="G41" i="28"/>
  <c r="G25" i="28"/>
  <c r="G9" i="28"/>
  <c r="K50" i="28"/>
  <c r="K34" i="28"/>
  <c r="K18" i="28"/>
  <c r="O107" i="28"/>
  <c r="O91" i="28"/>
  <c r="O75" i="28"/>
  <c r="K67" i="28"/>
  <c r="G67" i="28"/>
  <c r="K63" i="28"/>
  <c r="G63" i="28"/>
  <c r="K59" i="28"/>
  <c r="G59" i="28"/>
  <c r="K55" i="28"/>
  <c r="G55" i="28"/>
  <c r="K51" i="28"/>
  <c r="G51" i="28"/>
  <c r="K47" i="28"/>
  <c r="G47" i="28"/>
  <c r="K43" i="28"/>
  <c r="G43" i="28"/>
  <c r="K39" i="28"/>
  <c r="G39" i="28"/>
  <c r="K35" i="28"/>
  <c r="G35" i="28"/>
  <c r="K31" i="28"/>
  <c r="G31" i="28"/>
  <c r="K27" i="28"/>
  <c r="G27" i="28"/>
  <c r="K23" i="28"/>
  <c r="G23" i="28"/>
  <c r="K19" i="28"/>
  <c r="G19" i="28"/>
  <c r="K15" i="28"/>
  <c r="G15" i="28"/>
  <c r="K11" i="28"/>
  <c r="G11" i="28"/>
  <c r="K7" i="28"/>
  <c r="G7" i="28"/>
  <c r="G141" i="28"/>
  <c r="G137" i="28"/>
  <c r="G133" i="28"/>
  <c r="G129" i="28"/>
  <c r="G125" i="28"/>
  <c r="G121" i="28"/>
  <c r="G117" i="28"/>
  <c r="G113" i="28"/>
  <c r="G109" i="28"/>
  <c r="G105" i="28"/>
  <c r="G101" i="28"/>
  <c r="G97" i="28"/>
  <c r="G93" i="28"/>
  <c r="G89" i="28"/>
  <c r="G85" i="28"/>
  <c r="G81" i="28"/>
  <c r="G77" i="28"/>
  <c r="G73" i="28"/>
  <c r="G69" i="28"/>
  <c r="G53" i="28"/>
  <c r="G37" i="28"/>
  <c r="G21" i="28"/>
  <c r="K46" i="28"/>
  <c r="K30" i="28"/>
  <c r="K14" i="28"/>
  <c r="O103" i="28"/>
  <c r="O87" i="28"/>
  <c r="O71" i="28"/>
  <c r="O55" i="28"/>
  <c r="O39" i="28"/>
  <c r="O23" i="28"/>
  <c r="O7" i="28"/>
  <c r="N142" i="28"/>
  <c r="F142" i="28"/>
  <c r="J142" i="28"/>
  <c r="A5" i="28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L536" i="1" l="1"/>
  <c r="L782" i="1"/>
  <c r="L788" i="1"/>
  <c r="L741" i="1"/>
  <c r="L744" i="1"/>
  <c r="L253" i="1"/>
  <c r="L254" i="1"/>
  <c r="L544" i="1"/>
  <c r="L773" i="1"/>
  <c r="L774" i="1"/>
  <c r="L269" i="1"/>
  <c r="L775" i="1"/>
  <c r="L3" i="1"/>
  <c r="L4" i="1"/>
  <c r="L686" i="1"/>
  <c r="L545" i="1"/>
  <c r="L92" i="1"/>
  <c r="L497" i="1"/>
  <c r="L498" i="1"/>
  <c r="L492" i="1"/>
  <c r="L653" i="1"/>
  <c r="L749" i="1"/>
  <c r="L754" i="1"/>
  <c r="L673" i="1"/>
  <c r="L538" i="1"/>
  <c r="L539" i="1"/>
  <c r="L740" i="1"/>
  <c r="L743" i="1"/>
  <c r="L755" i="1"/>
  <c r="L620" i="1"/>
  <c r="L621" i="1"/>
  <c r="L550" i="1"/>
  <c r="L763" i="1"/>
  <c r="L616" i="1"/>
  <c r="L255" i="1"/>
  <c r="L281" i="1"/>
  <c r="L283" i="1"/>
  <c r="L783" i="1"/>
  <c r="L789" i="1"/>
  <c r="L201" i="1"/>
  <c r="L535" i="1"/>
  <c r="L91" i="1"/>
  <c r="L396" i="1"/>
  <c r="L390" i="1"/>
  <c r="L95" i="1"/>
  <c r="L401" i="1"/>
  <c r="L405" i="1"/>
  <c r="L183" i="1"/>
  <c r="L202" i="1"/>
  <c r="L778" i="1"/>
  <c r="L779" i="1"/>
  <c r="L737" i="1"/>
  <c r="L739" i="1"/>
  <c r="L746" i="1"/>
  <c r="L167" i="1"/>
  <c r="L186" i="1"/>
  <c r="L738" i="1"/>
  <c r="L715" i="1"/>
  <c r="L716" i="1"/>
  <c r="L560" i="1"/>
  <c r="L564" i="1"/>
  <c r="L324" i="1"/>
  <c r="L355" i="1"/>
  <c r="L454" i="1"/>
  <c r="L458" i="1"/>
  <c r="L256" i="1"/>
  <c r="L632" i="1"/>
  <c r="L270" i="1"/>
  <c r="L391" i="1"/>
  <c r="L397" i="1"/>
  <c r="L31" i="1"/>
  <c r="L798" i="1"/>
  <c r="L455" i="1"/>
  <c r="L168" i="1"/>
  <c r="L187" i="1"/>
  <c r="L496" i="1"/>
  <c r="L537" i="1"/>
  <c r="L531" i="1"/>
  <c r="L529" i="1"/>
  <c r="L633" i="1"/>
  <c r="L325" i="1"/>
  <c r="L392" i="1"/>
  <c r="L398" i="1"/>
  <c r="L691" i="1"/>
  <c r="L661" i="1"/>
  <c r="L674" i="1"/>
  <c r="L6" i="1"/>
  <c r="L8" i="1"/>
  <c r="L607" i="1"/>
  <c r="L348" i="1"/>
  <c r="L356" i="1"/>
  <c r="L257" i="1"/>
  <c r="L258" i="1"/>
  <c r="L424" i="1"/>
  <c r="L441" i="1"/>
  <c r="L326" i="1"/>
  <c r="L12" i="1"/>
  <c r="L16" i="1"/>
  <c r="L750" i="1"/>
  <c r="L772" i="1"/>
  <c r="L776" i="1"/>
  <c r="L413" i="1"/>
  <c r="L769" i="1"/>
  <c r="L17" i="1"/>
  <c r="L532" i="1"/>
  <c r="L523" i="1"/>
  <c r="L395" i="1"/>
  <c r="L169" i="1"/>
  <c r="L205" i="1"/>
  <c r="L406" i="1"/>
  <c r="L756" i="1"/>
  <c r="L470" i="1"/>
  <c r="L590" i="1"/>
  <c r="L472" i="1"/>
  <c r="L591" i="1"/>
  <c r="L87" i="1"/>
  <c r="L327" i="1"/>
  <c r="L357" i="1"/>
  <c r="L170" i="1"/>
  <c r="L530" i="1"/>
  <c r="L358" i="1"/>
  <c r="L399" i="1"/>
  <c r="L393" i="1"/>
  <c r="L271" i="1"/>
  <c r="L660" i="1"/>
  <c r="L400" i="1"/>
  <c r="L394" i="1"/>
  <c r="L745" i="1"/>
  <c r="L742" i="1"/>
  <c r="L592" i="1"/>
  <c r="L595" i="1"/>
  <c r="L473" i="1"/>
  <c r="L328" i="1"/>
  <c r="L259" i="1"/>
  <c r="L74" i="1"/>
  <c r="L359" i="1"/>
  <c r="L75" i="1"/>
  <c r="L151" i="1"/>
  <c r="L654" i="1"/>
  <c r="L272" i="1"/>
  <c r="L360" i="1"/>
  <c r="L490" i="1"/>
  <c r="L577" i="1"/>
  <c r="L268" i="1"/>
  <c r="L282" i="1"/>
  <c r="L784" i="1"/>
  <c r="L790" i="1"/>
  <c r="L289" i="1"/>
  <c r="L286" i="1"/>
  <c r="L463" i="1"/>
  <c r="L464" i="1"/>
  <c r="L524" i="1"/>
  <c r="L93" i="1"/>
  <c r="L493" i="1"/>
  <c r="L494" i="1"/>
  <c r="L495" i="1"/>
  <c r="L415" i="1"/>
  <c r="L435" i="1"/>
  <c r="L552" i="1"/>
  <c r="L553" i="1"/>
  <c r="L436" i="1"/>
  <c r="L416" i="1"/>
  <c r="L260" i="1"/>
  <c r="L505" i="1"/>
  <c r="L557" i="1"/>
  <c r="L558" i="1"/>
  <c r="L171" i="1"/>
  <c r="L188" i="1"/>
  <c r="L5" i="1"/>
  <c r="L411" i="1"/>
  <c r="L512" i="1"/>
  <c r="L516" i="1"/>
  <c r="L525" i="1"/>
  <c r="L94" i="1"/>
  <c r="L120" i="1"/>
  <c r="L121" i="1"/>
  <c r="L504" i="1"/>
  <c r="L28" i="1"/>
  <c r="L710" i="1"/>
  <c r="L487" i="1"/>
  <c r="L273" i="1"/>
  <c r="L274" i="1"/>
  <c r="L807" i="1"/>
  <c r="L499" i="1"/>
  <c r="L501" i="1"/>
  <c r="L657" i="1"/>
  <c r="L658" i="1"/>
  <c r="L502" i="1"/>
  <c r="L503" i="1"/>
  <c r="L692" i="1"/>
  <c r="L717" i="1"/>
  <c r="L808" i="1"/>
  <c r="L112" i="1"/>
  <c r="L99" i="1"/>
  <c r="L172" i="1"/>
  <c r="L189" i="1"/>
  <c r="L711" i="1"/>
  <c r="L261" i="1"/>
  <c r="L305" i="1"/>
  <c r="L90" i="1"/>
  <c r="L86" i="1"/>
  <c r="L149" i="1"/>
  <c r="L456" i="1"/>
  <c r="L639" i="1"/>
  <c r="L799" i="1"/>
  <c r="L233" i="1"/>
  <c r="L211" i="1"/>
  <c r="L785" i="1"/>
  <c r="L791" i="1"/>
  <c r="L693" i="1"/>
  <c r="L442" i="1"/>
  <c r="L379" i="1"/>
  <c r="L173" i="1"/>
  <c r="L329" i="1"/>
  <c r="L377" i="1"/>
  <c r="L694" i="1"/>
  <c r="L425" i="1"/>
  <c r="L190" i="1"/>
  <c r="L402" i="1"/>
  <c r="L407" i="1"/>
  <c r="L301" i="1"/>
  <c r="L308" i="1"/>
  <c r="L417" i="1"/>
  <c r="L476" i="1"/>
  <c r="L479" i="1"/>
  <c r="L252" i="1"/>
  <c r="L572" i="1"/>
  <c r="L174" i="1"/>
  <c r="L573" i="1"/>
  <c r="L574" i="1"/>
  <c r="L251" i="1"/>
  <c r="L409" i="1"/>
  <c r="L309" i="1"/>
  <c r="L354" i="1"/>
  <c r="L330" i="1"/>
  <c r="L212" i="1"/>
  <c r="L234" i="1"/>
  <c r="L321" i="1"/>
  <c r="L786" i="1"/>
  <c r="L792" i="1"/>
  <c r="L148" i="1"/>
  <c r="L662" i="1"/>
  <c r="L675" i="1"/>
  <c r="L147" i="1"/>
  <c r="L235" i="1"/>
  <c r="L29" i="1"/>
  <c r="L320" i="1"/>
  <c r="L361" i="1"/>
  <c r="L275" i="1"/>
  <c r="L191" i="1"/>
  <c r="L380" i="1"/>
  <c r="L175" i="1"/>
  <c r="L213" i="1"/>
  <c r="L331" i="1"/>
  <c r="L362" i="1"/>
  <c r="L108" i="1"/>
  <c r="L109" i="1"/>
  <c r="L192" i="1"/>
  <c r="L627" i="1"/>
  <c r="L236" i="1"/>
  <c r="L306" i="1"/>
  <c r="L631" i="1"/>
  <c r="L316" i="1"/>
  <c r="L381" i="1"/>
  <c r="L467" i="1"/>
  <c r="L317" i="1"/>
  <c r="L199" i="1"/>
  <c r="L541" i="1"/>
  <c r="L542" i="1"/>
  <c r="L150" i="1"/>
  <c r="L602" i="1"/>
  <c r="L600" i="1"/>
  <c r="L601" i="1"/>
  <c r="L404" i="1"/>
  <c r="L794" i="1"/>
  <c r="L795" i="1"/>
  <c r="L546" i="1"/>
  <c r="L262" i="1"/>
  <c r="L410" i="1"/>
  <c r="L110" i="1"/>
  <c r="L68" i="1"/>
  <c r="L310" i="1"/>
  <c r="L332" i="1"/>
  <c r="L276" i="1"/>
  <c r="L214" i="1"/>
  <c r="L237" i="1"/>
  <c r="L486" i="1"/>
  <c r="L565" i="1"/>
  <c r="L215" i="1"/>
  <c r="L625" i="1"/>
  <c r="L719" i="1"/>
  <c r="L700" i="1"/>
  <c r="L333" i="1"/>
  <c r="L363" i="1"/>
  <c r="L720" i="1"/>
  <c r="L238" i="1"/>
  <c r="L334" i="1"/>
  <c r="L787" i="1"/>
  <c r="L793" i="1"/>
  <c r="L13" i="1"/>
  <c r="L18" i="1"/>
  <c r="L216" i="1"/>
  <c r="L311" i="1"/>
  <c r="L297" i="1"/>
  <c r="L335" i="1"/>
  <c r="L364" i="1"/>
  <c r="L797" i="1"/>
  <c r="L263" i="1"/>
  <c r="L231" i="1"/>
  <c r="L277" i="1"/>
  <c r="L232" i="1"/>
  <c r="L209" i="1"/>
  <c r="L38" i="1"/>
  <c r="L267" i="1"/>
  <c r="L36" i="1"/>
  <c r="L635" i="1"/>
  <c r="L346" i="1"/>
  <c r="L292" i="1"/>
  <c r="L293" i="1"/>
  <c r="L284" i="1"/>
  <c r="L695" i="1"/>
  <c r="L403" i="1"/>
  <c r="L408" i="1"/>
  <c r="L803" i="1"/>
  <c r="L26" i="1"/>
  <c r="L37" i="1"/>
  <c r="L32" i="1"/>
  <c r="L27" i="1"/>
  <c r="L432" i="1"/>
  <c r="L462" i="1"/>
  <c r="L723" i="1"/>
  <c r="L176" i="1"/>
  <c r="L264" i="1"/>
  <c r="L781" i="1"/>
  <c r="L514" i="1"/>
  <c r="L800" i="1"/>
  <c r="L724" i="1"/>
  <c r="L336" i="1"/>
  <c r="L510" i="1"/>
  <c r="L156" i="1"/>
  <c r="L474" i="1"/>
  <c r="L478" i="1"/>
  <c r="L160" i="1"/>
  <c r="L511" i="1"/>
  <c r="L365" i="1"/>
  <c r="L676" i="1"/>
  <c r="L323" i="1"/>
  <c r="L322" i="1"/>
  <c r="L515" i="1"/>
  <c r="L278" i="1"/>
  <c r="L106" i="1"/>
  <c r="L587" i="1"/>
  <c r="L451" i="1"/>
  <c r="L701" i="1"/>
  <c r="L640" i="1"/>
  <c r="L588" i="1"/>
  <c r="L118" i="1"/>
  <c r="L76" i="1"/>
  <c r="L302" i="1"/>
  <c r="L593" i="1"/>
  <c r="L596" i="1"/>
  <c r="L366" i="1"/>
  <c r="L641" i="1"/>
  <c r="L312" i="1"/>
  <c r="L517" i="1"/>
  <c r="L796" i="1"/>
  <c r="L597" i="1"/>
  <c r="L426" i="1"/>
  <c r="L70" i="1"/>
  <c r="L594" i="1"/>
  <c r="L598" i="1"/>
  <c r="L193" i="1"/>
  <c r="L313" i="1"/>
  <c r="L152" i="1"/>
  <c r="L559" i="1"/>
  <c r="L626" i="1"/>
  <c r="L165" i="1"/>
  <c r="L166" i="1"/>
  <c r="L613" i="1"/>
  <c r="L615" i="1"/>
  <c r="L69" i="1"/>
  <c r="L427" i="1"/>
  <c r="L707" i="1"/>
  <c r="L25" i="1"/>
  <c r="L579" i="1"/>
  <c r="L578" i="1"/>
  <c r="L428" i="1"/>
  <c r="L477" i="1"/>
  <c r="L443" i="1"/>
  <c r="L440" i="1"/>
  <c r="L337" i="1"/>
  <c r="L604" i="1"/>
  <c r="L367" i="1"/>
  <c r="L605" i="1"/>
  <c r="L135" i="1"/>
  <c r="L9" i="1"/>
  <c r="L83" i="1"/>
  <c r="L10" i="1"/>
  <c r="L84" i="1"/>
  <c r="L303" i="1"/>
  <c r="L314" i="1"/>
  <c r="L734" i="1"/>
  <c r="L265" i="1"/>
  <c r="L210" i="1"/>
  <c r="L608" i="1"/>
  <c r="L603" i="1"/>
  <c r="L663" i="1"/>
  <c r="L554" i="1"/>
  <c r="L208" i="1"/>
  <c r="L217" i="1"/>
  <c r="L290" i="1"/>
  <c r="L677" i="1"/>
  <c r="L386" i="1"/>
  <c r="L389" i="1"/>
  <c r="L412" i="1"/>
  <c r="L100" i="1"/>
  <c r="L113" i="1"/>
  <c r="L207" i="1"/>
  <c r="L659" i="1"/>
  <c r="L518" i="1"/>
  <c r="L513" i="1"/>
  <c r="L181" i="1"/>
  <c r="L136" i="1"/>
  <c r="L483" i="1"/>
  <c r="L239" i="1"/>
  <c r="L549" i="1"/>
  <c r="L469" i="1"/>
  <c r="L468" i="1"/>
  <c r="L551" i="1"/>
  <c r="L762" i="1"/>
  <c r="L767" i="1"/>
  <c r="L766" i="1"/>
  <c r="L520" i="1"/>
  <c r="L555" i="1"/>
  <c r="L566" i="1"/>
  <c r="L628" i="1"/>
  <c r="L500" i="1"/>
  <c r="L294" i="1"/>
  <c r="L712" i="1"/>
  <c r="L561" i="1"/>
  <c r="L387" i="1"/>
  <c r="L227" i="1"/>
  <c r="L646" i="1"/>
  <c r="L228" i="1"/>
  <c r="L610" i="1"/>
  <c r="L606" i="1"/>
  <c r="L804" i="1"/>
  <c r="L229" i="1"/>
  <c r="L540" i="1"/>
  <c r="L638" i="1"/>
  <c r="L139" i="1"/>
  <c r="L547" i="1"/>
  <c r="L295" i="1"/>
  <c r="L452" i="1"/>
  <c r="L35" i="1"/>
  <c r="L164" i="1"/>
  <c r="L669" i="1"/>
  <c r="L382" i="1"/>
  <c r="L696" i="1"/>
  <c r="L291" i="1"/>
  <c r="L589" i="1"/>
  <c r="L672" i="1"/>
  <c r="L240" i="1"/>
  <c r="L177" i="1"/>
  <c r="L688" i="1"/>
  <c r="L567" i="1"/>
  <c r="L562" i="1"/>
  <c r="L145" i="1"/>
  <c r="L146" i="1"/>
  <c r="L218" i="1"/>
  <c r="L611" i="1"/>
  <c r="L768" i="1"/>
  <c r="L178" i="1"/>
  <c r="L307" i="1"/>
  <c r="L318" i="1"/>
  <c r="L718" i="1"/>
  <c r="L519" i="1"/>
  <c r="L491" i="1"/>
  <c r="L338" i="1"/>
  <c r="L368" i="1"/>
  <c r="L489" i="1"/>
  <c r="L488" i="1"/>
  <c r="L369" i="1"/>
  <c r="L713" i="1"/>
  <c r="L347" i="1"/>
  <c r="L383" i="1"/>
  <c r="L576" i="1"/>
  <c r="L418" i="1"/>
  <c r="L437" i="1"/>
  <c r="L319" i="1"/>
  <c r="L194" i="1"/>
  <c r="L533" i="1"/>
  <c r="L526" i="1"/>
  <c r="L697" i="1"/>
  <c r="L241" i="1"/>
  <c r="L219" i="1"/>
  <c r="L101" i="1"/>
  <c r="L664" i="1"/>
  <c r="L114" i="1"/>
  <c r="L698" i="1"/>
  <c r="L141" i="1"/>
  <c r="L131" i="1"/>
  <c r="L805" i="1"/>
  <c r="L634" i="1"/>
  <c r="L115" i="1"/>
  <c r="L680" i="1"/>
  <c r="L242" i="1"/>
  <c r="L732" i="1"/>
  <c r="L15" i="1"/>
  <c r="L726" i="1"/>
  <c r="L702" i="1"/>
  <c r="L132" i="1"/>
  <c r="L142" i="1"/>
  <c r="L584" i="1"/>
  <c r="L20" i="1"/>
  <c r="L14" i="1"/>
  <c r="L721" i="1"/>
  <c r="L703" i="1"/>
  <c r="L704" i="1"/>
  <c r="L153" i="1"/>
  <c r="L154" i="1"/>
  <c r="L298" i="1"/>
  <c r="L722" i="1"/>
  <c r="L220" i="1"/>
  <c r="L243" i="1"/>
  <c r="L571" i="1"/>
  <c r="L484" i="1"/>
  <c r="L485" i="1"/>
  <c r="L685" i="1"/>
  <c r="L339" i="1"/>
  <c r="L200" i="1"/>
  <c r="L221" i="1"/>
  <c r="L244" i="1"/>
  <c r="L133" i="1"/>
  <c r="L143" i="1"/>
  <c r="L419" i="1"/>
  <c r="L629" i="1"/>
  <c r="L678" i="1"/>
  <c r="L521" i="1"/>
  <c r="L43" i="1"/>
  <c r="L761" i="1"/>
  <c r="L771" i="1"/>
  <c r="L652" i="1"/>
  <c r="L651" i="1"/>
  <c r="L433" i="1"/>
  <c r="L725" i="1"/>
  <c r="L507" i="1"/>
  <c r="L508" i="1"/>
  <c r="L23" i="1"/>
  <c r="L182" i="1"/>
  <c r="L79" i="1"/>
  <c r="L757" i="1"/>
  <c r="L444" i="1"/>
  <c r="L162" i="1"/>
  <c r="L751" i="1"/>
  <c r="L158" i="1"/>
  <c r="L71" i="1"/>
  <c r="L429" i="1"/>
  <c r="L670" i="1"/>
  <c r="L801" i="1"/>
  <c r="L33" i="1"/>
  <c r="L52" i="1"/>
  <c r="L575" i="1"/>
  <c r="L196" i="1"/>
  <c r="L649" i="1"/>
  <c r="L648" i="1"/>
  <c r="L752" i="1"/>
  <c r="L57" i="1"/>
  <c r="L203" i="1"/>
  <c r="L708" i="1"/>
  <c r="L709" i="1"/>
  <c r="L729" i="1"/>
  <c r="L735" i="1"/>
  <c r="L350" i="1"/>
  <c r="L534" i="1"/>
  <c r="L527" i="1"/>
  <c r="L642" i="1"/>
  <c r="L563" i="1"/>
  <c r="L568" i="1"/>
  <c r="L88" i="1"/>
  <c r="L461" i="1"/>
  <c r="L585" i="1"/>
  <c r="L460" i="1"/>
  <c r="L777" i="1"/>
  <c r="L222" i="1"/>
  <c r="L119" i="1"/>
  <c r="L105" i="1"/>
  <c r="L89" i="1"/>
  <c r="L614" i="1"/>
  <c r="L612" i="1"/>
  <c r="L245" i="1"/>
  <c r="L44" i="1"/>
  <c r="L62" i="1"/>
  <c r="L48" i="1"/>
  <c r="L7" i="1"/>
  <c r="L249" i="1"/>
  <c r="L569" i="1"/>
  <c r="L630" i="1"/>
  <c r="L197" i="1"/>
  <c r="L184" i="1"/>
  <c r="L204" i="1"/>
  <c r="L340" i="1"/>
  <c r="L370" i="1"/>
  <c r="L80" i="1"/>
  <c r="L163" i="1"/>
  <c r="L445" i="1"/>
  <c r="L758" i="1"/>
  <c r="L72" i="1"/>
  <c r="L430" i="1"/>
  <c r="L223" i="1"/>
  <c r="L246" i="1"/>
  <c r="L665" i="1"/>
  <c r="L679" i="1"/>
  <c r="L279" i="1"/>
  <c r="L30" i="1"/>
  <c r="L522" i="1"/>
  <c r="L371" i="1"/>
  <c r="L453" i="1"/>
  <c r="L247" i="1"/>
  <c r="L45" i="1"/>
  <c r="L58" i="1"/>
  <c r="L46" i="1"/>
  <c r="L780" i="1"/>
  <c r="L299" i="1"/>
  <c r="L206" i="1"/>
  <c r="L185" i="1"/>
  <c r="L266" i="1"/>
  <c r="L471" i="1"/>
  <c r="L39" i="1"/>
  <c r="L341" i="1"/>
  <c r="L459" i="1"/>
  <c r="L682" i="1"/>
  <c r="L116" i="1"/>
  <c r="L102" i="1"/>
  <c r="L179" i="1"/>
  <c r="L122" i="1"/>
  <c r="L666" i="1"/>
  <c r="L140" i="1"/>
  <c r="L300" i="1"/>
  <c r="L11" i="1"/>
  <c r="L681" i="1"/>
  <c r="L683" i="1"/>
  <c r="L128" i="1"/>
  <c r="L645" i="1"/>
  <c r="L699" i="1"/>
  <c r="L447" i="1"/>
  <c r="L97" i="1"/>
  <c r="L66" i="1"/>
  <c r="L466" i="1"/>
  <c r="L689" i="1"/>
  <c r="L481" i="1"/>
  <c r="L85" i="1"/>
  <c r="L134" i="1"/>
  <c r="L144" i="1"/>
  <c r="L344" i="1"/>
  <c r="L506" i="1"/>
  <c r="L448" i="1"/>
  <c r="L103" i="1"/>
  <c r="L198" i="1"/>
  <c r="L125" i="1"/>
  <c r="L40" i="1"/>
  <c r="L230" i="1"/>
  <c r="L556" i="1"/>
  <c r="L434" i="1"/>
  <c r="L250" i="1"/>
  <c r="L548" i="1"/>
  <c r="L636" i="1"/>
  <c r="L586" i="1"/>
  <c r="L414" i="1"/>
  <c r="L714" i="1"/>
  <c r="L420" i="1"/>
  <c r="L53" i="1"/>
  <c r="L59" i="1"/>
  <c r="L78" i="1"/>
  <c r="L570" i="1"/>
  <c r="L543" i="1"/>
  <c r="L287" i="1"/>
  <c r="L96" i="1"/>
  <c r="L650" i="1"/>
  <c r="L667" i="1"/>
  <c r="L352" i="1"/>
  <c r="L509" i="1"/>
  <c r="L668" i="1"/>
  <c r="L583" i="1"/>
  <c r="L353" i="1"/>
  <c r="L422" i="1"/>
  <c r="L157" i="1"/>
  <c r="L760" i="1"/>
  <c r="L475" i="1"/>
  <c r="L342" i="1"/>
  <c r="L372" i="1"/>
  <c r="L225" i="1"/>
  <c r="L288" i="1"/>
  <c r="L161" i="1"/>
  <c r="L765" i="1"/>
  <c r="L438" i="1"/>
  <c r="L580" i="1"/>
  <c r="L41" i="1"/>
  <c r="L54" i="1"/>
  <c r="L655" i="1"/>
  <c r="L60" i="1"/>
  <c r="L81" i="1"/>
  <c r="L770" i="1"/>
  <c r="L423" i="1"/>
  <c r="L77" i="1"/>
  <c r="L82" i="1"/>
  <c r="L111" i="1"/>
  <c r="L581" i="1"/>
  <c r="L64" i="1"/>
  <c r="L47" i="1"/>
  <c r="L104" i="1"/>
  <c r="L124" i="1"/>
  <c r="L159" i="1"/>
  <c r="L764" i="1"/>
  <c r="L73" i="1"/>
  <c r="L22" i="1"/>
  <c r="L19" i="1"/>
  <c r="L623" i="1"/>
  <c r="L690" i="1"/>
  <c r="L705" i="1"/>
  <c r="L753" i="1"/>
  <c r="L117" i="1"/>
  <c r="L465" i="1"/>
  <c r="L21" i="1"/>
  <c r="L24" i="1"/>
  <c r="L582" i="1"/>
  <c r="L619" i="1"/>
  <c r="L728" i="1"/>
  <c r="L733" i="1"/>
  <c r="L730" i="1"/>
  <c r="L647" i="1"/>
  <c r="L671" i="1"/>
  <c r="L736" i="1"/>
  <c r="L378" i="1"/>
  <c r="L643" i="1"/>
  <c r="L56" i="1"/>
  <c r="L457" i="1"/>
  <c r="L65" i="1"/>
  <c r="L480" i="1"/>
  <c r="L806" i="1"/>
  <c r="L656" i="1"/>
  <c r="L61" i="1"/>
  <c r="L706" i="1"/>
  <c r="L42" i="1"/>
  <c r="L49" i="1"/>
  <c r="L123" i="1"/>
  <c r="L129" i="1"/>
  <c r="L50" i="1"/>
  <c r="L55" i="1"/>
  <c r="L63" i="1"/>
  <c r="L421" i="1"/>
  <c r="L687" i="1"/>
  <c r="L482" i="1"/>
  <c r="L684" i="1"/>
  <c r="L98" i="1"/>
  <c r="L224" i="1"/>
  <c r="L127" i="1"/>
  <c r="L107" i="1"/>
  <c r="L343" i="1"/>
  <c r="L345" i="1"/>
  <c r="L609" i="1"/>
  <c r="L373" i="1"/>
  <c r="L226" i="1"/>
  <c r="L180" i="1"/>
  <c r="L637" i="1"/>
  <c r="L374" i="1"/>
  <c r="L644" i="1"/>
  <c r="L51" i="1"/>
  <c r="L375" i="1"/>
  <c r="L155" i="1"/>
  <c r="L759" i="1"/>
  <c r="L67" i="1"/>
  <c r="L747" i="1"/>
  <c r="L388" i="1"/>
  <c r="L385" i="1"/>
  <c r="L748" i="1"/>
  <c r="L280" i="1"/>
  <c r="L285" i="1"/>
  <c r="L622" i="1"/>
  <c r="L624" i="1"/>
  <c r="L304" i="1"/>
  <c r="L315" i="1"/>
  <c r="L450" i="1"/>
  <c r="L449" i="1"/>
  <c r="L296" i="1"/>
  <c r="L599" i="1"/>
  <c r="L195" i="1"/>
  <c r="L248" i="1"/>
  <c r="L431" i="1"/>
  <c r="L137" i="1"/>
  <c r="L727" i="1"/>
  <c r="L731" i="1"/>
  <c r="L439" i="1"/>
  <c r="L446" i="1"/>
  <c r="L384" i="1"/>
  <c r="L376" i="1"/>
  <c r="L351" i="1"/>
  <c r="L809" i="1"/>
  <c r="L617" i="1"/>
  <c r="L349" i="1"/>
  <c r="L34" i="1"/>
  <c r="L802" i="1"/>
  <c r="L130" i="1"/>
  <c r="L126" i="1"/>
  <c r="L618" i="1"/>
  <c r="L810" i="1"/>
  <c r="L138" i="1"/>
  <c r="L528" i="1"/>
  <c r="M18" i="1" l="1" a="1"/>
  <c r="M18" i="1" s="1"/>
  <c r="M21" i="1" a="1"/>
  <c r="M21" i="1" s="1"/>
  <c r="D52" i="11" s="1"/>
  <c r="M27" i="1" a="1"/>
  <c r="M27" i="1" s="1"/>
  <c r="M22" i="1" a="1"/>
  <c r="M22" i="1" s="1"/>
  <c r="D15" i="11" s="1"/>
  <c r="M25" i="1" a="1"/>
  <c r="M25" i="1" s="1"/>
  <c r="D17" i="11" s="1"/>
  <c r="M28" i="1" a="1"/>
  <c r="M28" i="1" s="1"/>
  <c r="M32" i="1" a="1"/>
  <c r="M32" i="1" s="1"/>
  <c r="M38" i="1" a="1"/>
  <c r="M38" i="1" s="1"/>
  <c r="D10" i="11" s="1"/>
  <c r="M41" i="1" a="1"/>
  <c r="M41" i="1" s="1"/>
  <c r="M44" i="1" a="1"/>
  <c r="M44" i="1" s="1"/>
  <c r="D6" i="11" s="1"/>
  <c r="M48" i="1" a="1"/>
  <c r="M48" i="1" s="1"/>
  <c r="M54" i="1" a="1"/>
  <c r="M54" i="1" s="1"/>
  <c r="M57" i="1" a="1"/>
  <c r="M57" i="1" s="1"/>
  <c r="D8" i="11" s="1"/>
  <c r="M60" i="1" a="1"/>
  <c r="M60" i="1" s="1"/>
  <c r="M64" i="1" a="1"/>
  <c r="M64" i="1" s="1"/>
  <c r="M70" i="1" a="1"/>
  <c r="M70" i="1" s="1"/>
  <c r="M73" i="1" a="1"/>
  <c r="M73" i="1" s="1"/>
  <c r="D112" i="11" s="1"/>
  <c r="M76" i="1" a="1"/>
  <c r="M76" i="1" s="1"/>
  <c r="M19" i="1" a="1"/>
  <c r="M19" i="1" s="1"/>
  <c r="M26" i="1" a="1"/>
  <c r="M26" i="1" s="1"/>
  <c r="M31" i="1" a="1"/>
  <c r="M31" i="1" s="1"/>
  <c r="D9" i="11" s="1"/>
  <c r="M35" i="1" a="1"/>
  <c r="M35" i="1" s="1"/>
  <c r="D27" i="11" s="1"/>
  <c r="M40" i="1" a="1"/>
  <c r="M40" i="1" s="1"/>
  <c r="M43" i="1" a="1"/>
  <c r="M43" i="1" s="1"/>
  <c r="D49" i="11" s="1"/>
  <c r="M52" i="1" a="1"/>
  <c r="M52" i="1" s="1"/>
  <c r="D11" i="11" s="1"/>
  <c r="M61" i="1" a="1"/>
  <c r="M61" i="1" s="1"/>
  <c r="M65" i="1" a="1"/>
  <c r="M65" i="1" s="1"/>
  <c r="D43" i="11" s="1"/>
  <c r="M69" i="1" a="1"/>
  <c r="M69" i="1" s="1"/>
  <c r="M74" i="1" a="1"/>
  <c r="M74" i="1" s="1"/>
  <c r="M78" i="1" a="1"/>
  <c r="M78" i="1" s="1"/>
  <c r="D120" i="11" s="1"/>
  <c r="M81" i="1" a="1"/>
  <c r="M81" i="1" s="1"/>
  <c r="D51" i="11" s="1"/>
  <c r="M84" i="1" a="1"/>
  <c r="M84" i="1" s="1"/>
  <c r="M88" i="1" a="1"/>
  <c r="M88" i="1" s="1"/>
  <c r="D29" i="11" s="1"/>
  <c r="M94" i="1" a="1"/>
  <c r="M94" i="1" s="1"/>
  <c r="M97" i="1" a="1"/>
  <c r="M97" i="1" s="1"/>
  <c r="M100" i="1" a="1"/>
  <c r="M100" i="1" s="1"/>
  <c r="M104" i="1" a="1"/>
  <c r="M104" i="1" s="1"/>
  <c r="M110" i="1" a="1"/>
  <c r="M110" i="1" s="1"/>
  <c r="M113" i="1" a="1"/>
  <c r="M113" i="1" s="1"/>
  <c r="M116" i="1" a="1"/>
  <c r="M116" i="1" s="1"/>
  <c r="M120" i="1" a="1"/>
  <c r="M120" i="1" s="1"/>
  <c r="M126" i="1" a="1"/>
  <c r="M126" i="1" s="1"/>
  <c r="M129" i="1" a="1"/>
  <c r="M129" i="1" s="1"/>
  <c r="M132" i="1" a="1"/>
  <c r="M132" i="1" s="1"/>
  <c r="M136" i="1" a="1"/>
  <c r="M136" i="1" s="1"/>
  <c r="M142" i="1" a="1"/>
  <c r="M142" i="1" s="1"/>
  <c r="M145" i="1" a="1"/>
  <c r="M145" i="1" s="1"/>
  <c r="M148" i="1" a="1"/>
  <c r="M148" i="1" s="1"/>
  <c r="D34" i="11" s="1"/>
  <c r="M152" i="1" a="1"/>
  <c r="M152" i="1" s="1"/>
  <c r="M158" i="1" a="1"/>
  <c r="M158" i="1" s="1"/>
  <c r="M161" i="1" a="1"/>
  <c r="M161" i="1" s="1"/>
  <c r="M164" i="1" a="1"/>
  <c r="M164" i="1" s="1"/>
  <c r="M168" i="1" a="1"/>
  <c r="M168" i="1" s="1"/>
  <c r="M174" i="1" a="1"/>
  <c r="M174" i="1" s="1"/>
  <c r="M177" i="1" a="1"/>
  <c r="M177" i="1" s="1"/>
  <c r="M180" i="1" a="1"/>
  <c r="M180" i="1" s="1"/>
  <c r="M184" i="1" a="1"/>
  <c r="M184" i="1" s="1"/>
  <c r="M189" i="1" a="1"/>
  <c r="M189" i="1" s="1"/>
  <c r="M192" i="1" a="1"/>
  <c r="M192" i="1" s="1"/>
  <c r="M195" i="1" a="1"/>
  <c r="M195" i="1" s="1"/>
  <c r="M198" i="1" a="1"/>
  <c r="M198" i="1" s="1"/>
  <c r="D102" i="11" s="1"/>
  <c r="M20" i="1" a="1"/>
  <c r="M20" i="1" s="1"/>
  <c r="D25" i="11" s="1"/>
  <c r="M36" i="1" a="1"/>
  <c r="M36" i="1" s="1"/>
  <c r="D12" i="11" s="1"/>
  <c r="M45" i="1" a="1"/>
  <c r="M45" i="1" s="1"/>
  <c r="M49" i="1" a="1"/>
  <c r="M49" i="1" s="1"/>
  <c r="M53" i="1" a="1"/>
  <c r="M53" i="1" s="1"/>
  <c r="M58" i="1" a="1"/>
  <c r="M58" i="1" s="1"/>
  <c r="M62" i="1" a="1"/>
  <c r="M62" i="1" s="1"/>
  <c r="D13" i="11" s="1"/>
  <c r="M66" i="1" a="1"/>
  <c r="M66" i="1" s="1"/>
  <c r="D38" i="11" s="1"/>
  <c r="M71" i="1" a="1"/>
  <c r="M71" i="1" s="1"/>
  <c r="M79" i="1" a="1"/>
  <c r="M79" i="1" s="1"/>
  <c r="M82" i="1" a="1"/>
  <c r="M82" i="1" s="1"/>
  <c r="D57" i="11" s="1"/>
  <c r="M85" i="1" a="1"/>
  <c r="M85" i="1" s="1"/>
  <c r="M91" i="1" a="1"/>
  <c r="M91" i="1" s="1"/>
  <c r="M95" i="1" a="1"/>
  <c r="M95" i="1" s="1"/>
  <c r="M98" i="1" a="1"/>
  <c r="M98" i="1" s="1"/>
  <c r="M101" i="1" a="1"/>
  <c r="M101" i="1" s="1"/>
  <c r="M107" i="1" a="1"/>
  <c r="M107" i="1" s="1"/>
  <c r="M111" i="1" a="1"/>
  <c r="M111" i="1" s="1"/>
  <c r="M114" i="1" a="1"/>
  <c r="M114" i="1" s="1"/>
  <c r="M117" i="1" a="1"/>
  <c r="M117" i="1" s="1"/>
  <c r="M123" i="1" a="1"/>
  <c r="M123" i="1" s="1"/>
  <c r="M127" i="1" a="1"/>
  <c r="M127" i="1" s="1"/>
  <c r="M130" i="1" a="1"/>
  <c r="M130" i="1" s="1"/>
  <c r="M133" i="1" a="1"/>
  <c r="M133" i="1" s="1"/>
  <c r="M139" i="1" a="1"/>
  <c r="M139" i="1" s="1"/>
  <c r="M143" i="1" a="1"/>
  <c r="M143" i="1" s="1"/>
  <c r="M146" i="1" a="1"/>
  <c r="M146" i="1" s="1"/>
  <c r="M149" i="1" a="1"/>
  <c r="M149" i="1" s="1"/>
  <c r="M155" i="1" a="1"/>
  <c r="M155" i="1" s="1"/>
  <c r="M159" i="1" a="1"/>
  <c r="M159" i="1" s="1"/>
  <c r="D28" i="11" s="1"/>
  <c r="M162" i="1" a="1"/>
  <c r="M162" i="1" s="1"/>
  <c r="M165" i="1" a="1"/>
  <c r="M165" i="1" s="1"/>
  <c r="D24" i="11" s="1"/>
  <c r="M171" i="1" a="1"/>
  <c r="M171" i="1" s="1"/>
  <c r="M175" i="1" a="1"/>
  <c r="M175" i="1" s="1"/>
  <c r="M178" i="1" a="1"/>
  <c r="M178" i="1" s="1"/>
  <c r="M181" i="1" a="1"/>
  <c r="M181" i="1" s="1"/>
  <c r="M187" i="1" a="1"/>
  <c r="M187" i="1" s="1"/>
  <c r="M190" i="1" a="1"/>
  <c r="M190" i="1" s="1"/>
  <c r="M196" i="1" a="1"/>
  <c r="M196" i="1" s="1"/>
  <c r="M199" i="1" a="1"/>
  <c r="M199" i="1" s="1"/>
  <c r="D53" i="11" s="1"/>
  <c r="M202" i="1" a="1"/>
  <c r="M202" i="1" s="1"/>
  <c r="M205" i="1" a="1"/>
  <c r="M205" i="1" s="1"/>
  <c r="D39" i="11" s="1"/>
  <c r="M212" i="1" a="1"/>
  <c r="M212" i="1" s="1"/>
  <c r="M215" i="1" a="1"/>
  <c r="M215" i="1" s="1"/>
  <c r="M29" i="1" a="1"/>
  <c r="M29" i="1" s="1"/>
  <c r="M37" i="1" a="1"/>
  <c r="M37" i="1" s="1"/>
  <c r="M46" i="1" a="1"/>
  <c r="M46" i="1" s="1"/>
  <c r="M55" i="1" a="1"/>
  <c r="M55" i="1" s="1"/>
  <c r="M63" i="1" a="1"/>
  <c r="M63" i="1" s="1"/>
  <c r="M72" i="1" a="1"/>
  <c r="M72" i="1" s="1"/>
  <c r="M80" i="1" a="1"/>
  <c r="M80" i="1" s="1"/>
  <c r="M86" i="1" a="1"/>
  <c r="M86" i="1" s="1"/>
  <c r="M92" i="1" a="1"/>
  <c r="M92" i="1" s="1"/>
  <c r="M105" i="1" a="1"/>
  <c r="M105" i="1" s="1"/>
  <c r="D99" i="11" s="1"/>
  <c r="M112" i="1" a="1"/>
  <c r="M112" i="1" s="1"/>
  <c r="M118" i="1" a="1"/>
  <c r="M118" i="1" s="1"/>
  <c r="M124" i="1" a="1"/>
  <c r="M124" i="1" s="1"/>
  <c r="M137" i="1" a="1"/>
  <c r="M137" i="1" s="1"/>
  <c r="M144" i="1" a="1"/>
  <c r="M144" i="1" s="1"/>
  <c r="M150" i="1" a="1"/>
  <c r="M150" i="1" s="1"/>
  <c r="M156" i="1" a="1"/>
  <c r="M156" i="1" s="1"/>
  <c r="M169" i="1" a="1"/>
  <c r="M169" i="1" s="1"/>
  <c r="M176" i="1" a="1"/>
  <c r="M176" i="1" s="1"/>
  <c r="M182" i="1" a="1"/>
  <c r="M182" i="1" s="1"/>
  <c r="M188" i="1" a="1"/>
  <c r="M188" i="1" s="1"/>
  <c r="M193" i="1" a="1"/>
  <c r="M193" i="1" s="1"/>
  <c r="M200" i="1" a="1"/>
  <c r="M200" i="1" s="1"/>
  <c r="D89" i="11" s="1"/>
  <c r="M204" i="1" a="1"/>
  <c r="M204" i="1" s="1"/>
  <c r="M208" i="1" a="1"/>
  <c r="M208" i="1" s="1"/>
  <c r="M220" i="1" a="1"/>
  <c r="M220" i="1" s="1"/>
  <c r="M223" i="1" a="1"/>
  <c r="M223" i="1" s="1"/>
  <c r="M226" i="1" a="1"/>
  <c r="M226" i="1" s="1"/>
  <c r="M229" i="1" a="1"/>
  <c r="M229" i="1" s="1"/>
  <c r="M236" i="1" a="1"/>
  <c r="M236" i="1" s="1"/>
  <c r="M239" i="1" a="1"/>
  <c r="M239" i="1" s="1"/>
  <c r="M242" i="1" a="1"/>
  <c r="M242" i="1" s="1"/>
  <c r="M245" i="1" a="1"/>
  <c r="M245" i="1" s="1"/>
  <c r="M252" i="1" a="1"/>
  <c r="M252" i="1" s="1"/>
  <c r="D67" i="11" s="1"/>
  <c r="M255" i="1" a="1"/>
  <c r="M255" i="1" s="1"/>
  <c r="M258" i="1" a="1"/>
  <c r="M258" i="1" s="1"/>
  <c r="M261" i="1" a="1"/>
  <c r="M261" i="1" s="1"/>
  <c r="M268" i="1" a="1"/>
  <c r="M268" i="1" s="1"/>
  <c r="M271" i="1" a="1"/>
  <c r="M271" i="1" s="1"/>
  <c r="M274" i="1" a="1"/>
  <c r="M274" i="1" s="1"/>
  <c r="M277" i="1" a="1"/>
  <c r="M277" i="1" s="1"/>
  <c r="M284" i="1" a="1"/>
  <c r="M284" i="1" s="1"/>
  <c r="M287" i="1" a="1"/>
  <c r="M287" i="1" s="1"/>
  <c r="M290" i="1" a="1"/>
  <c r="M290" i="1" s="1"/>
  <c r="D77" i="11" s="1"/>
  <c r="M293" i="1" a="1"/>
  <c r="M293" i="1" s="1"/>
  <c r="M300" i="1" a="1"/>
  <c r="M300" i="1" s="1"/>
  <c r="M303" i="1" a="1"/>
  <c r="M303" i="1" s="1"/>
  <c r="M306" i="1" a="1"/>
  <c r="M306" i="1" s="1"/>
  <c r="M309" i="1" a="1"/>
  <c r="M309" i="1" s="1"/>
  <c r="M315" i="1" a="1"/>
  <c r="M315" i="1" s="1"/>
  <c r="M318" i="1" a="1"/>
  <c r="M318" i="1" s="1"/>
  <c r="M321" i="1" a="1"/>
  <c r="M321" i="1" s="1"/>
  <c r="D42" i="11" s="1"/>
  <c r="M324" i="1" a="1"/>
  <c r="M324" i="1" s="1"/>
  <c r="M327" i="1" a="1"/>
  <c r="M327" i="1" s="1"/>
  <c r="M330" i="1" a="1"/>
  <c r="M330" i="1" s="1"/>
  <c r="M336" i="1" a="1"/>
  <c r="M336" i="1" s="1"/>
  <c r="M339" i="1" a="1"/>
  <c r="M339" i="1" s="1"/>
  <c r="M342" i="1" a="1"/>
  <c r="M342" i="1" s="1"/>
  <c r="M345" i="1" a="1"/>
  <c r="M345" i="1" s="1"/>
  <c r="M348" i="1" a="1"/>
  <c r="M348" i="1" s="1"/>
  <c r="M351" i="1" a="1"/>
  <c r="M351" i="1" s="1"/>
  <c r="M23" i="1" a="1"/>
  <c r="M23" i="1" s="1"/>
  <c r="D90" i="11" s="1"/>
  <c r="M33" i="1" a="1"/>
  <c r="M33" i="1" s="1"/>
  <c r="M42" i="1" a="1"/>
  <c r="M42" i="1" s="1"/>
  <c r="M50" i="1" a="1"/>
  <c r="M50" i="1" s="1"/>
  <c r="M67" i="1" a="1"/>
  <c r="M67" i="1" s="1"/>
  <c r="D21" i="11" s="1"/>
  <c r="M75" i="1" a="1"/>
  <c r="M75" i="1" s="1"/>
  <c r="M89" i="1" a="1"/>
  <c r="M89" i="1" s="1"/>
  <c r="D16" i="11" s="1"/>
  <c r="M96" i="1" a="1"/>
  <c r="M96" i="1" s="1"/>
  <c r="D18" i="11" s="1"/>
  <c r="M102" i="1" a="1"/>
  <c r="M102" i="1" s="1"/>
  <c r="M108" i="1" a="1"/>
  <c r="M108" i="1" s="1"/>
  <c r="M121" i="1" a="1"/>
  <c r="M121" i="1" s="1"/>
  <c r="M128" i="1" a="1"/>
  <c r="M128" i="1" s="1"/>
  <c r="M134" i="1" a="1"/>
  <c r="M134" i="1" s="1"/>
  <c r="M140" i="1" a="1"/>
  <c r="M140" i="1" s="1"/>
  <c r="M153" i="1" a="1"/>
  <c r="M153" i="1" s="1"/>
  <c r="M160" i="1" a="1"/>
  <c r="M160" i="1" s="1"/>
  <c r="M166" i="1" a="1"/>
  <c r="M166" i="1" s="1"/>
  <c r="D33" i="11" s="1"/>
  <c r="M172" i="1" a="1"/>
  <c r="M172" i="1" s="1"/>
  <c r="M185" i="1" a="1"/>
  <c r="M185" i="1" s="1"/>
  <c r="D100" i="11" s="1"/>
  <c r="M201" i="1" a="1"/>
  <c r="M201" i="1" s="1"/>
  <c r="M206" i="1" a="1"/>
  <c r="M206" i="1" s="1"/>
  <c r="M210" i="1" a="1"/>
  <c r="M210" i="1" s="1"/>
  <c r="M214" i="1" a="1"/>
  <c r="M214" i="1" s="1"/>
  <c r="M218" i="1" a="1"/>
  <c r="M218" i="1" s="1"/>
  <c r="M221" i="1" a="1"/>
  <c r="M221" i="1" s="1"/>
  <c r="M228" i="1" a="1"/>
  <c r="M228" i="1" s="1"/>
  <c r="M231" i="1" a="1"/>
  <c r="M231" i="1" s="1"/>
  <c r="D23" i="11" s="1"/>
  <c r="M234" i="1" a="1"/>
  <c r="M234" i="1" s="1"/>
  <c r="M237" i="1" a="1"/>
  <c r="M237" i="1" s="1"/>
  <c r="M244" i="1" a="1"/>
  <c r="M244" i="1" s="1"/>
  <c r="M247" i="1" a="1"/>
  <c r="M247" i="1" s="1"/>
  <c r="M250" i="1" a="1"/>
  <c r="M250" i="1" s="1"/>
  <c r="D105" i="11" s="1"/>
  <c r="M253" i="1" a="1"/>
  <c r="M253" i="1" s="1"/>
  <c r="D59" i="11" s="1"/>
  <c r="M260" i="1" a="1"/>
  <c r="M260" i="1" s="1"/>
  <c r="M263" i="1" a="1"/>
  <c r="M263" i="1" s="1"/>
  <c r="M266" i="1" a="1"/>
  <c r="M266" i="1" s="1"/>
  <c r="M269" i="1" a="1"/>
  <c r="M269" i="1" s="1"/>
  <c r="M276" i="1" a="1"/>
  <c r="M276" i="1" s="1"/>
  <c r="M279" i="1" a="1"/>
  <c r="M279" i="1" s="1"/>
  <c r="M282" i="1" a="1"/>
  <c r="M282" i="1" s="1"/>
  <c r="M285" i="1" a="1"/>
  <c r="M285" i="1" s="1"/>
  <c r="D119" i="11" s="1"/>
  <c r="M292" i="1" a="1"/>
  <c r="M292" i="1" s="1"/>
  <c r="M295" i="1" a="1"/>
  <c r="M295" i="1" s="1"/>
  <c r="D46" i="11" s="1"/>
  <c r="M298" i="1" a="1"/>
  <c r="M298" i="1" s="1"/>
  <c r="M301" i="1" a="1"/>
  <c r="M301" i="1" s="1"/>
  <c r="M308" i="1" a="1"/>
  <c r="M308" i="1" s="1"/>
  <c r="M311" i="1" a="1"/>
  <c r="M311" i="1" s="1"/>
  <c r="M314" i="1" a="1"/>
  <c r="M314" i="1" s="1"/>
  <c r="M320" i="1" a="1"/>
  <c r="M320" i="1" s="1"/>
  <c r="M325" i="1" a="1"/>
  <c r="M325" i="1" s="1"/>
  <c r="M331" i="1" a="1"/>
  <c r="M331" i="1" s="1"/>
  <c r="M334" i="1" a="1"/>
  <c r="M334" i="1" s="1"/>
  <c r="M338" i="1" a="1"/>
  <c r="M338" i="1" s="1"/>
  <c r="M17" i="1" a="1"/>
  <c r="M17" i="1" s="1"/>
  <c r="M39" i="1" a="1"/>
  <c r="M39" i="1" s="1"/>
  <c r="M56" i="1" a="1"/>
  <c r="M56" i="1" s="1"/>
  <c r="D30" i="11" s="1"/>
  <c r="M87" i="1" a="1"/>
  <c r="M87" i="1" s="1"/>
  <c r="M99" i="1" a="1"/>
  <c r="M99" i="1" s="1"/>
  <c r="M125" i="1" a="1"/>
  <c r="M125" i="1" s="1"/>
  <c r="D103" i="11" s="1"/>
  <c r="M138" i="1" a="1"/>
  <c r="M138" i="1" s="1"/>
  <c r="M151" i="1" a="1"/>
  <c r="M151" i="1" s="1"/>
  <c r="M163" i="1" a="1"/>
  <c r="M163" i="1" s="1"/>
  <c r="M209" i="1" a="1"/>
  <c r="M209" i="1" s="1"/>
  <c r="M217" i="1" a="1"/>
  <c r="M217" i="1" s="1"/>
  <c r="M224" i="1" a="1"/>
  <c r="M224" i="1" s="1"/>
  <c r="M230" i="1" a="1"/>
  <c r="M230" i="1" s="1"/>
  <c r="D104" i="11" s="1"/>
  <c r="M243" i="1" a="1"/>
  <c r="M243" i="1" s="1"/>
  <c r="M249" i="1" a="1"/>
  <c r="M249" i="1" s="1"/>
  <c r="D56" i="11" s="1"/>
  <c r="M256" i="1" a="1"/>
  <c r="M256" i="1" s="1"/>
  <c r="M262" i="1" a="1"/>
  <c r="M262" i="1" s="1"/>
  <c r="M275" i="1" a="1"/>
  <c r="M275" i="1" s="1"/>
  <c r="M281" i="1" a="1"/>
  <c r="M281" i="1" s="1"/>
  <c r="M288" i="1" a="1"/>
  <c r="M288" i="1" s="1"/>
  <c r="M294" i="1" a="1"/>
  <c r="M294" i="1" s="1"/>
  <c r="D48" i="11" s="1"/>
  <c r="M307" i="1" a="1"/>
  <c r="M307" i="1" s="1"/>
  <c r="M313" i="1" a="1"/>
  <c r="M313" i="1" s="1"/>
  <c r="M319" i="1" a="1"/>
  <c r="M319" i="1" s="1"/>
  <c r="M337" i="1" a="1"/>
  <c r="M337" i="1" s="1"/>
  <c r="M341" i="1" a="1"/>
  <c r="M341" i="1" s="1"/>
  <c r="M346" i="1" a="1"/>
  <c r="M346" i="1" s="1"/>
  <c r="M349" i="1" a="1"/>
  <c r="M349" i="1" s="1"/>
  <c r="M353" i="1" a="1"/>
  <c r="M353" i="1" s="1"/>
  <c r="M356" i="1" a="1"/>
  <c r="M356" i="1" s="1"/>
  <c r="M359" i="1" a="1"/>
  <c r="M359" i="1" s="1"/>
  <c r="M362" i="1" a="1"/>
  <c r="M362" i="1" s="1"/>
  <c r="M368" i="1" a="1"/>
  <c r="M368" i="1" s="1"/>
  <c r="M371" i="1" a="1"/>
  <c r="M371" i="1" s="1"/>
  <c r="M374" i="1" a="1"/>
  <c r="M374" i="1" s="1"/>
  <c r="M377" i="1" a="1"/>
  <c r="M377" i="1" s="1"/>
  <c r="M380" i="1" a="1"/>
  <c r="M380" i="1" s="1"/>
  <c r="M383" i="1" a="1"/>
  <c r="M383" i="1" s="1"/>
  <c r="M386" i="1" a="1"/>
  <c r="M386" i="1" s="1"/>
  <c r="M392" i="1" a="1"/>
  <c r="M392" i="1" s="1"/>
  <c r="M395" i="1" a="1"/>
  <c r="M395" i="1" s="1"/>
  <c r="M398" i="1" a="1"/>
  <c r="M398" i="1" s="1"/>
  <c r="M402" i="1" a="1"/>
  <c r="M402" i="1" s="1"/>
  <c r="M408" i="1" a="1"/>
  <c r="M408" i="1" s="1"/>
  <c r="M413" i="1" a="1"/>
  <c r="M413" i="1" s="1"/>
  <c r="M419" i="1" a="1"/>
  <c r="M419" i="1" s="1"/>
  <c r="M422" i="1" a="1"/>
  <c r="M422" i="1" s="1"/>
  <c r="M425" i="1" a="1"/>
  <c r="M425" i="1" s="1"/>
  <c r="M432" i="1" a="1"/>
  <c r="M432" i="1" s="1"/>
  <c r="M435" i="1" a="1"/>
  <c r="M435" i="1" s="1"/>
  <c r="M438" i="1" a="1"/>
  <c r="M438" i="1" s="1"/>
  <c r="M441" i="1" a="1"/>
  <c r="M441" i="1" s="1"/>
  <c r="M444" i="1" a="1"/>
  <c r="M444" i="1" s="1"/>
  <c r="M447" i="1" a="1"/>
  <c r="M447" i="1" s="1"/>
  <c r="M450" i="1" a="1"/>
  <c r="M450" i="1" s="1"/>
  <c r="M456" i="1" a="1"/>
  <c r="M456" i="1" s="1"/>
  <c r="M459" i="1" a="1"/>
  <c r="M459" i="1" s="1"/>
  <c r="M465" i="1" a="1"/>
  <c r="M465" i="1" s="1"/>
  <c r="M470" i="1" a="1"/>
  <c r="M470" i="1" s="1"/>
  <c r="M476" i="1" a="1"/>
  <c r="M476" i="1" s="1"/>
  <c r="M479" i="1" a="1"/>
  <c r="M479" i="1" s="1"/>
  <c r="M482" i="1" a="1"/>
  <c r="M482" i="1" s="1"/>
  <c r="D19" i="11" s="1"/>
  <c r="M485" i="1" a="1"/>
  <c r="M485" i="1" s="1"/>
  <c r="M488" i="1" a="1"/>
  <c r="M488" i="1" s="1"/>
  <c r="M491" i="1" a="1"/>
  <c r="M491" i="1" s="1"/>
  <c r="M497" i="1" a="1"/>
  <c r="M497" i="1" s="1"/>
  <c r="M502" i="1" a="1"/>
  <c r="M502" i="1" s="1"/>
  <c r="M508" i="1" a="1"/>
  <c r="M508" i="1" s="1"/>
  <c r="M511" i="1" a="1"/>
  <c r="M511" i="1" s="1"/>
  <c r="M514" i="1" a="1"/>
  <c r="M514" i="1" s="1"/>
  <c r="M517" i="1" a="1"/>
  <c r="M517" i="1" s="1"/>
  <c r="M520" i="1" a="1"/>
  <c r="M520" i="1" s="1"/>
  <c r="D81" i="11" s="1"/>
  <c r="M523" i="1" a="1"/>
  <c r="M523" i="1" s="1"/>
  <c r="M529" i="1" a="1"/>
  <c r="M529" i="1" s="1"/>
  <c r="M534" i="1" a="1"/>
  <c r="M534" i="1" s="1"/>
  <c r="M540" i="1" a="1"/>
  <c r="M540" i="1" s="1"/>
  <c r="M543" i="1" a="1"/>
  <c r="M543" i="1" s="1"/>
  <c r="D107" i="11" s="1"/>
  <c r="M546" i="1" a="1"/>
  <c r="M546" i="1" s="1"/>
  <c r="M549" i="1" a="1"/>
  <c r="M549" i="1" s="1"/>
  <c r="M552" i="1" a="1"/>
  <c r="M552" i="1" s="1"/>
  <c r="M555" i="1" a="1"/>
  <c r="M555" i="1" s="1"/>
  <c r="D82" i="11" s="1"/>
  <c r="M561" i="1" a="1"/>
  <c r="M561" i="1" s="1"/>
  <c r="M566" i="1" a="1"/>
  <c r="M566" i="1" s="1"/>
  <c r="M572" i="1" a="1"/>
  <c r="M572" i="1" s="1"/>
  <c r="M575" i="1" a="1"/>
  <c r="M575" i="1" s="1"/>
  <c r="D91" i="11" s="1"/>
  <c r="M578" i="1" a="1"/>
  <c r="M578" i="1" s="1"/>
  <c r="M581" i="1" a="1"/>
  <c r="M581" i="1" s="1"/>
  <c r="D111" i="11" s="1"/>
  <c r="M584" i="1" a="1"/>
  <c r="M584" i="1" s="1"/>
  <c r="M587" i="1" a="1"/>
  <c r="M587" i="1" s="1"/>
  <c r="M593" i="1" a="1"/>
  <c r="M593" i="1" s="1"/>
  <c r="M598" i="1" a="1"/>
  <c r="M598" i="1" s="1"/>
  <c r="M604" i="1" a="1"/>
  <c r="M604" i="1" s="1"/>
  <c r="M607" i="1" a="1"/>
  <c r="M607" i="1" s="1"/>
  <c r="M610" i="1" a="1"/>
  <c r="M610" i="1" s="1"/>
  <c r="M613" i="1" a="1"/>
  <c r="M613" i="1" s="1"/>
  <c r="M616" i="1" a="1"/>
  <c r="M616" i="1" s="1"/>
  <c r="M619" i="1" a="1"/>
  <c r="M619" i="1" s="1"/>
  <c r="D55" i="11" s="1"/>
  <c r="M625" i="1" a="1"/>
  <c r="M625" i="1" s="1"/>
  <c r="M630" i="1" a="1"/>
  <c r="M630" i="1" s="1"/>
  <c r="M636" i="1" a="1"/>
  <c r="M636" i="1" s="1"/>
  <c r="M639" i="1" a="1"/>
  <c r="M639" i="1" s="1"/>
  <c r="M24" i="1" a="1"/>
  <c r="M24" i="1" s="1"/>
  <c r="D113" i="11" s="1"/>
  <c r="M59" i="1" a="1"/>
  <c r="M59" i="1" s="1"/>
  <c r="M77" i="1" a="1"/>
  <c r="M77" i="1" s="1"/>
  <c r="M90" i="1" a="1"/>
  <c r="M90" i="1" s="1"/>
  <c r="M103" i="1" a="1"/>
  <c r="M103" i="1" s="1"/>
  <c r="M115" i="1" a="1"/>
  <c r="M115" i="1" s="1"/>
  <c r="M141" i="1" a="1"/>
  <c r="M141" i="1" s="1"/>
  <c r="M154" i="1" a="1"/>
  <c r="M154" i="1" s="1"/>
  <c r="M167" i="1" a="1"/>
  <c r="M167" i="1" s="1"/>
  <c r="M179" i="1" a="1"/>
  <c r="M179" i="1" s="1"/>
  <c r="M191" i="1" a="1"/>
  <c r="M191" i="1" s="1"/>
  <c r="M203" i="1" a="1"/>
  <c r="M203" i="1" s="1"/>
  <c r="M211" i="1" a="1"/>
  <c r="M211" i="1" s="1"/>
  <c r="M219" i="1" a="1"/>
  <c r="M219" i="1" s="1"/>
  <c r="M225" i="1" a="1"/>
  <c r="M225" i="1" s="1"/>
  <c r="M232" i="1" a="1"/>
  <c r="M232" i="1" s="1"/>
  <c r="M238" i="1" a="1"/>
  <c r="M238" i="1" s="1"/>
  <c r="M251" i="1" a="1"/>
  <c r="M251" i="1" s="1"/>
  <c r="M257" i="1" a="1"/>
  <c r="M257" i="1" s="1"/>
  <c r="M264" i="1" a="1"/>
  <c r="M264" i="1" s="1"/>
  <c r="M270" i="1" a="1"/>
  <c r="M270" i="1" s="1"/>
  <c r="M283" i="1" a="1"/>
  <c r="M283" i="1" s="1"/>
  <c r="D63" i="11" s="1"/>
  <c r="M289" i="1" a="1"/>
  <c r="M289" i="1" s="1"/>
  <c r="M296" i="1" a="1"/>
  <c r="M296" i="1" s="1"/>
  <c r="M302" i="1" a="1"/>
  <c r="M302" i="1" s="1"/>
  <c r="M326" i="1" a="1"/>
  <c r="M326" i="1" s="1"/>
  <c r="M332" i="1" a="1"/>
  <c r="M332" i="1" s="1"/>
  <c r="M343" i="1" a="1"/>
  <c r="M343" i="1" s="1"/>
  <c r="M350" i="1" a="1"/>
  <c r="M350" i="1" s="1"/>
  <c r="M354" i="1" a="1"/>
  <c r="M354" i="1" s="1"/>
  <c r="M360" i="1" a="1"/>
  <c r="M360" i="1" s="1"/>
  <c r="M365" i="1" a="1"/>
  <c r="M365" i="1" s="1"/>
  <c r="M369" i="1" a="1"/>
  <c r="M369" i="1" s="1"/>
  <c r="M372" i="1" a="1"/>
  <c r="M372" i="1" s="1"/>
  <c r="M375" i="1" a="1"/>
  <c r="M375" i="1" s="1"/>
  <c r="M378" i="1" a="1"/>
  <c r="M378" i="1" s="1"/>
  <c r="M384" i="1" a="1"/>
  <c r="M384" i="1" s="1"/>
  <c r="M389" i="1" a="1"/>
  <c r="M389" i="1" s="1"/>
  <c r="M396" i="1" a="1"/>
  <c r="M396" i="1" s="1"/>
  <c r="M399" i="1" a="1"/>
  <c r="M399" i="1" s="1"/>
  <c r="M405" i="1" a="1"/>
  <c r="M405" i="1" s="1"/>
  <c r="M411" i="1" a="1"/>
  <c r="M411" i="1" s="1"/>
  <c r="M30" i="1" a="1"/>
  <c r="M30" i="1" s="1"/>
  <c r="M47" i="1" a="1"/>
  <c r="M47" i="1" s="1"/>
  <c r="M34" i="1" a="1"/>
  <c r="M34" i="1" s="1"/>
  <c r="M51" i="1" a="1"/>
  <c r="M51" i="1" s="1"/>
  <c r="M68" i="1" a="1"/>
  <c r="M68" i="1" s="1"/>
  <c r="M83" i="1" a="1"/>
  <c r="M83" i="1" s="1"/>
  <c r="M109" i="1" a="1"/>
  <c r="M109" i="1" s="1"/>
  <c r="M122" i="1" a="1"/>
  <c r="M122" i="1" s="1"/>
  <c r="M135" i="1" a="1"/>
  <c r="M135" i="1" s="1"/>
  <c r="M147" i="1" a="1"/>
  <c r="M147" i="1" s="1"/>
  <c r="M173" i="1" a="1"/>
  <c r="M173" i="1" s="1"/>
  <c r="M186" i="1" a="1"/>
  <c r="M186" i="1" s="1"/>
  <c r="M197" i="1" a="1"/>
  <c r="M197" i="1" s="1"/>
  <c r="D44" i="11" s="1"/>
  <c r="M207" i="1" a="1"/>
  <c r="M207" i="1" s="1"/>
  <c r="M216" i="1" a="1"/>
  <c r="M216" i="1" s="1"/>
  <c r="M222" i="1" a="1"/>
  <c r="M222" i="1" s="1"/>
  <c r="M235" i="1" a="1"/>
  <c r="M235" i="1" s="1"/>
  <c r="M241" i="1" a="1"/>
  <c r="M241" i="1" s="1"/>
  <c r="M248" i="1" a="1"/>
  <c r="M248" i="1" s="1"/>
  <c r="M254" i="1" a="1"/>
  <c r="M254" i="1" s="1"/>
  <c r="D60" i="11" s="1"/>
  <c r="M267" i="1" a="1"/>
  <c r="M267" i="1" s="1"/>
  <c r="M273" i="1" a="1"/>
  <c r="M273" i="1" s="1"/>
  <c r="M280" i="1" a="1"/>
  <c r="M280" i="1" s="1"/>
  <c r="M286" i="1" a="1"/>
  <c r="M286" i="1" s="1"/>
  <c r="M299" i="1" a="1"/>
  <c r="M299" i="1" s="1"/>
  <c r="M305" i="1" a="1"/>
  <c r="M305" i="1" s="1"/>
  <c r="M312" i="1" a="1"/>
  <c r="M312" i="1" s="1"/>
  <c r="M317" i="1" a="1"/>
  <c r="M317" i="1" s="1"/>
  <c r="D70" i="11" s="1"/>
  <c r="M323" i="1" a="1"/>
  <c r="M323" i="1" s="1"/>
  <c r="M329" i="1" a="1"/>
  <c r="M329" i="1" s="1"/>
  <c r="M335" i="1" a="1"/>
  <c r="M335" i="1" s="1"/>
  <c r="M355" i="1" a="1"/>
  <c r="M355" i="1" s="1"/>
  <c r="M358" i="1" a="1"/>
  <c r="M358" i="1" s="1"/>
  <c r="M361" i="1" a="1"/>
  <c r="M361" i="1" s="1"/>
  <c r="M364" i="1" a="1"/>
  <c r="M364" i="1" s="1"/>
  <c r="M367" i="1" a="1"/>
  <c r="M367" i="1" s="1"/>
  <c r="M373" i="1" a="1"/>
  <c r="M373" i="1" s="1"/>
  <c r="M379" i="1" a="1"/>
  <c r="M379" i="1" s="1"/>
  <c r="M382" i="1" a="1"/>
  <c r="M382" i="1" s="1"/>
  <c r="M385" i="1" a="1"/>
  <c r="M385" i="1" s="1"/>
  <c r="M388" i="1" a="1"/>
  <c r="M388" i="1" s="1"/>
  <c r="M391" i="1" a="1"/>
  <c r="M391" i="1" s="1"/>
  <c r="M394" i="1" a="1"/>
  <c r="M394" i="1" s="1"/>
  <c r="M397" i="1" a="1"/>
  <c r="M397" i="1" s="1"/>
  <c r="M401" i="1" a="1"/>
  <c r="M401" i="1" s="1"/>
  <c r="M404" i="1" a="1"/>
  <c r="M404" i="1" s="1"/>
  <c r="M407" i="1" a="1"/>
  <c r="M407" i="1" s="1"/>
  <c r="M410" i="1" a="1"/>
  <c r="M410" i="1" s="1"/>
  <c r="M416" i="1" a="1"/>
  <c r="M416" i="1" s="1"/>
  <c r="M421" i="1" a="1"/>
  <c r="M421" i="1" s="1"/>
  <c r="M428" i="1" a="1"/>
  <c r="M428" i="1" s="1"/>
  <c r="M431" i="1" a="1"/>
  <c r="M431" i="1" s="1"/>
  <c r="M437" i="1" a="1"/>
  <c r="M437" i="1" s="1"/>
  <c r="M443" i="1" a="1"/>
  <c r="M443" i="1" s="1"/>
  <c r="M446" i="1" a="1"/>
  <c r="M446" i="1" s="1"/>
  <c r="M449" i="1" a="1"/>
  <c r="M449" i="1" s="1"/>
  <c r="M452" i="1" a="1"/>
  <c r="M452" i="1" s="1"/>
  <c r="M455" i="1" a="1"/>
  <c r="M455" i="1" s="1"/>
  <c r="M458" i="1" a="1"/>
  <c r="M458" i="1" s="1"/>
  <c r="M461" i="1" a="1"/>
  <c r="M461" i="1" s="1"/>
  <c r="D96" i="11" s="1"/>
  <c r="M464" i="1" a="1"/>
  <c r="M464" i="1" s="1"/>
  <c r="M467" i="1" a="1"/>
  <c r="M467" i="1" s="1"/>
  <c r="D69" i="11" s="1"/>
  <c r="M119" i="1" a="1"/>
  <c r="M119" i="1" s="1"/>
  <c r="D31" i="11" s="1"/>
  <c r="M170" i="1" a="1"/>
  <c r="M170" i="1" s="1"/>
  <c r="M213" i="1" a="1"/>
  <c r="M213" i="1" s="1"/>
  <c r="M240" i="1" a="1"/>
  <c r="M240" i="1" s="1"/>
  <c r="M265" i="1" a="1"/>
  <c r="M265" i="1" s="1"/>
  <c r="M291" i="1" a="1"/>
  <c r="M291" i="1" s="1"/>
  <c r="D85" i="11" s="1"/>
  <c r="M316" i="1" a="1"/>
  <c r="M316" i="1" s="1"/>
  <c r="M340" i="1" a="1"/>
  <c r="M340" i="1" s="1"/>
  <c r="M366" i="1" a="1"/>
  <c r="M366" i="1" s="1"/>
  <c r="M390" i="1" a="1"/>
  <c r="M390" i="1" s="1"/>
  <c r="M403" i="1" a="1"/>
  <c r="M403" i="1" s="1"/>
  <c r="M414" i="1" a="1"/>
  <c r="M414" i="1" s="1"/>
  <c r="M420" i="1" a="1"/>
  <c r="M420" i="1" s="1"/>
  <c r="M426" i="1" a="1"/>
  <c r="M426" i="1" s="1"/>
  <c r="M433" i="1" a="1"/>
  <c r="M433" i="1" s="1"/>
  <c r="M439" i="1" a="1"/>
  <c r="M439" i="1" s="1"/>
  <c r="M457" i="1" a="1"/>
  <c r="M457" i="1" s="1"/>
  <c r="M462" i="1" a="1"/>
  <c r="M462" i="1" s="1"/>
  <c r="M468" i="1" a="1"/>
  <c r="M468" i="1" s="1"/>
  <c r="D37" i="11" s="1"/>
  <c r="M473" i="1" a="1"/>
  <c r="M473" i="1" s="1"/>
  <c r="M477" i="1" a="1"/>
  <c r="M477" i="1" s="1"/>
  <c r="M481" i="1" a="1"/>
  <c r="M481" i="1" s="1"/>
  <c r="M484" i="1" a="1"/>
  <c r="M484" i="1" s="1"/>
  <c r="M489" i="1" a="1"/>
  <c r="M489" i="1" s="1"/>
  <c r="M492" i="1" a="1"/>
  <c r="M492" i="1" s="1"/>
  <c r="M496" i="1" a="1"/>
  <c r="M496" i="1" s="1"/>
  <c r="M500" i="1" a="1"/>
  <c r="M500" i="1" s="1"/>
  <c r="M504" i="1" a="1"/>
  <c r="M504" i="1" s="1"/>
  <c r="M512" i="1" a="1"/>
  <c r="M512" i="1" s="1"/>
  <c r="M519" i="1" a="1"/>
  <c r="M519" i="1" s="1"/>
  <c r="M527" i="1" a="1"/>
  <c r="M527" i="1" s="1"/>
  <c r="M531" i="1" a="1"/>
  <c r="M531" i="1" s="1"/>
  <c r="M535" i="1" a="1"/>
  <c r="M535" i="1" s="1"/>
  <c r="M539" i="1" a="1"/>
  <c r="M539" i="1" s="1"/>
  <c r="M542" i="1" a="1"/>
  <c r="M542" i="1" s="1"/>
  <c r="D72" i="11" s="1"/>
  <c r="M547" i="1" a="1"/>
  <c r="M547" i="1" s="1"/>
  <c r="D84" i="11" s="1"/>
  <c r="M550" i="1" a="1"/>
  <c r="M550" i="1" s="1"/>
  <c r="D32" i="11" s="1"/>
  <c r="M554" i="1" a="1"/>
  <c r="M554" i="1" s="1"/>
  <c r="M558" i="1" a="1"/>
  <c r="M558" i="1" s="1"/>
  <c r="M562" i="1" a="1"/>
  <c r="M562" i="1" s="1"/>
  <c r="M570" i="1" a="1"/>
  <c r="M570" i="1" s="1"/>
  <c r="D106" i="11" s="1"/>
  <c r="M589" i="1" a="1"/>
  <c r="M589" i="1" s="1"/>
  <c r="D86" i="11" s="1"/>
  <c r="M597" i="1" a="1"/>
  <c r="M597" i="1" s="1"/>
  <c r="M601" i="1" a="1"/>
  <c r="M601" i="1" s="1"/>
  <c r="D74" i="11" s="1"/>
  <c r="M605" i="1" a="1"/>
  <c r="M605" i="1" s="1"/>
  <c r="M609" i="1" a="1"/>
  <c r="M609" i="1" s="1"/>
  <c r="M612" i="1" a="1"/>
  <c r="M612" i="1" s="1"/>
  <c r="M617" i="1" a="1"/>
  <c r="M617" i="1" s="1"/>
  <c r="M620" i="1" a="1"/>
  <c r="M620" i="1" s="1"/>
  <c r="M624" i="1" a="1"/>
  <c r="M624" i="1" s="1"/>
  <c r="M628" i="1" a="1"/>
  <c r="M628" i="1" s="1"/>
  <c r="M632" i="1" a="1"/>
  <c r="M632" i="1" s="1"/>
  <c r="M640" i="1" a="1"/>
  <c r="M640" i="1" s="1"/>
  <c r="M643" i="1" a="1"/>
  <c r="M643" i="1" s="1"/>
  <c r="M649" i="1" a="1"/>
  <c r="M649" i="1" s="1"/>
  <c r="M654" i="1" a="1"/>
  <c r="M654" i="1" s="1"/>
  <c r="M660" i="1" a="1"/>
  <c r="M660" i="1" s="1"/>
  <c r="M664" i="1" a="1"/>
  <c r="M664" i="1" s="1"/>
  <c r="M667" i="1" a="1"/>
  <c r="M667" i="1" s="1"/>
  <c r="D50" i="11" s="1"/>
  <c r="M670" i="1" a="1"/>
  <c r="M670" i="1" s="1"/>
  <c r="M676" i="1" a="1"/>
  <c r="M676" i="1" s="1"/>
  <c r="M680" i="1" a="1"/>
  <c r="M680" i="1" s="1"/>
  <c r="M683" i="1" a="1"/>
  <c r="M683" i="1" s="1"/>
  <c r="M686" i="1" a="1"/>
  <c r="M686" i="1" s="1"/>
  <c r="D61" i="11" s="1"/>
  <c r="M692" i="1" a="1"/>
  <c r="M692" i="1" s="1"/>
  <c r="M696" i="1" a="1"/>
  <c r="M696" i="1" s="1"/>
  <c r="M699" i="1" a="1"/>
  <c r="M699" i="1" s="1"/>
  <c r="M702" i="1" a="1"/>
  <c r="M702" i="1" s="1"/>
  <c r="M708" i="1" a="1"/>
  <c r="M708" i="1" s="1"/>
  <c r="D93" i="11" s="1"/>
  <c r="M712" i="1" a="1"/>
  <c r="M712" i="1" s="1"/>
  <c r="M715" i="1" a="1"/>
  <c r="M715" i="1" s="1"/>
  <c r="M718" i="1" a="1"/>
  <c r="M718" i="1" s="1"/>
  <c r="M724" i="1" a="1"/>
  <c r="M724" i="1" s="1"/>
  <c r="M728" i="1" a="1"/>
  <c r="M728" i="1" s="1"/>
  <c r="D115" i="11" s="1"/>
  <c r="M731" i="1" a="1"/>
  <c r="M731" i="1" s="1"/>
  <c r="M734" i="1" a="1"/>
  <c r="M734" i="1" s="1"/>
  <c r="D45" i="11" s="1"/>
  <c r="M740" i="1" a="1"/>
  <c r="M740" i="1" s="1"/>
  <c r="D62" i="11" s="1"/>
  <c r="M744" i="1" a="1"/>
  <c r="M744" i="1" s="1"/>
  <c r="M747" i="1" a="1"/>
  <c r="M747" i="1" s="1"/>
  <c r="M750" i="1" a="1"/>
  <c r="M750" i="1" s="1"/>
  <c r="M756" i="1" a="1"/>
  <c r="M756" i="1" s="1"/>
  <c r="M760" i="1" a="1"/>
  <c r="M760" i="1" s="1"/>
  <c r="M765" i="1" a="1"/>
  <c r="M765" i="1" s="1"/>
  <c r="M768" i="1" a="1"/>
  <c r="M768" i="1" s="1"/>
  <c r="M773" i="1" a="1"/>
  <c r="M773" i="1" s="1"/>
  <c r="M776" i="1" a="1"/>
  <c r="M776" i="1" s="1"/>
  <c r="M781" i="1" a="1"/>
  <c r="M781" i="1" s="1"/>
  <c r="M784" i="1" a="1"/>
  <c r="M784" i="1" s="1"/>
  <c r="M789" i="1" a="1"/>
  <c r="M789" i="1" s="1"/>
  <c r="M792" i="1" a="1"/>
  <c r="M792" i="1" s="1"/>
  <c r="M797" i="1" a="1"/>
  <c r="M797" i="1" s="1"/>
  <c r="M800" i="1" a="1"/>
  <c r="M800" i="1" s="1"/>
  <c r="M805" i="1" a="1"/>
  <c r="M805" i="1" s="1"/>
  <c r="M808" i="1" a="1"/>
  <c r="M808" i="1" s="1"/>
  <c r="M13" i="1" a="1"/>
  <c r="M13" i="1" s="1"/>
  <c r="M9" i="1" a="1"/>
  <c r="M9" i="1" s="1"/>
  <c r="D5" i="11" s="1"/>
  <c r="M6" i="1" a="1"/>
  <c r="M6" i="1" s="1"/>
  <c r="D64" i="11" s="1"/>
  <c r="M417" i="1" a="1"/>
  <c r="M417" i="1" s="1"/>
  <c r="M429" i="1" a="1"/>
  <c r="M429" i="1" s="1"/>
  <c r="M442" i="1" a="1"/>
  <c r="M442" i="1" s="1"/>
  <c r="M453" i="1" a="1"/>
  <c r="M453" i="1" s="1"/>
  <c r="M475" i="1" a="1"/>
  <c r="M475" i="1" s="1"/>
  <c r="M483" i="1" a="1"/>
  <c r="M483" i="1" s="1"/>
  <c r="D79" i="11" s="1"/>
  <c r="M490" i="1" a="1"/>
  <c r="M490" i="1" s="1"/>
  <c r="M498" i="1" a="1"/>
  <c r="M498" i="1" s="1"/>
  <c r="M525" i="1" a="1"/>
  <c r="M525" i="1" s="1"/>
  <c r="M537" i="1" a="1"/>
  <c r="M537" i="1" s="1"/>
  <c r="M545" i="1" a="1"/>
  <c r="M545" i="1" s="1"/>
  <c r="M553" i="1" a="1"/>
  <c r="M553" i="1" s="1"/>
  <c r="M560" i="1" a="1"/>
  <c r="M560" i="1" s="1"/>
  <c r="M568" i="1" a="1"/>
  <c r="M568" i="1" s="1"/>
  <c r="M583" i="1" a="1"/>
  <c r="M583" i="1" s="1"/>
  <c r="D109" i="11" s="1"/>
  <c r="M595" i="1" a="1"/>
  <c r="M595" i="1" s="1"/>
  <c r="M603" i="1" a="1"/>
  <c r="M603" i="1" s="1"/>
  <c r="D76" i="11" s="1"/>
  <c r="M611" i="1" a="1"/>
  <c r="M611" i="1" s="1"/>
  <c r="M618" i="1" a="1"/>
  <c r="M618" i="1" s="1"/>
  <c r="M626" i="1" a="1"/>
  <c r="M626" i="1" s="1"/>
  <c r="M644" i="1" a="1"/>
  <c r="M644" i="1" s="1"/>
  <c r="M650" i="1" a="1"/>
  <c r="M650" i="1" s="1"/>
  <c r="M131" i="1" a="1"/>
  <c r="M131" i="1" s="1"/>
  <c r="M183" i="1" a="1"/>
  <c r="M183" i="1" s="1"/>
  <c r="M246" i="1" a="1"/>
  <c r="M246" i="1" s="1"/>
  <c r="M272" i="1" a="1"/>
  <c r="M272" i="1" s="1"/>
  <c r="M297" i="1" a="1"/>
  <c r="M297" i="1" s="1"/>
  <c r="M322" i="1" a="1"/>
  <c r="M322" i="1" s="1"/>
  <c r="M344" i="1" a="1"/>
  <c r="M344" i="1" s="1"/>
  <c r="M357" i="1" a="1"/>
  <c r="M357" i="1" s="1"/>
  <c r="M370" i="1" a="1"/>
  <c r="M370" i="1" s="1"/>
  <c r="M381" i="1" a="1"/>
  <c r="M381" i="1" s="1"/>
  <c r="M393" i="1" a="1"/>
  <c r="M393" i="1" s="1"/>
  <c r="M406" i="1" a="1"/>
  <c r="M406" i="1" s="1"/>
  <c r="M415" i="1" a="1"/>
  <c r="M415" i="1" s="1"/>
  <c r="M427" i="1" a="1"/>
  <c r="M427" i="1" s="1"/>
  <c r="M434" i="1" a="1"/>
  <c r="M434" i="1" s="1"/>
  <c r="M440" i="1" a="1"/>
  <c r="M440" i="1" s="1"/>
  <c r="M445" i="1" a="1"/>
  <c r="M445" i="1" s="1"/>
  <c r="M451" i="1" a="1"/>
  <c r="M451" i="1" s="1"/>
  <c r="M463" i="1" a="1"/>
  <c r="M463" i="1" s="1"/>
  <c r="M469" i="1" a="1"/>
  <c r="M469" i="1" s="1"/>
  <c r="D47" i="11" s="1"/>
  <c r="M474" i="1" a="1"/>
  <c r="M474" i="1" s="1"/>
  <c r="M493" i="1" a="1"/>
  <c r="M493" i="1" s="1"/>
  <c r="M501" i="1" a="1"/>
  <c r="M501" i="1" s="1"/>
  <c r="D66" i="11" s="1"/>
  <c r="M505" i="1" a="1"/>
  <c r="M505" i="1" s="1"/>
  <c r="M509" i="1" a="1"/>
  <c r="M509" i="1" s="1"/>
  <c r="D108" i="11" s="1"/>
  <c r="M513" i="1" a="1"/>
  <c r="M513" i="1" s="1"/>
  <c r="M516" i="1" a="1"/>
  <c r="M516" i="1" s="1"/>
  <c r="M521" i="1" a="1"/>
  <c r="M521" i="1" s="1"/>
  <c r="M524" i="1" a="1"/>
  <c r="M524" i="1" s="1"/>
  <c r="M528" i="1" a="1"/>
  <c r="M528" i="1" s="1"/>
  <c r="M532" i="1" a="1"/>
  <c r="M532" i="1" s="1"/>
  <c r="M536" i="1" a="1"/>
  <c r="M536" i="1" s="1"/>
  <c r="M544" i="1" a="1"/>
  <c r="M544" i="1" s="1"/>
  <c r="M551" i="1" a="1"/>
  <c r="M551" i="1" s="1"/>
  <c r="M559" i="1" a="1"/>
  <c r="M559" i="1" s="1"/>
  <c r="M563" i="1" a="1"/>
  <c r="M563" i="1" s="1"/>
  <c r="M567" i="1" a="1"/>
  <c r="M567" i="1" s="1"/>
  <c r="M571" i="1" a="1"/>
  <c r="M571" i="1" s="1"/>
  <c r="M574" i="1" a="1"/>
  <c r="M574" i="1" s="1"/>
  <c r="M579" i="1" a="1"/>
  <c r="M579" i="1" s="1"/>
  <c r="M582" i="1" a="1"/>
  <c r="M582" i="1" s="1"/>
  <c r="D114" i="11" s="1"/>
  <c r="M586" i="1" a="1"/>
  <c r="M586" i="1" s="1"/>
  <c r="M590" i="1" a="1"/>
  <c r="M590" i="1" s="1"/>
  <c r="M594" i="1" a="1"/>
  <c r="M594" i="1" s="1"/>
  <c r="M602" i="1" a="1"/>
  <c r="M602" i="1" s="1"/>
  <c r="M621" i="1" a="1"/>
  <c r="M621" i="1" s="1"/>
  <c r="M629" i="1" a="1"/>
  <c r="M629" i="1" s="1"/>
  <c r="M633" i="1" a="1"/>
  <c r="M633" i="1" s="1"/>
  <c r="M637" i="1" a="1"/>
  <c r="M637" i="1" s="1"/>
  <c r="M641" i="1" a="1"/>
  <c r="M641" i="1" s="1"/>
  <c r="M646" i="1" a="1"/>
  <c r="M646" i="1" s="1"/>
  <c r="M652" i="1" a="1"/>
  <c r="M652" i="1" s="1"/>
  <c r="M655" i="1" a="1"/>
  <c r="M655" i="1" s="1"/>
  <c r="M658" i="1" a="1"/>
  <c r="M658" i="1" s="1"/>
  <c r="M661" i="1" a="1"/>
  <c r="M661" i="1" s="1"/>
  <c r="M665" i="1" a="1"/>
  <c r="M665" i="1" s="1"/>
  <c r="M671" i="1" a="1"/>
  <c r="M671" i="1" s="1"/>
  <c r="M674" i="1" a="1"/>
  <c r="M674" i="1" s="1"/>
  <c r="M677" i="1" a="1"/>
  <c r="M677" i="1" s="1"/>
  <c r="M681" i="1" a="1"/>
  <c r="M681" i="1" s="1"/>
  <c r="D36" i="11" s="1"/>
  <c r="M687" i="1" a="1"/>
  <c r="M687" i="1" s="1"/>
  <c r="D118" i="11" s="1"/>
  <c r="M690" i="1" a="1"/>
  <c r="M690" i="1" s="1"/>
  <c r="M693" i="1" a="1"/>
  <c r="M693" i="1" s="1"/>
  <c r="M697" i="1" a="1"/>
  <c r="M697" i="1" s="1"/>
  <c r="M703" i="1" a="1"/>
  <c r="M703" i="1" s="1"/>
  <c r="M706" i="1" a="1"/>
  <c r="M706" i="1" s="1"/>
  <c r="M709" i="1" a="1"/>
  <c r="M709" i="1" s="1"/>
  <c r="D94" i="11" s="1"/>
  <c r="M713" i="1" a="1"/>
  <c r="M713" i="1" s="1"/>
  <c r="M719" i="1" a="1"/>
  <c r="M719" i="1" s="1"/>
  <c r="M722" i="1" a="1"/>
  <c r="M722" i="1" s="1"/>
  <c r="M725" i="1" a="1"/>
  <c r="M725" i="1" s="1"/>
  <c r="M729" i="1" a="1"/>
  <c r="M729" i="1" s="1"/>
  <c r="D95" i="11" s="1"/>
  <c r="M735" i="1" a="1"/>
  <c r="M735" i="1" s="1"/>
  <c r="M738" i="1" a="1"/>
  <c r="M738" i="1" s="1"/>
  <c r="M741" i="1" a="1"/>
  <c r="M741" i="1" s="1"/>
  <c r="M745" i="1" a="1"/>
  <c r="M745" i="1" s="1"/>
  <c r="M751" i="1" a="1"/>
  <c r="M751" i="1" s="1"/>
  <c r="M754" i="1" a="1"/>
  <c r="M754" i="1" s="1"/>
  <c r="M757" i="1" a="1"/>
  <c r="M757" i="1" s="1"/>
  <c r="M763" i="1" a="1"/>
  <c r="M763" i="1" s="1"/>
  <c r="M766" i="1" a="1"/>
  <c r="M766" i="1" s="1"/>
  <c r="M771" i="1" a="1"/>
  <c r="M771" i="1" s="1"/>
  <c r="M774" i="1" a="1"/>
  <c r="M774" i="1" s="1"/>
  <c r="M779" i="1" a="1"/>
  <c r="M779" i="1" s="1"/>
  <c r="M782" i="1" a="1"/>
  <c r="M782" i="1" s="1"/>
  <c r="M787" i="1" a="1"/>
  <c r="M787" i="1" s="1"/>
  <c r="M790" i="1" a="1"/>
  <c r="M790" i="1" s="1"/>
  <c r="M795" i="1" a="1"/>
  <c r="M795" i="1" s="1"/>
  <c r="M798" i="1" a="1"/>
  <c r="M798" i="1" s="1"/>
  <c r="M803" i="1" a="1"/>
  <c r="M803" i="1" s="1"/>
  <c r="M806" i="1" a="1"/>
  <c r="M806" i="1" s="1"/>
  <c r="M16" i="1" a="1"/>
  <c r="M16" i="1" s="1"/>
  <c r="M12" i="1" a="1"/>
  <c r="M12" i="1" s="1"/>
  <c r="M8" i="1" a="1"/>
  <c r="M8" i="1" s="1"/>
  <c r="D26" i="11" s="1"/>
  <c r="M5" i="1" a="1"/>
  <c r="M5" i="1" s="1"/>
  <c r="D40" i="11" s="1"/>
  <c r="M93" i="1" a="1"/>
  <c r="M93" i="1" s="1"/>
  <c r="M194" i="1" a="1"/>
  <c r="M194" i="1" s="1"/>
  <c r="M227" i="1" a="1"/>
  <c r="M227" i="1" s="1"/>
  <c r="M278" i="1" a="1"/>
  <c r="M278" i="1" s="1"/>
  <c r="M304" i="1" a="1"/>
  <c r="M304" i="1" s="1"/>
  <c r="M328" i="1" a="1"/>
  <c r="M328" i="1" s="1"/>
  <c r="M347" i="1" a="1"/>
  <c r="M347" i="1" s="1"/>
  <c r="M409" i="1" a="1"/>
  <c r="M409" i="1" s="1"/>
  <c r="D68" i="11" s="1"/>
  <c r="M423" i="1" a="1"/>
  <c r="M423" i="1" s="1"/>
  <c r="M436" i="1" a="1"/>
  <c r="M436" i="1" s="1"/>
  <c r="M448" i="1" a="1"/>
  <c r="M448" i="1" s="1"/>
  <c r="M471" i="1" a="1"/>
  <c r="M471" i="1" s="1"/>
  <c r="M478" i="1" a="1"/>
  <c r="M478" i="1" s="1"/>
  <c r="M486" i="1" a="1"/>
  <c r="M486" i="1" s="1"/>
  <c r="M494" i="1" a="1"/>
  <c r="M494" i="1" s="1"/>
  <c r="M506" i="1" a="1"/>
  <c r="M506" i="1" s="1"/>
  <c r="D101" i="11" s="1"/>
  <c r="M533" i="1" a="1"/>
  <c r="M533" i="1" s="1"/>
  <c r="M541" i="1" a="1"/>
  <c r="M541" i="1" s="1"/>
  <c r="D71" i="11" s="1"/>
  <c r="M548" i="1" a="1"/>
  <c r="M548" i="1" s="1"/>
  <c r="M556" i="1" a="1"/>
  <c r="M556" i="1" s="1"/>
  <c r="M564" i="1" a="1"/>
  <c r="M564" i="1" s="1"/>
  <c r="M576" i="1" a="1"/>
  <c r="M576" i="1" s="1"/>
  <c r="D88" i="11" s="1"/>
  <c r="M591" i="1" a="1"/>
  <c r="M591" i="1" s="1"/>
  <c r="M599" i="1" a="1"/>
  <c r="M599" i="1" s="1"/>
  <c r="M606" i="1" a="1"/>
  <c r="M606" i="1" s="1"/>
  <c r="D83" i="11" s="1"/>
  <c r="M614" i="1" a="1"/>
  <c r="M614" i="1" s="1"/>
  <c r="M622" i="1" a="1"/>
  <c r="M622" i="1" s="1"/>
  <c r="M634" i="1" a="1"/>
  <c r="M634" i="1" s="1"/>
  <c r="M647" i="1" a="1"/>
  <c r="M647" i="1" s="1"/>
  <c r="M106" i="1" a="1"/>
  <c r="M106" i="1" s="1"/>
  <c r="M259" i="1" a="1"/>
  <c r="M259" i="1" s="1"/>
  <c r="M352" i="1" a="1"/>
  <c r="M352" i="1" s="1"/>
  <c r="M400" i="1" a="1"/>
  <c r="M400" i="1" s="1"/>
  <c r="M430" i="1" a="1"/>
  <c r="M430" i="1" s="1"/>
  <c r="M454" i="1" a="1"/>
  <c r="M454" i="1" s="1"/>
  <c r="M507" i="1" a="1"/>
  <c r="M507" i="1" s="1"/>
  <c r="M522" i="1" a="1"/>
  <c r="M522" i="1" s="1"/>
  <c r="M538" i="1" a="1"/>
  <c r="M538" i="1" s="1"/>
  <c r="M569" i="1" a="1"/>
  <c r="M569" i="1" s="1"/>
  <c r="M585" i="1" a="1"/>
  <c r="M585" i="1" s="1"/>
  <c r="M600" i="1" a="1"/>
  <c r="M600" i="1" s="1"/>
  <c r="D73" i="11" s="1"/>
  <c r="M615" i="1" a="1"/>
  <c r="M615" i="1" s="1"/>
  <c r="M631" i="1" a="1"/>
  <c r="M631" i="1" s="1"/>
  <c r="M645" i="1" a="1"/>
  <c r="M645" i="1" s="1"/>
  <c r="M666" i="1" a="1"/>
  <c r="M666" i="1" s="1"/>
  <c r="M673" i="1" a="1"/>
  <c r="M673" i="1" s="1"/>
  <c r="M679" i="1" a="1"/>
  <c r="M679" i="1" s="1"/>
  <c r="M685" i="1" a="1"/>
  <c r="M685" i="1" s="1"/>
  <c r="M698" i="1" a="1"/>
  <c r="M698" i="1" s="1"/>
  <c r="M705" i="1" a="1"/>
  <c r="M705" i="1" s="1"/>
  <c r="M711" i="1" a="1"/>
  <c r="M711" i="1" s="1"/>
  <c r="M717" i="1" a="1"/>
  <c r="M717" i="1" s="1"/>
  <c r="M730" i="1" a="1"/>
  <c r="M730" i="1" s="1"/>
  <c r="M737" i="1" a="1"/>
  <c r="M737" i="1" s="1"/>
  <c r="M743" i="1" a="1"/>
  <c r="M743" i="1" s="1"/>
  <c r="M749" i="1" a="1"/>
  <c r="M749" i="1" s="1"/>
  <c r="M762" i="1" a="1"/>
  <c r="M762" i="1" s="1"/>
  <c r="M767" i="1" a="1"/>
  <c r="M767" i="1" s="1"/>
  <c r="D80" i="11" s="1"/>
  <c r="M778" i="1" a="1"/>
  <c r="M778" i="1" s="1"/>
  <c r="M783" i="1" a="1"/>
  <c r="M783" i="1" s="1"/>
  <c r="M794" i="1" a="1"/>
  <c r="M794" i="1" s="1"/>
  <c r="M799" i="1" a="1"/>
  <c r="M799" i="1" s="1"/>
  <c r="M810" i="1" a="1"/>
  <c r="M810" i="1" s="1"/>
  <c r="M10" i="1" a="1"/>
  <c r="M10" i="1" s="1"/>
  <c r="D4" i="11" s="1"/>
  <c r="M3" i="1" a="1"/>
  <c r="M3" i="1" s="1"/>
  <c r="D22" i="11" s="1"/>
  <c r="M785" i="1" a="1"/>
  <c r="M785" i="1" s="1"/>
  <c r="M796" i="1" a="1"/>
  <c r="M796" i="1" s="1"/>
  <c r="M15" i="1" a="1"/>
  <c r="M15" i="1" s="1"/>
  <c r="D14" i="11" s="1"/>
  <c r="M721" i="1" a="1"/>
  <c r="M721" i="1" s="1"/>
  <c r="M746" i="1" a="1"/>
  <c r="M746" i="1" s="1"/>
  <c r="M770" i="1" a="1"/>
  <c r="M770" i="1" s="1"/>
  <c r="M786" i="1" a="1"/>
  <c r="M786" i="1" s="1"/>
  <c r="M802" i="1" a="1"/>
  <c r="M802" i="1" s="1"/>
  <c r="M233" i="1" a="1"/>
  <c r="M233" i="1" s="1"/>
  <c r="M424" i="1" a="1"/>
  <c r="M424" i="1" s="1"/>
  <c r="M487" i="1" a="1"/>
  <c r="M487" i="1" s="1"/>
  <c r="M565" i="1" a="1"/>
  <c r="M565" i="1" s="1"/>
  <c r="M596" i="1" a="1"/>
  <c r="M596" i="1" s="1"/>
  <c r="M653" i="1" a="1"/>
  <c r="M653" i="1" s="1"/>
  <c r="M678" i="1" a="1"/>
  <c r="M678" i="1" s="1"/>
  <c r="M691" i="1" a="1"/>
  <c r="M691" i="1" s="1"/>
  <c r="M716" i="1" a="1"/>
  <c r="M716" i="1" s="1"/>
  <c r="M736" i="1" a="1"/>
  <c r="M736" i="1" s="1"/>
  <c r="D117" i="11" s="1"/>
  <c r="M755" i="1" a="1"/>
  <c r="M755" i="1" s="1"/>
  <c r="M772" i="1" a="1"/>
  <c r="M772" i="1" s="1"/>
  <c r="M788" i="1" a="1"/>
  <c r="M788" i="1" s="1"/>
  <c r="M809" i="1" a="1"/>
  <c r="M809" i="1" s="1"/>
  <c r="M157" i="1" a="1"/>
  <c r="M157" i="1" s="1"/>
  <c r="M363" i="1" a="1"/>
  <c r="M363" i="1" s="1"/>
  <c r="M412" i="1" a="1"/>
  <c r="M412" i="1" s="1"/>
  <c r="M460" i="1" a="1"/>
  <c r="M460" i="1" s="1"/>
  <c r="D97" i="11" s="1"/>
  <c r="M480" i="1" a="1"/>
  <c r="M480" i="1" s="1"/>
  <c r="M495" i="1" a="1"/>
  <c r="M495" i="1" s="1"/>
  <c r="M510" i="1" a="1"/>
  <c r="M510" i="1" s="1"/>
  <c r="M526" i="1" a="1"/>
  <c r="M526" i="1" s="1"/>
  <c r="M557" i="1" a="1"/>
  <c r="M557" i="1" s="1"/>
  <c r="M573" i="1" a="1"/>
  <c r="M573" i="1" s="1"/>
  <c r="M588" i="1" a="1"/>
  <c r="M588" i="1" s="1"/>
  <c r="M635" i="1" a="1"/>
  <c r="M635" i="1" s="1"/>
  <c r="M648" i="1" a="1"/>
  <c r="M648" i="1" s="1"/>
  <c r="M656" i="1" a="1"/>
  <c r="M656" i="1" s="1"/>
  <c r="M662" i="1" a="1"/>
  <c r="M662" i="1" s="1"/>
  <c r="M668" i="1" a="1"/>
  <c r="M668" i="1" s="1"/>
  <c r="M675" i="1" a="1"/>
  <c r="M675" i="1" s="1"/>
  <c r="M688" i="1" a="1"/>
  <c r="M688" i="1" s="1"/>
  <c r="D87" i="11" s="1"/>
  <c r="M694" i="1" a="1"/>
  <c r="M694" i="1" s="1"/>
  <c r="M700" i="1" a="1"/>
  <c r="M700" i="1" s="1"/>
  <c r="M707" i="1" a="1"/>
  <c r="M707" i="1" s="1"/>
  <c r="D75" i="11" s="1"/>
  <c r="M720" i="1" a="1"/>
  <c r="M720" i="1" s="1"/>
  <c r="M726" i="1" a="1"/>
  <c r="M726" i="1" s="1"/>
  <c r="M732" i="1" a="1"/>
  <c r="M732" i="1" s="1"/>
  <c r="M739" i="1" a="1"/>
  <c r="M739" i="1" s="1"/>
  <c r="M752" i="1" a="1"/>
  <c r="M752" i="1" s="1"/>
  <c r="D92" i="11" s="1"/>
  <c r="M758" i="1" a="1"/>
  <c r="M758" i="1" s="1"/>
  <c r="M764" i="1" a="1"/>
  <c r="M764" i="1" s="1"/>
  <c r="M769" i="1" a="1"/>
  <c r="M769" i="1" s="1"/>
  <c r="M780" i="1" a="1"/>
  <c r="M780" i="1" s="1"/>
  <c r="M801" i="1" a="1"/>
  <c r="M801" i="1" s="1"/>
  <c r="M7" i="1" a="1"/>
  <c r="M7" i="1" s="1"/>
  <c r="D54" i="11" s="1"/>
  <c r="M733" i="1" a="1"/>
  <c r="M733" i="1" s="1"/>
  <c r="D116" i="11" s="1"/>
  <c r="M759" i="1" a="1"/>
  <c r="M759" i="1" s="1"/>
  <c r="M791" i="1" a="1"/>
  <c r="M791" i="1" s="1"/>
  <c r="M14" i="1" a="1"/>
  <c r="M14" i="1" s="1"/>
  <c r="M387" i="1" a="1"/>
  <c r="M387" i="1" s="1"/>
  <c r="M503" i="1" a="1"/>
  <c r="M503" i="1" s="1"/>
  <c r="M580" i="1" a="1"/>
  <c r="M580" i="1" s="1"/>
  <c r="D110" i="11" s="1"/>
  <c r="M642" i="1" a="1"/>
  <c r="M642" i="1" s="1"/>
  <c r="M672" i="1" a="1"/>
  <c r="M672" i="1" s="1"/>
  <c r="M704" i="1" a="1"/>
  <c r="M704" i="1" s="1"/>
  <c r="M723" i="1" a="1"/>
  <c r="M723" i="1" s="1"/>
  <c r="D35" i="11" s="1"/>
  <c r="M748" i="1" a="1"/>
  <c r="M748" i="1" s="1"/>
  <c r="M777" i="1" a="1"/>
  <c r="M777" i="1" s="1"/>
  <c r="D98" i="11" s="1"/>
  <c r="M804" i="1" a="1"/>
  <c r="M804" i="1" s="1"/>
  <c r="M4" i="1" a="1"/>
  <c r="M4" i="1" s="1"/>
  <c r="D20" i="11" s="1"/>
  <c r="M310" i="1" a="1"/>
  <c r="M310" i="1" s="1"/>
  <c r="M376" i="1" a="1"/>
  <c r="M376" i="1" s="1"/>
  <c r="M418" i="1" a="1"/>
  <c r="M418" i="1" s="1"/>
  <c r="M466" i="1" a="1"/>
  <c r="M466" i="1" s="1"/>
  <c r="D58" i="11" s="1"/>
  <c r="M499" i="1" a="1"/>
  <c r="M499" i="1" s="1"/>
  <c r="D65" i="11" s="1"/>
  <c r="M515" i="1" a="1"/>
  <c r="M515" i="1" s="1"/>
  <c r="M530" i="1" a="1"/>
  <c r="M530" i="1" s="1"/>
  <c r="M577" i="1" a="1"/>
  <c r="M577" i="1" s="1"/>
  <c r="M592" i="1" a="1"/>
  <c r="M592" i="1" s="1"/>
  <c r="M608" i="1" a="1"/>
  <c r="M608" i="1" s="1"/>
  <c r="M623" i="1" a="1"/>
  <c r="M623" i="1" s="1"/>
  <c r="M638" i="1" a="1"/>
  <c r="M638" i="1" s="1"/>
  <c r="M651" i="1" a="1"/>
  <c r="M651" i="1" s="1"/>
  <c r="M657" i="1" a="1"/>
  <c r="M657" i="1" s="1"/>
  <c r="M663" i="1" a="1"/>
  <c r="M663" i="1" s="1"/>
  <c r="M669" i="1" a="1"/>
  <c r="M669" i="1" s="1"/>
  <c r="M682" i="1" a="1"/>
  <c r="M682" i="1" s="1"/>
  <c r="M689" i="1" a="1"/>
  <c r="M689" i="1" s="1"/>
  <c r="M695" i="1" a="1"/>
  <c r="M695" i="1" s="1"/>
  <c r="M701" i="1" a="1"/>
  <c r="M701" i="1" s="1"/>
  <c r="M714" i="1" a="1"/>
  <c r="M714" i="1" s="1"/>
  <c r="M727" i="1" a="1"/>
  <c r="M727" i="1" s="1"/>
  <c r="M753" i="1" a="1"/>
  <c r="M753" i="1" s="1"/>
  <c r="M775" i="1" a="1"/>
  <c r="M775" i="1" s="1"/>
  <c r="M807" i="1" a="1"/>
  <c r="M807" i="1" s="1"/>
  <c r="D41" i="11" s="1"/>
  <c r="M333" i="1" a="1"/>
  <c r="M333" i="1" s="1"/>
  <c r="M472" i="1" a="1"/>
  <c r="M472" i="1" s="1"/>
  <c r="M518" i="1" a="1"/>
  <c r="M518" i="1" s="1"/>
  <c r="M627" i="1" a="1"/>
  <c r="M627" i="1" s="1"/>
  <c r="M659" i="1" a="1"/>
  <c r="M659" i="1" s="1"/>
  <c r="D78" i="11" s="1"/>
  <c r="M684" i="1" a="1"/>
  <c r="M684" i="1" s="1"/>
  <c r="M710" i="1" a="1"/>
  <c r="M710" i="1" s="1"/>
  <c r="M742" i="1" a="1"/>
  <c r="M742" i="1" s="1"/>
  <c r="M761" i="1" a="1"/>
  <c r="M761" i="1" s="1"/>
  <c r="M793" i="1" a="1"/>
  <c r="M793" i="1" s="1"/>
  <c r="M11" i="1" a="1"/>
  <c r="M11" i="1" s="1"/>
  <c r="D7" i="11" s="1"/>
  <c r="N273" i="1"/>
  <c r="N487" i="1"/>
  <c r="N710" i="1"/>
  <c r="N28" i="1"/>
  <c r="N504" i="1"/>
  <c r="N121" i="1"/>
  <c r="N120" i="1"/>
  <c r="N94" i="1"/>
  <c r="N525" i="1"/>
  <c r="N516" i="1"/>
  <c r="N512" i="1"/>
  <c r="N411" i="1"/>
  <c r="N5" i="1"/>
  <c r="N188" i="1"/>
  <c r="N171" i="1"/>
  <c r="N558" i="1"/>
  <c r="N557" i="1"/>
  <c r="N505" i="1"/>
  <c r="N260" i="1"/>
  <c r="N802" i="1"/>
  <c r="N315" i="1"/>
  <c r="N385" i="1"/>
  <c r="N747" i="1"/>
  <c r="N759" i="1"/>
  <c r="N764" i="1"/>
  <c r="N47" i="1"/>
  <c r="N438" i="1"/>
  <c r="N765" i="1"/>
  <c r="N760" i="1"/>
  <c r="N157" i="1"/>
  <c r="N650" i="1"/>
  <c r="N586" i="1"/>
  <c r="N636" i="1"/>
  <c r="N122" i="1"/>
  <c r="N102" i="1"/>
  <c r="N58" i="1"/>
  <c r="N246" i="1"/>
  <c r="N430" i="1"/>
  <c r="N758" i="1"/>
  <c r="N445" i="1"/>
  <c r="N163" i="1"/>
  <c r="N370" i="1"/>
  <c r="N612" i="1"/>
  <c r="N527" i="1"/>
  <c r="N735" i="1"/>
  <c r="N729" i="1"/>
  <c r="N709" i="1"/>
  <c r="N203" i="1"/>
  <c r="N648" i="1"/>
  <c r="N33" i="1"/>
  <c r="N429" i="1"/>
  <c r="N158" i="1"/>
  <c r="N162" i="1"/>
  <c r="N444" i="1"/>
  <c r="N757" i="1"/>
  <c r="N771" i="1"/>
  <c r="N244" i="1"/>
  <c r="N485" i="1"/>
  <c r="N243" i="1"/>
  <c r="N154" i="1"/>
  <c r="N142" i="1"/>
  <c r="N131" i="1"/>
  <c r="N664" i="1"/>
  <c r="N526" i="1"/>
  <c r="N437" i="1"/>
  <c r="N383" i="1"/>
  <c r="N368" i="1"/>
  <c r="N318" i="1"/>
  <c r="N562" i="1"/>
  <c r="N139" i="1"/>
  <c r="N610" i="1"/>
  <c r="N551" i="1"/>
  <c r="N468" i="1"/>
  <c r="N469" i="1"/>
  <c r="N513" i="1"/>
  <c r="N113" i="1"/>
  <c r="N389" i="1"/>
  <c r="N608" i="1"/>
  <c r="N314" i="1"/>
  <c r="N84" i="1"/>
  <c r="N83" i="1"/>
  <c r="N427" i="1"/>
  <c r="N615" i="1"/>
  <c r="N613" i="1"/>
  <c r="N166" i="1"/>
  <c r="N598" i="1"/>
  <c r="N641" i="1"/>
  <c r="N593" i="1"/>
  <c r="N118" i="1"/>
  <c r="N160" i="1"/>
  <c r="N156" i="1"/>
  <c r="N37" i="1"/>
  <c r="N293" i="1"/>
  <c r="N364" i="1"/>
  <c r="N18" i="1"/>
  <c r="N793" i="1"/>
  <c r="H5" i="11"/>
  <c r="I5" i="11"/>
  <c r="J5" i="11"/>
  <c r="K5" i="11"/>
  <c r="L5" i="11"/>
  <c r="M5" i="11"/>
  <c r="N5" i="11"/>
  <c r="H6" i="11"/>
  <c r="I6" i="11"/>
  <c r="J6" i="11"/>
  <c r="K6" i="11"/>
  <c r="L6" i="11"/>
  <c r="M6" i="11"/>
  <c r="N6" i="11"/>
  <c r="H7" i="11"/>
  <c r="I7" i="11"/>
  <c r="J7" i="11"/>
  <c r="K7" i="11"/>
  <c r="L7" i="11"/>
  <c r="M7" i="11"/>
  <c r="N7" i="11"/>
  <c r="H8" i="11"/>
  <c r="I8" i="11"/>
  <c r="J8" i="11"/>
  <c r="K8" i="11"/>
  <c r="L8" i="11"/>
  <c r="M8" i="11"/>
  <c r="N8" i="11"/>
  <c r="H9" i="11"/>
  <c r="I9" i="11"/>
  <c r="J9" i="11"/>
  <c r="K9" i="11"/>
  <c r="L9" i="11"/>
  <c r="M9" i="11"/>
  <c r="N9" i="11"/>
  <c r="H10" i="11"/>
  <c r="I10" i="11"/>
  <c r="J10" i="11"/>
  <c r="K10" i="11"/>
  <c r="L10" i="11"/>
  <c r="M10" i="11"/>
  <c r="N10" i="11"/>
  <c r="H11" i="11"/>
  <c r="I11" i="11"/>
  <c r="J11" i="11"/>
  <c r="K11" i="11"/>
  <c r="L11" i="11"/>
  <c r="M11" i="11"/>
  <c r="N11" i="11"/>
  <c r="H12" i="11"/>
  <c r="I12" i="11"/>
  <c r="J12" i="11"/>
  <c r="K12" i="11"/>
  <c r="L12" i="11"/>
  <c r="M12" i="11"/>
  <c r="N12" i="11"/>
  <c r="H13" i="11"/>
  <c r="I13" i="11"/>
  <c r="J13" i="11"/>
  <c r="K13" i="11"/>
  <c r="L13" i="11"/>
  <c r="M13" i="11"/>
  <c r="N13" i="11"/>
  <c r="H14" i="11"/>
  <c r="I14" i="11"/>
  <c r="J14" i="11"/>
  <c r="K14" i="11"/>
  <c r="L14" i="11"/>
  <c r="M14" i="11"/>
  <c r="N14" i="11"/>
  <c r="H15" i="11"/>
  <c r="I15" i="11"/>
  <c r="J15" i="11"/>
  <c r="K15" i="11"/>
  <c r="L15" i="11"/>
  <c r="M15" i="11"/>
  <c r="N15" i="11"/>
  <c r="H16" i="11"/>
  <c r="I16" i="11"/>
  <c r="J16" i="11"/>
  <c r="K16" i="11"/>
  <c r="L16" i="11"/>
  <c r="M16" i="11"/>
  <c r="N16" i="11"/>
  <c r="H17" i="11"/>
  <c r="I17" i="11"/>
  <c r="J17" i="11"/>
  <c r="K17" i="11"/>
  <c r="L17" i="11"/>
  <c r="M17" i="11"/>
  <c r="N17" i="11"/>
  <c r="H18" i="11"/>
  <c r="I18" i="11"/>
  <c r="J18" i="11"/>
  <c r="K18" i="11"/>
  <c r="L18" i="11"/>
  <c r="M18" i="11"/>
  <c r="N18" i="11"/>
  <c r="H19" i="11"/>
  <c r="I19" i="11"/>
  <c r="J19" i="11"/>
  <c r="K19" i="11"/>
  <c r="L19" i="11"/>
  <c r="M19" i="11"/>
  <c r="N19" i="11"/>
  <c r="H20" i="11"/>
  <c r="I20" i="11"/>
  <c r="J20" i="11"/>
  <c r="K20" i="11"/>
  <c r="L20" i="11"/>
  <c r="M20" i="11"/>
  <c r="N20" i="11"/>
  <c r="H21" i="11"/>
  <c r="I21" i="11"/>
  <c r="J21" i="11"/>
  <c r="K21" i="11"/>
  <c r="L21" i="11"/>
  <c r="M21" i="11"/>
  <c r="N21" i="11"/>
  <c r="H22" i="11"/>
  <c r="I22" i="11"/>
  <c r="J22" i="11"/>
  <c r="K22" i="11"/>
  <c r="L22" i="11"/>
  <c r="M22" i="11"/>
  <c r="N22" i="11"/>
  <c r="H23" i="11"/>
  <c r="I23" i="11"/>
  <c r="J23" i="11"/>
  <c r="K23" i="11"/>
  <c r="L23" i="11"/>
  <c r="M23" i="11"/>
  <c r="N23" i="11"/>
  <c r="H24" i="11"/>
  <c r="I24" i="11"/>
  <c r="J24" i="11"/>
  <c r="K24" i="11"/>
  <c r="L24" i="11"/>
  <c r="M24" i="11"/>
  <c r="N24" i="11"/>
  <c r="H25" i="11"/>
  <c r="I25" i="11"/>
  <c r="J25" i="11"/>
  <c r="K25" i="11"/>
  <c r="L25" i="11"/>
  <c r="M25" i="11"/>
  <c r="N25" i="11"/>
  <c r="H26" i="11"/>
  <c r="I26" i="11"/>
  <c r="J26" i="11"/>
  <c r="K26" i="11"/>
  <c r="L26" i="11"/>
  <c r="M26" i="11"/>
  <c r="N26" i="11"/>
  <c r="H27" i="11"/>
  <c r="I27" i="11"/>
  <c r="J27" i="11"/>
  <c r="K27" i="11"/>
  <c r="L27" i="11"/>
  <c r="M27" i="11"/>
  <c r="N27" i="11"/>
  <c r="H28" i="11"/>
  <c r="I28" i="11"/>
  <c r="J28" i="11"/>
  <c r="K28" i="11"/>
  <c r="L28" i="11"/>
  <c r="M28" i="11"/>
  <c r="N28" i="11"/>
  <c r="H29" i="11"/>
  <c r="I29" i="11"/>
  <c r="J29" i="11"/>
  <c r="K29" i="11"/>
  <c r="L29" i="11"/>
  <c r="M29" i="11"/>
  <c r="N29" i="11"/>
  <c r="H30" i="11"/>
  <c r="I30" i="11"/>
  <c r="J30" i="11"/>
  <c r="K30" i="11"/>
  <c r="L30" i="11"/>
  <c r="M30" i="11"/>
  <c r="N30" i="11"/>
  <c r="H31" i="11"/>
  <c r="I31" i="11"/>
  <c r="J31" i="11"/>
  <c r="K31" i="11"/>
  <c r="L31" i="11"/>
  <c r="M31" i="11"/>
  <c r="N31" i="11"/>
  <c r="H32" i="11"/>
  <c r="I32" i="11"/>
  <c r="J32" i="11"/>
  <c r="K32" i="11"/>
  <c r="L32" i="11"/>
  <c r="M32" i="11"/>
  <c r="N32" i="11"/>
  <c r="H33" i="11"/>
  <c r="I33" i="11"/>
  <c r="J33" i="11"/>
  <c r="K33" i="11"/>
  <c r="L33" i="11"/>
  <c r="M33" i="11"/>
  <c r="N33" i="11"/>
  <c r="H34" i="11"/>
  <c r="I34" i="11"/>
  <c r="J34" i="11"/>
  <c r="K34" i="11"/>
  <c r="L34" i="11"/>
  <c r="M34" i="11"/>
  <c r="N34" i="11"/>
  <c r="H35" i="11"/>
  <c r="I35" i="11"/>
  <c r="J35" i="11"/>
  <c r="K35" i="11"/>
  <c r="L35" i="11"/>
  <c r="M35" i="11"/>
  <c r="N35" i="11"/>
  <c r="H36" i="11"/>
  <c r="I36" i="11"/>
  <c r="J36" i="11"/>
  <c r="K36" i="11"/>
  <c r="L36" i="11"/>
  <c r="M36" i="11"/>
  <c r="N36" i="11"/>
  <c r="H37" i="11"/>
  <c r="I37" i="11"/>
  <c r="J37" i="11"/>
  <c r="K37" i="11"/>
  <c r="L37" i="11"/>
  <c r="M37" i="11"/>
  <c r="N37" i="11"/>
  <c r="H38" i="11"/>
  <c r="I38" i="11"/>
  <c r="J38" i="11"/>
  <c r="K38" i="11"/>
  <c r="L38" i="11"/>
  <c r="M38" i="11"/>
  <c r="N38" i="11"/>
  <c r="H39" i="11"/>
  <c r="I39" i="11"/>
  <c r="J39" i="11"/>
  <c r="K39" i="11"/>
  <c r="L39" i="11"/>
  <c r="M39" i="11"/>
  <c r="N39" i="11"/>
  <c r="H40" i="11"/>
  <c r="I40" i="11"/>
  <c r="J40" i="11"/>
  <c r="K40" i="11"/>
  <c r="L40" i="11"/>
  <c r="M40" i="11"/>
  <c r="N40" i="11"/>
  <c r="H41" i="11"/>
  <c r="I41" i="11"/>
  <c r="J41" i="11"/>
  <c r="K41" i="11"/>
  <c r="L41" i="11"/>
  <c r="M41" i="11"/>
  <c r="N41" i="11"/>
  <c r="H42" i="11"/>
  <c r="I42" i="11"/>
  <c r="J42" i="11"/>
  <c r="K42" i="11"/>
  <c r="L42" i="11"/>
  <c r="M42" i="11"/>
  <c r="N42" i="11"/>
  <c r="H43" i="11"/>
  <c r="I43" i="11"/>
  <c r="J43" i="11"/>
  <c r="K43" i="11"/>
  <c r="L43" i="11"/>
  <c r="M43" i="11"/>
  <c r="N43" i="11"/>
  <c r="H44" i="11"/>
  <c r="I44" i="11"/>
  <c r="J44" i="11"/>
  <c r="K44" i="11"/>
  <c r="L44" i="11"/>
  <c r="M44" i="11"/>
  <c r="N44" i="11"/>
  <c r="H45" i="11"/>
  <c r="I45" i="11"/>
  <c r="J45" i="11"/>
  <c r="K45" i="11"/>
  <c r="L45" i="11"/>
  <c r="M45" i="11"/>
  <c r="N45" i="11"/>
  <c r="H46" i="11"/>
  <c r="I46" i="11"/>
  <c r="J46" i="11"/>
  <c r="K46" i="11"/>
  <c r="L46" i="11"/>
  <c r="M46" i="11"/>
  <c r="N46" i="11"/>
  <c r="H47" i="11"/>
  <c r="I47" i="11"/>
  <c r="J47" i="11"/>
  <c r="K47" i="11"/>
  <c r="L47" i="11"/>
  <c r="M47" i="11"/>
  <c r="N47" i="11"/>
  <c r="H48" i="11"/>
  <c r="I48" i="11"/>
  <c r="J48" i="11"/>
  <c r="K48" i="11"/>
  <c r="L48" i="11"/>
  <c r="M48" i="11"/>
  <c r="N48" i="11"/>
  <c r="H49" i="11"/>
  <c r="I49" i="11"/>
  <c r="J49" i="11"/>
  <c r="K49" i="11"/>
  <c r="L49" i="11"/>
  <c r="M49" i="11"/>
  <c r="N49" i="11"/>
  <c r="H50" i="11"/>
  <c r="I50" i="11"/>
  <c r="J50" i="11"/>
  <c r="K50" i="11"/>
  <c r="L50" i="11"/>
  <c r="M50" i="11"/>
  <c r="N50" i="11"/>
  <c r="H51" i="11"/>
  <c r="I51" i="11"/>
  <c r="J51" i="11"/>
  <c r="K51" i="11"/>
  <c r="L51" i="11"/>
  <c r="M51" i="11"/>
  <c r="N51" i="11"/>
  <c r="H52" i="11"/>
  <c r="I52" i="11"/>
  <c r="J52" i="11"/>
  <c r="K52" i="11"/>
  <c r="L52" i="11"/>
  <c r="M52" i="11"/>
  <c r="N52" i="11"/>
  <c r="H53" i="11"/>
  <c r="I53" i="11"/>
  <c r="J53" i="11"/>
  <c r="K53" i="11"/>
  <c r="L53" i="11"/>
  <c r="M53" i="11"/>
  <c r="N53" i="11"/>
  <c r="H54" i="11"/>
  <c r="I54" i="11"/>
  <c r="J54" i="11"/>
  <c r="K54" i="11"/>
  <c r="L54" i="11"/>
  <c r="M54" i="11"/>
  <c r="N54" i="11"/>
  <c r="H55" i="11"/>
  <c r="I55" i="11"/>
  <c r="J55" i="11"/>
  <c r="K55" i="11"/>
  <c r="L55" i="11"/>
  <c r="M55" i="11"/>
  <c r="N55" i="11"/>
  <c r="H56" i="11"/>
  <c r="I56" i="11"/>
  <c r="J56" i="11"/>
  <c r="K56" i="11"/>
  <c r="L56" i="11"/>
  <c r="M56" i="11"/>
  <c r="N56" i="11"/>
  <c r="H57" i="11"/>
  <c r="I57" i="11"/>
  <c r="J57" i="11"/>
  <c r="K57" i="11"/>
  <c r="L57" i="11"/>
  <c r="M57" i="11"/>
  <c r="N57" i="11"/>
  <c r="H58" i="11"/>
  <c r="I58" i="11"/>
  <c r="J58" i="11"/>
  <c r="K58" i="11"/>
  <c r="L58" i="11"/>
  <c r="M58" i="11"/>
  <c r="N58" i="11"/>
  <c r="H59" i="11"/>
  <c r="I59" i="11"/>
  <c r="J59" i="11"/>
  <c r="K59" i="11"/>
  <c r="L59" i="11"/>
  <c r="M59" i="11"/>
  <c r="N59" i="11"/>
  <c r="H60" i="11"/>
  <c r="I60" i="11"/>
  <c r="J60" i="11"/>
  <c r="K60" i="11"/>
  <c r="L60" i="11"/>
  <c r="M60" i="11"/>
  <c r="N60" i="11"/>
  <c r="H61" i="11"/>
  <c r="I61" i="11"/>
  <c r="J61" i="11"/>
  <c r="K61" i="11"/>
  <c r="L61" i="11"/>
  <c r="M61" i="11"/>
  <c r="N61" i="11"/>
  <c r="H62" i="11"/>
  <c r="I62" i="11"/>
  <c r="J62" i="11"/>
  <c r="K62" i="11"/>
  <c r="L62" i="11"/>
  <c r="M62" i="11"/>
  <c r="N62" i="11"/>
  <c r="H63" i="11"/>
  <c r="I63" i="11"/>
  <c r="J63" i="11"/>
  <c r="K63" i="11"/>
  <c r="L63" i="11"/>
  <c r="M63" i="11"/>
  <c r="N63" i="11"/>
  <c r="H64" i="11"/>
  <c r="I64" i="11"/>
  <c r="J64" i="11"/>
  <c r="K64" i="11"/>
  <c r="L64" i="11"/>
  <c r="M64" i="11"/>
  <c r="N64" i="11"/>
  <c r="H65" i="11"/>
  <c r="I65" i="11"/>
  <c r="J65" i="11"/>
  <c r="K65" i="11"/>
  <c r="L65" i="11"/>
  <c r="M65" i="11"/>
  <c r="N65" i="11"/>
  <c r="H66" i="11"/>
  <c r="I66" i="11"/>
  <c r="J66" i="11"/>
  <c r="K66" i="11"/>
  <c r="L66" i="11"/>
  <c r="M66" i="11"/>
  <c r="N66" i="11"/>
  <c r="H67" i="11"/>
  <c r="I67" i="11"/>
  <c r="J67" i="11"/>
  <c r="K67" i="11"/>
  <c r="L67" i="11"/>
  <c r="M67" i="11"/>
  <c r="N67" i="11"/>
  <c r="H68" i="11"/>
  <c r="I68" i="11"/>
  <c r="J68" i="11"/>
  <c r="K68" i="11"/>
  <c r="L68" i="11"/>
  <c r="M68" i="11"/>
  <c r="N68" i="11"/>
  <c r="H69" i="11"/>
  <c r="I69" i="11"/>
  <c r="J69" i="11"/>
  <c r="K69" i="11"/>
  <c r="L69" i="11"/>
  <c r="M69" i="11"/>
  <c r="N69" i="11"/>
  <c r="H70" i="11"/>
  <c r="I70" i="11"/>
  <c r="J70" i="11"/>
  <c r="K70" i="11"/>
  <c r="L70" i="11"/>
  <c r="M70" i="11"/>
  <c r="N70" i="11"/>
  <c r="H71" i="11"/>
  <c r="I71" i="11"/>
  <c r="J71" i="11"/>
  <c r="K71" i="11"/>
  <c r="L71" i="11"/>
  <c r="M71" i="11"/>
  <c r="N71" i="11"/>
  <c r="H72" i="11"/>
  <c r="I72" i="11"/>
  <c r="J72" i="11"/>
  <c r="K72" i="11"/>
  <c r="L72" i="11"/>
  <c r="M72" i="11"/>
  <c r="N72" i="11"/>
  <c r="H73" i="11"/>
  <c r="I73" i="11"/>
  <c r="J73" i="11"/>
  <c r="K73" i="11"/>
  <c r="L73" i="11"/>
  <c r="M73" i="11"/>
  <c r="N73" i="11"/>
  <c r="H74" i="11"/>
  <c r="I74" i="11"/>
  <c r="J74" i="11"/>
  <c r="K74" i="11"/>
  <c r="L74" i="11"/>
  <c r="M74" i="11"/>
  <c r="N74" i="11"/>
  <c r="H75" i="11"/>
  <c r="I75" i="11"/>
  <c r="J75" i="11"/>
  <c r="K75" i="11"/>
  <c r="L75" i="11"/>
  <c r="M75" i="11"/>
  <c r="N75" i="11"/>
  <c r="H76" i="11"/>
  <c r="I76" i="11"/>
  <c r="J76" i="11"/>
  <c r="K76" i="11"/>
  <c r="L76" i="11"/>
  <c r="M76" i="11"/>
  <c r="N76" i="11"/>
  <c r="H77" i="11"/>
  <c r="I77" i="11"/>
  <c r="J77" i="11"/>
  <c r="K77" i="11"/>
  <c r="L77" i="11"/>
  <c r="M77" i="11"/>
  <c r="N77" i="11"/>
  <c r="H78" i="11"/>
  <c r="I78" i="11"/>
  <c r="J78" i="11"/>
  <c r="K78" i="11"/>
  <c r="L78" i="11"/>
  <c r="M78" i="11"/>
  <c r="N78" i="11"/>
  <c r="H79" i="11"/>
  <c r="I79" i="11"/>
  <c r="J79" i="11"/>
  <c r="K79" i="11"/>
  <c r="L79" i="11"/>
  <c r="M79" i="11"/>
  <c r="N79" i="11"/>
  <c r="H80" i="11"/>
  <c r="I80" i="11"/>
  <c r="J80" i="11"/>
  <c r="K80" i="11"/>
  <c r="L80" i="11"/>
  <c r="M80" i="11"/>
  <c r="N80" i="11"/>
  <c r="H81" i="11"/>
  <c r="I81" i="11"/>
  <c r="J81" i="11"/>
  <c r="K81" i="11"/>
  <c r="L81" i="11"/>
  <c r="M81" i="11"/>
  <c r="N81" i="11"/>
  <c r="H82" i="11"/>
  <c r="I82" i="11"/>
  <c r="J82" i="11"/>
  <c r="K82" i="11"/>
  <c r="L82" i="11"/>
  <c r="M82" i="11"/>
  <c r="N82" i="11"/>
  <c r="H83" i="11"/>
  <c r="I83" i="11"/>
  <c r="J83" i="11"/>
  <c r="K83" i="11"/>
  <c r="L83" i="11"/>
  <c r="M83" i="11"/>
  <c r="N83" i="11"/>
  <c r="H84" i="11"/>
  <c r="I84" i="11"/>
  <c r="J84" i="11"/>
  <c r="K84" i="11"/>
  <c r="L84" i="11"/>
  <c r="M84" i="11"/>
  <c r="N84" i="11"/>
  <c r="H85" i="11"/>
  <c r="I85" i="11"/>
  <c r="J85" i="11"/>
  <c r="K85" i="11"/>
  <c r="L85" i="11"/>
  <c r="M85" i="11"/>
  <c r="N85" i="11"/>
  <c r="H86" i="11"/>
  <c r="I86" i="11"/>
  <c r="J86" i="11"/>
  <c r="K86" i="11"/>
  <c r="L86" i="11"/>
  <c r="M86" i="11"/>
  <c r="N86" i="11"/>
  <c r="H87" i="11"/>
  <c r="I87" i="11"/>
  <c r="J87" i="11"/>
  <c r="K87" i="11"/>
  <c r="L87" i="11"/>
  <c r="M87" i="11"/>
  <c r="N87" i="11"/>
  <c r="H88" i="11"/>
  <c r="I88" i="11"/>
  <c r="J88" i="11"/>
  <c r="K88" i="11"/>
  <c r="L88" i="11"/>
  <c r="M88" i="11"/>
  <c r="N88" i="11"/>
  <c r="H89" i="11"/>
  <c r="I89" i="11"/>
  <c r="J89" i="11"/>
  <c r="K89" i="11"/>
  <c r="L89" i="11"/>
  <c r="M89" i="11"/>
  <c r="N89" i="11"/>
  <c r="H90" i="11"/>
  <c r="I90" i="11"/>
  <c r="J90" i="11"/>
  <c r="K90" i="11"/>
  <c r="L90" i="11"/>
  <c r="M90" i="11"/>
  <c r="N90" i="11"/>
  <c r="H91" i="11"/>
  <c r="I91" i="11"/>
  <c r="J91" i="11"/>
  <c r="K91" i="11"/>
  <c r="L91" i="11"/>
  <c r="M91" i="11"/>
  <c r="N91" i="11"/>
  <c r="H92" i="11"/>
  <c r="I92" i="11"/>
  <c r="J92" i="11"/>
  <c r="K92" i="11"/>
  <c r="L92" i="11"/>
  <c r="M92" i="11"/>
  <c r="N92" i="11"/>
  <c r="H93" i="11"/>
  <c r="I93" i="11"/>
  <c r="J93" i="11"/>
  <c r="K93" i="11"/>
  <c r="L93" i="11"/>
  <c r="M93" i="11"/>
  <c r="N93" i="11"/>
  <c r="H94" i="11"/>
  <c r="I94" i="11"/>
  <c r="J94" i="11"/>
  <c r="K94" i="11"/>
  <c r="L94" i="11"/>
  <c r="M94" i="11"/>
  <c r="N94" i="11"/>
  <c r="H95" i="11"/>
  <c r="I95" i="11"/>
  <c r="J95" i="11"/>
  <c r="K95" i="11"/>
  <c r="L95" i="11"/>
  <c r="M95" i="11"/>
  <c r="N95" i="11"/>
  <c r="H96" i="11"/>
  <c r="I96" i="11"/>
  <c r="J96" i="11"/>
  <c r="K96" i="11"/>
  <c r="L96" i="11"/>
  <c r="M96" i="11"/>
  <c r="N96" i="11"/>
  <c r="H97" i="11"/>
  <c r="I97" i="11"/>
  <c r="J97" i="11"/>
  <c r="K97" i="11"/>
  <c r="L97" i="11"/>
  <c r="M97" i="11"/>
  <c r="N97" i="11"/>
  <c r="H98" i="11"/>
  <c r="I98" i="11"/>
  <c r="J98" i="11"/>
  <c r="K98" i="11"/>
  <c r="L98" i="11"/>
  <c r="M98" i="11"/>
  <c r="N98" i="11"/>
  <c r="H99" i="11"/>
  <c r="I99" i="11"/>
  <c r="J99" i="11"/>
  <c r="K99" i="11"/>
  <c r="L99" i="11"/>
  <c r="M99" i="11"/>
  <c r="N99" i="11"/>
  <c r="H100" i="11"/>
  <c r="I100" i="11"/>
  <c r="J100" i="11"/>
  <c r="K100" i="11"/>
  <c r="L100" i="11"/>
  <c r="M100" i="11"/>
  <c r="N100" i="11"/>
  <c r="H101" i="11"/>
  <c r="I101" i="11"/>
  <c r="J101" i="11"/>
  <c r="K101" i="11"/>
  <c r="L101" i="11"/>
  <c r="M101" i="11"/>
  <c r="N101" i="11"/>
  <c r="H102" i="11"/>
  <c r="I102" i="11"/>
  <c r="J102" i="11"/>
  <c r="K102" i="11"/>
  <c r="L102" i="11"/>
  <c r="M102" i="11"/>
  <c r="N102" i="11"/>
  <c r="H103" i="11"/>
  <c r="I103" i="11"/>
  <c r="J103" i="11"/>
  <c r="K103" i="11"/>
  <c r="L103" i="11"/>
  <c r="M103" i="11"/>
  <c r="N103" i="11"/>
  <c r="H104" i="11"/>
  <c r="I104" i="11"/>
  <c r="J104" i="11"/>
  <c r="K104" i="11"/>
  <c r="L104" i="11"/>
  <c r="M104" i="11"/>
  <c r="N104" i="11"/>
  <c r="H105" i="11"/>
  <c r="I105" i="11"/>
  <c r="J105" i="11"/>
  <c r="K105" i="11"/>
  <c r="L105" i="11"/>
  <c r="M105" i="11"/>
  <c r="N105" i="11"/>
  <c r="H106" i="11"/>
  <c r="I106" i="11"/>
  <c r="J106" i="11"/>
  <c r="K106" i="11"/>
  <c r="L106" i="11"/>
  <c r="M106" i="11"/>
  <c r="N106" i="11"/>
  <c r="H107" i="11"/>
  <c r="I107" i="11"/>
  <c r="J107" i="11"/>
  <c r="K107" i="11"/>
  <c r="L107" i="11"/>
  <c r="M107" i="11"/>
  <c r="N107" i="11"/>
  <c r="H108" i="11"/>
  <c r="I108" i="11"/>
  <c r="J108" i="11"/>
  <c r="K108" i="11"/>
  <c r="L108" i="11"/>
  <c r="M108" i="11"/>
  <c r="N108" i="11"/>
  <c r="H109" i="11"/>
  <c r="I109" i="11"/>
  <c r="J109" i="11"/>
  <c r="K109" i="11"/>
  <c r="L109" i="11"/>
  <c r="M109" i="11"/>
  <c r="N109" i="11"/>
  <c r="H110" i="11"/>
  <c r="I110" i="11"/>
  <c r="J110" i="11"/>
  <c r="K110" i="11"/>
  <c r="L110" i="11"/>
  <c r="M110" i="11"/>
  <c r="N110" i="11"/>
  <c r="H111" i="11"/>
  <c r="I111" i="11"/>
  <c r="J111" i="11"/>
  <c r="K111" i="11"/>
  <c r="L111" i="11"/>
  <c r="M111" i="11"/>
  <c r="N111" i="11"/>
  <c r="H112" i="11"/>
  <c r="I112" i="11"/>
  <c r="J112" i="11"/>
  <c r="K112" i="11"/>
  <c r="L112" i="11"/>
  <c r="M112" i="11"/>
  <c r="N112" i="11"/>
  <c r="H113" i="11"/>
  <c r="I113" i="11"/>
  <c r="J113" i="11"/>
  <c r="K113" i="11"/>
  <c r="L113" i="11"/>
  <c r="M113" i="11"/>
  <c r="N113" i="11"/>
  <c r="H114" i="11"/>
  <c r="I114" i="11"/>
  <c r="J114" i="11"/>
  <c r="K114" i="11"/>
  <c r="L114" i="11"/>
  <c r="M114" i="11"/>
  <c r="N114" i="11"/>
  <c r="H115" i="11"/>
  <c r="I115" i="11"/>
  <c r="J115" i="11"/>
  <c r="K115" i="11"/>
  <c r="L115" i="11"/>
  <c r="M115" i="11"/>
  <c r="N115" i="11"/>
  <c r="H116" i="11"/>
  <c r="I116" i="11"/>
  <c r="J116" i="11"/>
  <c r="K116" i="11"/>
  <c r="L116" i="11"/>
  <c r="M116" i="11"/>
  <c r="N116" i="11"/>
  <c r="H117" i="11"/>
  <c r="I117" i="11"/>
  <c r="J117" i="11"/>
  <c r="K117" i="11"/>
  <c r="L117" i="11"/>
  <c r="M117" i="11"/>
  <c r="N117" i="11"/>
  <c r="H118" i="11"/>
  <c r="I118" i="11"/>
  <c r="J118" i="11"/>
  <c r="K118" i="11"/>
  <c r="L118" i="11"/>
  <c r="M118" i="11"/>
  <c r="N118" i="11"/>
  <c r="H119" i="11"/>
  <c r="I119" i="11"/>
  <c r="J119" i="11"/>
  <c r="K119" i="11"/>
  <c r="L119" i="11"/>
  <c r="M119" i="11"/>
  <c r="N119" i="11"/>
  <c r="H120" i="11"/>
  <c r="I120" i="11"/>
  <c r="J120" i="11"/>
  <c r="K120" i="11"/>
  <c r="L120" i="11"/>
  <c r="M120" i="11"/>
  <c r="N120" i="11"/>
  <c r="N4" i="11"/>
  <c r="M4" i="11"/>
  <c r="B5" i="11"/>
  <c r="C5" i="11"/>
  <c r="B6" i="11"/>
  <c r="C6" i="11"/>
  <c r="B7" i="11"/>
  <c r="C7" i="11"/>
  <c r="B8" i="11"/>
  <c r="C8" i="11"/>
  <c r="B9" i="11"/>
  <c r="C9" i="11"/>
  <c r="B10" i="11"/>
  <c r="C10" i="11"/>
  <c r="B11" i="11"/>
  <c r="C11" i="11"/>
  <c r="B12" i="11"/>
  <c r="C12" i="11"/>
  <c r="B13" i="11"/>
  <c r="C13" i="11"/>
  <c r="B14" i="11"/>
  <c r="C14" i="11"/>
  <c r="B15" i="11"/>
  <c r="C15" i="11"/>
  <c r="B16" i="11"/>
  <c r="C16" i="11"/>
  <c r="B17" i="11"/>
  <c r="C17" i="11"/>
  <c r="B18" i="11"/>
  <c r="C18" i="11"/>
  <c r="B19" i="11"/>
  <c r="C19" i="11"/>
  <c r="B20" i="11"/>
  <c r="C20" i="11"/>
  <c r="B21" i="11"/>
  <c r="C21" i="11"/>
  <c r="B22" i="11"/>
  <c r="C22" i="11"/>
  <c r="B23" i="11"/>
  <c r="C23" i="11"/>
  <c r="B24" i="11"/>
  <c r="C24" i="11"/>
  <c r="B25" i="11"/>
  <c r="C25" i="11"/>
  <c r="B26" i="11"/>
  <c r="C26" i="11"/>
  <c r="B27" i="11"/>
  <c r="C27" i="11"/>
  <c r="B28" i="11"/>
  <c r="C28" i="11"/>
  <c r="B29" i="11"/>
  <c r="C29" i="11"/>
  <c r="B30" i="11"/>
  <c r="C30" i="11"/>
  <c r="B31" i="11"/>
  <c r="C31" i="11"/>
  <c r="B32" i="11"/>
  <c r="C32" i="11"/>
  <c r="B33" i="11"/>
  <c r="C33" i="11"/>
  <c r="B34" i="11"/>
  <c r="C34" i="11"/>
  <c r="B35" i="11"/>
  <c r="C35" i="11"/>
  <c r="B36" i="11"/>
  <c r="C36" i="11"/>
  <c r="B37" i="11"/>
  <c r="C37" i="11"/>
  <c r="B38" i="11"/>
  <c r="C38" i="11"/>
  <c r="B39" i="11"/>
  <c r="C39" i="11"/>
  <c r="B40" i="11"/>
  <c r="C40" i="11"/>
  <c r="B41" i="11"/>
  <c r="C41" i="11"/>
  <c r="B42" i="11"/>
  <c r="C42" i="11"/>
  <c r="B43" i="11"/>
  <c r="C43" i="11"/>
  <c r="B44" i="11"/>
  <c r="C44" i="11"/>
  <c r="B45" i="11"/>
  <c r="C45" i="11"/>
  <c r="B46" i="11"/>
  <c r="C46" i="11"/>
  <c r="B47" i="11"/>
  <c r="C47" i="11"/>
  <c r="B48" i="11"/>
  <c r="C48" i="11"/>
  <c r="B49" i="11"/>
  <c r="C49" i="11"/>
  <c r="B50" i="11"/>
  <c r="C50" i="11"/>
  <c r="B51" i="11"/>
  <c r="C51" i="11"/>
  <c r="B52" i="11"/>
  <c r="C52" i="11"/>
  <c r="B53" i="11"/>
  <c r="C53" i="11"/>
  <c r="B54" i="11"/>
  <c r="C54" i="11"/>
  <c r="B55" i="11"/>
  <c r="C55" i="11"/>
  <c r="B56" i="11"/>
  <c r="C56" i="11"/>
  <c r="B57" i="11"/>
  <c r="C57" i="11"/>
  <c r="B58" i="11"/>
  <c r="C58" i="11"/>
  <c r="B59" i="11"/>
  <c r="C59" i="11"/>
  <c r="B60" i="11"/>
  <c r="C60" i="11"/>
  <c r="B61" i="11"/>
  <c r="C61" i="11"/>
  <c r="B62" i="11"/>
  <c r="C62" i="11"/>
  <c r="B63" i="11"/>
  <c r="C63" i="11"/>
  <c r="B64" i="11"/>
  <c r="C64" i="11"/>
  <c r="B65" i="11"/>
  <c r="C65" i="11"/>
  <c r="B66" i="11"/>
  <c r="C66" i="11"/>
  <c r="B67" i="11"/>
  <c r="C67" i="11"/>
  <c r="B68" i="11"/>
  <c r="C68" i="11"/>
  <c r="B69" i="11"/>
  <c r="C69" i="11"/>
  <c r="B70" i="11"/>
  <c r="C70" i="11"/>
  <c r="B71" i="11"/>
  <c r="C71" i="11"/>
  <c r="B72" i="11"/>
  <c r="C72" i="11"/>
  <c r="B73" i="11"/>
  <c r="C73" i="11"/>
  <c r="B74" i="11"/>
  <c r="C74" i="11"/>
  <c r="B75" i="11"/>
  <c r="C75" i="11"/>
  <c r="B76" i="11"/>
  <c r="C76" i="11"/>
  <c r="B77" i="11"/>
  <c r="C77" i="11"/>
  <c r="B78" i="11"/>
  <c r="C78" i="11"/>
  <c r="B79" i="11"/>
  <c r="C79" i="11"/>
  <c r="B80" i="11"/>
  <c r="C80" i="11"/>
  <c r="B81" i="11"/>
  <c r="C81" i="11"/>
  <c r="B82" i="11"/>
  <c r="C82" i="11"/>
  <c r="B83" i="11"/>
  <c r="C83" i="11"/>
  <c r="B84" i="11"/>
  <c r="C84" i="11"/>
  <c r="B85" i="11"/>
  <c r="C85" i="11"/>
  <c r="B86" i="11"/>
  <c r="C86" i="11"/>
  <c r="B87" i="11"/>
  <c r="C87" i="11"/>
  <c r="B88" i="11"/>
  <c r="C88" i="11"/>
  <c r="B89" i="11"/>
  <c r="C89" i="11"/>
  <c r="B90" i="11"/>
  <c r="C90" i="11"/>
  <c r="B91" i="11"/>
  <c r="C91" i="11"/>
  <c r="B92" i="11"/>
  <c r="C92" i="11"/>
  <c r="B93" i="11"/>
  <c r="C93" i="11"/>
  <c r="B94" i="11"/>
  <c r="C94" i="11"/>
  <c r="B95" i="11"/>
  <c r="C95" i="11"/>
  <c r="B96" i="11"/>
  <c r="C96" i="11"/>
  <c r="B97" i="11"/>
  <c r="C97" i="11"/>
  <c r="B98" i="11"/>
  <c r="C98" i="11"/>
  <c r="B99" i="11"/>
  <c r="C99" i="11"/>
  <c r="B100" i="11"/>
  <c r="C100" i="11"/>
  <c r="B101" i="11"/>
  <c r="C101" i="11"/>
  <c r="B102" i="11"/>
  <c r="C102" i="11"/>
  <c r="B103" i="11"/>
  <c r="C103" i="11"/>
  <c r="B104" i="11"/>
  <c r="C104" i="11"/>
  <c r="B105" i="11"/>
  <c r="C105" i="11"/>
  <c r="B106" i="11"/>
  <c r="C106" i="11"/>
  <c r="B107" i="11"/>
  <c r="C107" i="11"/>
  <c r="B108" i="11"/>
  <c r="C108" i="11"/>
  <c r="B109" i="11"/>
  <c r="C109" i="11"/>
  <c r="B110" i="11"/>
  <c r="C110" i="11"/>
  <c r="B111" i="11"/>
  <c r="C111" i="11"/>
  <c r="B112" i="11"/>
  <c r="C112" i="11"/>
  <c r="B113" i="11"/>
  <c r="C113" i="11"/>
  <c r="B114" i="11"/>
  <c r="C114" i="11"/>
  <c r="B115" i="11"/>
  <c r="C115" i="11"/>
  <c r="B116" i="11"/>
  <c r="C116" i="11"/>
  <c r="B117" i="11"/>
  <c r="C117" i="11"/>
  <c r="B118" i="11"/>
  <c r="C118" i="11"/>
  <c r="B119" i="11"/>
  <c r="C119" i="11"/>
  <c r="B120" i="11"/>
  <c r="C120" i="11"/>
  <c r="C4" i="11"/>
  <c r="B4" i="11"/>
  <c r="H4" i="11"/>
  <c r="L4" i="11"/>
  <c r="K4" i="11"/>
  <c r="J4" i="11"/>
  <c r="I4" i="11"/>
  <c r="O10" i="11" l="1"/>
  <c r="C121" i="11"/>
  <c r="B121" i="11"/>
  <c r="N121" i="11"/>
  <c r="M121" i="11"/>
  <c r="L121" i="11"/>
  <c r="K121" i="11"/>
  <c r="J121" i="11"/>
  <c r="I121" i="11"/>
  <c r="H121" i="11"/>
  <c r="E94" i="11"/>
  <c r="W736" i="1" l="1"/>
  <c r="W759" i="1"/>
  <c r="W582" i="1"/>
  <c r="W497" i="1"/>
  <c r="E37" i="11"/>
  <c r="P549" i="1" s="1"/>
  <c r="E100" i="11"/>
  <c r="P185" i="1" s="1"/>
  <c r="E72" i="11"/>
  <c r="P542" i="1" s="1"/>
  <c r="W155" i="1"/>
  <c r="W320" i="1"/>
  <c r="W67" i="1"/>
  <c r="E113" i="11"/>
  <c r="P24" i="1" s="1"/>
  <c r="W24" i="1"/>
  <c r="E50" i="11"/>
  <c r="P668" i="1" s="1"/>
  <c r="E92" i="11"/>
  <c r="P752" i="1" s="1"/>
  <c r="E28" i="11"/>
  <c r="P753" i="1" s="1"/>
  <c r="W753" i="1"/>
  <c r="E88" i="11"/>
  <c r="P576" i="1" s="1"/>
  <c r="E82" i="11"/>
  <c r="P555" i="1" s="1"/>
  <c r="E76" i="11"/>
  <c r="P603" i="1" s="1"/>
  <c r="E16" i="11"/>
  <c r="P89" i="1" s="1"/>
  <c r="E68" i="11"/>
  <c r="P409" i="1" s="1"/>
  <c r="W730" i="1"/>
  <c r="W21" i="1"/>
  <c r="E20" i="11"/>
  <c r="P498" i="1" s="1"/>
  <c r="W492" i="1"/>
  <c r="E119" i="11"/>
  <c r="P285" i="1" s="1"/>
  <c r="E115" i="11"/>
  <c r="P728" i="1" s="1"/>
  <c r="F112" i="11"/>
  <c r="R73" i="1" s="1"/>
  <c r="U73" i="1" s="1"/>
  <c r="E109" i="11"/>
  <c r="P583" i="1" s="1"/>
  <c r="S583" i="1" s="1"/>
  <c r="E106" i="11"/>
  <c r="P570" i="1" s="1"/>
  <c r="E102" i="11"/>
  <c r="P198" i="1" s="1"/>
  <c r="F98" i="11"/>
  <c r="R777" i="1" s="1"/>
  <c r="U777" i="1" s="1"/>
  <c r="E29" i="11"/>
  <c r="P647" i="1" s="1"/>
  <c r="F89" i="11"/>
  <c r="R200" i="1" s="1"/>
  <c r="U200" i="1" s="1"/>
  <c r="F86" i="11"/>
  <c r="R589" i="1" s="1"/>
  <c r="U589" i="1" s="1"/>
  <c r="E83" i="11"/>
  <c r="P606" i="1" s="1"/>
  <c r="E80" i="11"/>
  <c r="P767" i="1" s="1"/>
  <c r="E77" i="11"/>
  <c r="P290" i="1" s="1"/>
  <c r="F44" i="11"/>
  <c r="R579" i="1" s="1"/>
  <c r="U579" i="1" s="1"/>
  <c r="E74" i="11"/>
  <c r="P601" i="1" s="1"/>
  <c r="E70" i="11"/>
  <c r="P317" i="1" s="1"/>
  <c r="E34" i="11"/>
  <c r="P748" i="1" s="1"/>
  <c r="F66" i="11"/>
  <c r="R501" i="1" s="1"/>
  <c r="U501" i="1" s="1"/>
  <c r="O122" i="11"/>
  <c r="P709" i="1"/>
  <c r="O121" i="11"/>
  <c r="F117" i="11"/>
  <c r="F51" i="11"/>
  <c r="F104" i="11"/>
  <c r="F96" i="11"/>
  <c r="F27" i="11"/>
  <c r="F79" i="11"/>
  <c r="F35" i="11"/>
  <c r="F120" i="11"/>
  <c r="F17" i="11"/>
  <c r="F116" i="11"/>
  <c r="F52" i="11"/>
  <c r="F110" i="11"/>
  <c r="F107" i="11"/>
  <c r="F103" i="11"/>
  <c r="F99" i="11"/>
  <c r="F95" i="11"/>
  <c r="F91" i="11"/>
  <c r="F49" i="11"/>
  <c r="F87" i="11"/>
  <c r="F84" i="11"/>
  <c r="F81" i="11"/>
  <c r="F78" i="11"/>
  <c r="F45" i="11"/>
  <c r="F43" i="11"/>
  <c r="F71" i="11"/>
  <c r="F21" i="11"/>
  <c r="F67" i="11"/>
  <c r="F40" i="11"/>
  <c r="E84" i="11"/>
  <c r="E107" i="11"/>
  <c r="E81" i="11"/>
  <c r="E120" i="11"/>
  <c r="E95" i="11"/>
  <c r="E43" i="11"/>
  <c r="E110" i="11"/>
  <c r="E40" i="11"/>
  <c r="F41" i="11"/>
  <c r="E17" i="11"/>
  <c r="E91" i="11"/>
  <c r="E71" i="11"/>
  <c r="F115" i="11"/>
  <c r="F102" i="11"/>
  <c r="E98" i="11"/>
  <c r="F77" i="11"/>
  <c r="E44" i="11"/>
  <c r="F34" i="11"/>
  <c r="F119" i="11"/>
  <c r="F106" i="11"/>
  <c r="F29" i="11"/>
  <c r="E89" i="11"/>
  <c r="F80" i="11"/>
  <c r="F70" i="11"/>
  <c r="F20" i="11"/>
  <c r="E52" i="11"/>
  <c r="F109" i="11"/>
  <c r="E99" i="11"/>
  <c r="F94" i="11"/>
  <c r="E87" i="11"/>
  <c r="F83" i="11"/>
  <c r="E45" i="11"/>
  <c r="F74" i="11"/>
  <c r="E67" i="11"/>
  <c r="E112" i="11"/>
  <c r="E86" i="11"/>
  <c r="E66" i="11"/>
  <c r="E116" i="11"/>
  <c r="E103" i="11"/>
  <c r="E49" i="11"/>
  <c r="E78" i="11"/>
  <c r="E21" i="11"/>
  <c r="E117" i="11"/>
  <c r="F113" i="11"/>
  <c r="E104" i="11"/>
  <c r="F100" i="11"/>
  <c r="E79" i="11"/>
  <c r="F76" i="11"/>
  <c r="F37" i="11"/>
  <c r="E51" i="11"/>
  <c r="F50" i="11"/>
  <c r="E96" i="11"/>
  <c r="F92" i="11"/>
  <c r="E27" i="11"/>
  <c r="F82" i="11"/>
  <c r="E35" i="11"/>
  <c r="F72" i="11"/>
  <c r="E41" i="11"/>
  <c r="E22" i="11"/>
  <c r="F22" i="11"/>
  <c r="E118" i="11"/>
  <c r="F118" i="11"/>
  <c r="E114" i="11"/>
  <c r="F114" i="11"/>
  <c r="E111" i="11"/>
  <c r="F111" i="11"/>
  <c r="E108" i="11"/>
  <c r="F108" i="11"/>
  <c r="E105" i="11"/>
  <c r="F105" i="11"/>
  <c r="E101" i="11"/>
  <c r="F101" i="11"/>
  <c r="E97" i="11"/>
  <c r="F97" i="11"/>
  <c r="E93" i="11"/>
  <c r="F93" i="11"/>
  <c r="E90" i="11"/>
  <c r="F90" i="11"/>
  <c r="E36" i="11"/>
  <c r="F36" i="11"/>
  <c r="E85" i="11"/>
  <c r="F85" i="11"/>
  <c r="E48" i="11"/>
  <c r="F48" i="11"/>
  <c r="E47" i="11"/>
  <c r="F47" i="11"/>
  <c r="E46" i="11"/>
  <c r="F46" i="11"/>
  <c r="E75" i="11"/>
  <c r="F75" i="11"/>
  <c r="E73" i="11"/>
  <c r="F73" i="11"/>
  <c r="E69" i="11"/>
  <c r="F69" i="11"/>
  <c r="E42" i="11"/>
  <c r="F42" i="11"/>
  <c r="E65" i="11"/>
  <c r="F65" i="11"/>
  <c r="F28" i="11"/>
  <c r="F16" i="11"/>
  <c r="F88" i="11"/>
  <c r="F68" i="11"/>
  <c r="Q317" i="1" l="1"/>
  <c r="T317" i="1" s="1"/>
  <c r="P492" i="1"/>
  <c r="S492" i="1" s="1"/>
  <c r="P4" i="1"/>
  <c r="S4" i="1" s="1"/>
  <c r="Q570" i="1"/>
  <c r="T570" i="1" s="1"/>
  <c r="P621" i="1"/>
  <c r="S621" i="1" s="1"/>
  <c r="P110" i="1"/>
  <c r="S110" i="1" s="1"/>
  <c r="Q111" i="1"/>
  <c r="T111" i="1" s="1"/>
  <c r="Q667" i="1"/>
  <c r="T667" i="1" s="1"/>
  <c r="P764" i="1"/>
  <c r="S764" i="1" s="1"/>
  <c r="Q753" i="1"/>
  <c r="T753" i="1" s="1"/>
  <c r="P623" i="1"/>
  <c r="S623" i="1" s="1"/>
  <c r="P671" i="1"/>
  <c r="S671" i="1" s="1"/>
  <c r="P762" i="1"/>
  <c r="S762" i="1" s="1"/>
  <c r="P433" i="1"/>
  <c r="S433" i="1" s="1"/>
  <c r="Q621" i="1"/>
  <c r="T621" i="1" s="1"/>
  <c r="P88" i="1"/>
  <c r="S88" i="1" s="1"/>
  <c r="P667" i="1"/>
  <c r="S667" i="1" s="1"/>
  <c r="Q606" i="1"/>
  <c r="T606" i="1" s="1"/>
  <c r="P159" i="1"/>
  <c r="S159" i="1" s="1"/>
  <c r="P670" i="1"/>
  <c r="S670" i="1" s="1"/>
  <c r="R197" i="1"/>
  <c r="U197" i="1" s="1"/>
  <c r="Q542" i="1"/>
  <c r="T542" i="1" s="1"/>
  <c r="Q671" i="1"/>
  <c r="T671" i="1" s="1"/>
  <c r="Q728" i="1"/>
  <c r="T728" i="1" s="1"/>
  <c r="Q603" i="1"/>
  <c r="T603" i="1" s="1"/>
  <c r="P775" i="1"/>
  <c r="S775" i="1" s="1"/>
  <c r="P774" i="1"/>
  <c r="S774" i="1" s="1"/>
  <c r="V501" i="1"/>
  <c r="V200" i="1"/>
  <c r="P323" i="1"/>
  <c r="S323" i="1" s="1"/>
  <c r="P353" i="1"/>
  <c r="S353" i="1" s="1"/>
  <c r="P111" i="1"/>
  <c r="S111" i="1" s="1"/>
  <c r="P468" i="1"/>
  <c r="S468" i="1" s="1"/>
  <c r="V777" i="1"/>
  <c r="Q185" i="1"/>
  <c r="T185" i="1" s="1"/>
  <c r="P148" i="1"/>
  <c r="S148" i="1" s="1"/>
  <c r="P109" i="1"/>
  <c r="S109" i="1" s="1"/>
  <c r="P352" i="1"/>
  <c r="S352" i="1" s="1"/>
  <c r="Q285" i="1"/>
  <c r="T285" i="1" s="1"/>
  <c r="Q576" i="1"/>
  <c r="T576" i="1" s="1"/>
  <c r="Q752" i="1"/>
  <c r="T752" i="1" s="1"/>
  <c r="Q549" i="1"/>
  <c r="T549" i="1" s="1"/>
  <c r="P108" i="1"/>
  <c r="S108" i="1" s="1"/>
  <c r="Q433" i="1"/>
  <c r="T433" i="1" s="1"/>
  <c r="V589" i="1"/>
  <c r="Q352" i="1"/>
  <c r="T352" i="1" s="1"/>
  <c r="Q647" i="1"/>
  <c r="T647" i="1" s="1"/>
  <c r="Q89" i="1"/>
  <c r="T89" i="1" s="1"/>
  <c r="Q109" i="1"/>
  <c r="T109" i="1" s="1"/>
  <c r="Q4" i="1"/>
  <c r="T4" i="1" s="1"/>
  <c r="Q108" i="1"/>
  <c r="T108" i="1" s="1"/>
  <c r="Q623" i="1"/>
  <c r="T623" i="1" s="1"/>
  <c r="Q353" i="1"/>
  <c r="T353" i="1" s="1"/>
  <c r="R321" i="1"/>
  <c r="R322" i="1"/>
  <c r="R295" i="1"/>
  <c r="R554" i="1"/>
  <c r="R727" i="1"/>
  <c r="R726" i="1"/>
  <c r="R681" i="1"/>
  <c r="R509" i="1"/>
  <c r="V509" i="1" s="1"/>
  <c r="R620" i="1"/>
  <c r="R653" i="1"/>
  <c r="R3" i="1"/>
  <c r="R773" i="1"/>
  <c r="R497" i="1"/>
  <c r="Q461" i="1"/>
  <c r="T461" i="1" s="1"/>
  <c r="P461" i="1"/>
  <c r="R24" i="1"/>
  <c r="V24" i="1" s="1"/>
  <c r="Q252" i="1"/>
  <c r="T252" i="1" s="1"/>
  <c r="P252" i="1"/>
  <c r="S252" i="1" s="1"/>
  <c r="Q21" i="1"/>
  <c r="T21" i="1" s="1"/>
  <c r="Q730" i="1"/>
  <c r="T730" i="1" s="1"/>
  <c r="P21" i="1"/>
  <c r="P730" i="1"/>
  <c r="R748" i="1"/>
  <c r="R323" i="1"/>
  <c r="U323" i="1" s="1"/>
  <c r="R148" i="1"/>
  <c r="Q449" i="1"/>
  <c r="T449" i="1" s="1"/>
  <c r="P759" i="1"/>
  <c r="S759" i="1" s="1"/>
  <c r="Q759" i="1"/>
  <c r="T759" i="1" s="1"/>
  <c r="Q556" i="1"/>
  <c r="T556" i="1" s="1"/>
  <c r="Q155" i="1"/>
  <c r="T155" i="1" s="1"/>
  <c r="P556" i="1"/>
  <c r="Q608" i="1"/>
  <c r="T608" i="1" s="1"/>
  <c r="P210" i="1"/>
  <c r="P25" i="1"/>
  <c r="P449" i="1"/>
  <c r="S449" i="1" s="1"/>
  <c r="P608" i="1"/>
  <c r="Q796" i="1"/>
  <c r="T796" i="1" s="1"/>
  <c r="P796" i="1"/>
  <c r="Q210" i="1"/>
  <c r="T210" i="1" s="1"/>
  <c r="Q25" i="1"/>
  <c r="T25" i="1" s="1"/>
  <c r="P155" i="1"/>
  <c r="S155" i="1" s="1"/>
  <c r="P543" i="1"/>
  <c r="S543" i="1" s="1"/>
  <c r="Q543" i="1"/>
  <c r="T543" i="1" s="1"/>
  <c r="R659" i="1"/>
  <c r="U659" i="1" s="1"/>
  <c r="R43" i="1"/>
  <c r="U43" i="1" s="1"/>
  <c r="R182" i="1"/>
  <c r="V182" i="1" s="1"/>
  <c r="R733" i="1"/>
  <c r="V733" i="1" s="1"/>
  <c r="R483" i="1"/>
  <c r="U483" i="1" s="1"/>
  <c r="R81" i="1"/>
  <c r="V81" i="1" s="1"/>
  <c r="R480" i="1"/>
  <c r="U480" i="1" s="1"/>
  <c r="Q148" i="1"/>
  <c r="T148" i="1" s="1"/>
  <c r="R753" i="1"/>
  <c r="R159" i="1"/>
  <c r="R764" i="1"/>
  <c r="R433" i="1"/>
  <c r="P600" i="1"/>
  <c r="Q600" i="1"/>
  <c r="T600" i="1" s="1"/>
  <c r="P294" i="1"/>
  <c r="Q500" i="1"/>
  <c r="T500" i="1" s="1"/>
  <c r="P500" i="1"/>
  <c r="Q294" i="1"/>
  <c r="T294" i="1" s="1"/>
  <c r="Q708" i="1"/>
  <c r="T708" i="1" s="1"/>
  <c r="P708" i="1"/>
  <c r="P506" i="1"/>
  <c r="Q506" i="1"/>
  <c r="T506" i="1" s="1"/>
  <c r="Q582" i="1"/>
  <c r="T582" i="1" s="1"/>
  <c r="P582" i="1"/>
  <c r="R555" i="1"/>
  <c r="U555" i="1" s="1"/>
  <c r="P483" i="1"/>
  <c r="Q483" i="1"/>
  <c r="T483" i="1" s="1"/>
  <c r="Q659" i="1"/>
  <c r="T659" i="1" s="1"/>
  <c r="P659" i="1"/>
  <c r="S659" i="1" s="1"/>
  <c r="R601" i="1"/>
  <c r="V601" i="1" s="1"/>
  <c r="R709" i="1"/>
  <c r="U709" i="1" s="1"/>
  <c r="R671" i="1"/>
  <c r="V671" i="1" s="1"/>
  <c r="R670" i="1"/>
  <c r="R88" i="1"/>
  <c r="R647" i="1"/>
  <c r="R728" i="1"/>
  <c r="U728" i="1" s="1"/>
  <c r="Q547" i="1"/>
  <c r="T547" i="1" s="1"/>
  <c r="P547" i="1"/>
  <c r="S547" i="1" s="1"/>
  <c r="R520" i="1"/>
  <c r="U520" i="1" s="1"/>
  <c r="R543" i="1"/>
  <c r="U543" i="1" s="1"/>
  <c r="R447" i="1"/>
  <c r="U447" i="1" s="1"/>
  <c r="R350" i="1"/>
  <c r="U350" i="1" s="1"/>
  <c r="R164" i="1"/>
  <c r="V164" i="1" s="1"/>
  <c r="R35" i="1"/>
  <c r="U35" i="1" s="1"/>
  <c r="Q492" i="1"/>
  <c r="T492" i="1" s="1"/>
  <c r="Q498" i="1"/>
  <c r="T498" i="1" s="1"/>
  <c r="Q668" i="1"/>
  <c r="T668" i="1" s="1"/>
  <c r="Q24" i="1"/>
  <c r="T24" i="1" s="1"/>
  <c r="R499" i="1"/>
  <c r="U499" i="1" s="1"/>
  <c r="R707" i="1"/>
  <c r="U707" i="1" s="1"/>
  <c r="R291" i="1"/>
  <c r="V291" i="1" s="1"/>
  <c r="R23" i="1"/>
  <c r="V23" i="1" s="1"/>
  <c r="R460" i="1"/>
  <c r="V460" i="1" s="1"/>
  <c r="R250" i="1"/>
  <c r="U250" i="1" s="1"/>
  <c r="R581" i="1"/>
  <c r="U581" i="1" s="1"/>
  <c r="R687" i="1"/>
  <c r="U687" i="1" s="1"/>
  <c r="P808" i="1"/>
  <c r="Q807" i="1"/>
  <c r="T807" i="1" s="1"/>
  <c r="Q808" i="1"/>
  <c r="T808" i="1" s="1"/>
  <c r="P807" i="1"/>
  <c r="P447" i="1"/>
  <c r="P350" i="1"/>
  <c r="Q35" i="1"/>
  <c r="T35" i="1" s="1"/>
  <c r="Q164" i="1"/>
  <c r="T164" i="1" s="1"/>
  <c r="P35" i="1"/>
  <c r="P164" i="1"/>
  <c r="Q447" i="1"/>
  <c r="T447" i="1" s="1"/>
  <c r="Q350" i="1"/>
  <c r="T350" i="1" s="1"/>
  <c r="P480" i="1"/>
  <c r="Q480" i="1"/>
  <c r="T480" i="1" s="1"/>
  <c r="P81" i="1"/>
  <c r="Q81" i="1"/>
  <c r="T81" i="1" s="1"/>
  <c r="R185" i="1"/>
  <c r="U185" i="1" s="1"/>
  <c r="P182" i="1"/>
  <c r="Q43" i="1"/>
  <c r="T43" i="1" s="1"/>
  <c r="P43" i="1"/>
  <c r="S43" i="1" s="1"/>
  <c r="Q182" i="1"/>
  <c r="T182" i="1" s="1"/>
  <c r="Q589" i="1"/>
  <c r="T589" i="1" s="1"/>
  <c r="P589" i="1"/>
  <c r="S589" i="1" s="1"/>
  <c r="Q735" i="1"/>
  <c r="T735" i="1" s="1"/>
  <c r="P735" i="1"/>
  <c r="S735" i="1" s="1"/>
  <c r="Q734" i="1"/>
  <c r="T734" i="1" s="1"/>
  <c r="P734" i="1"/>
  <c r="Q105" i="1"/>
  <c r="T105" i="1" s="1"/>
  <c r="P105" i="1"/>
  <c r="S105" i="1" s="1"/>
  <c r="R317" i="1"/>
  <c r="U317" i="1" s="1"/>
  <c r="R570" i="1"/>
  <c r="V570" i="1" s="1"/>
  <c r="R290" i="1"/>
  <c r="U290" i="1" s="1"/>
  <c r="P541" i="1"/>
  <c r="S541" i="1" s="1"/>
  <c r="Q541" i="1"/>
  <c r="T541" i="1" s="1"/>
  <c r="Q411" i="1"/>
  <c r="T411" i="1" s="1"/>
  <c r="P5" i="1"/>
  <c r="P411" i="1"/>
  <c r="Q5" i="1"/>
  <c r="T5" i="1" s="1"/>
  <c r="P78" i="1"/>
  <c r="S78" i="1" s="1"/>
  <c r="Q78" i="1"/>
  <c r="T78" i="1" s="1"/>
  <c r="R411" i="1"/>
  <c r="U411" i="1" s="1"/>
  <c r="R5" i="1"/>
  <c r="U5" i="1" s="1"/>
  <c r="R65" i="1"/>
  <c r="U65" i="1" s="1"/>
  <c r="R546" i="1"/>
  <c r="V546" i="1" s="1"/>
  <c r="R547" i="1"/>
  <c r="U547" i="1" s="1"/>
  <c r="R729" i="1"/>
  <c r="U729" i="1" s="1"/>
  <c r="R580" i="1"/>
  <c r="U580" i="1" s="1"/>
  <c r="R78" i="1"/>
  <c r="U78" i="1" s="1"/>
  <c r="R461" i="1"/>
  <c r="V461" i="1" s="1"/>
  <c r="Q323" i="1"/>
  <c r="T323" i="1" s="1"/>
  <c r="Q748" i="1"/>
  <c r="T748" i="1" s="1"/>
  <c r="Q601" i="1"/>
  <c r="T601" i="1" s="1"/>
  <c r="Q290" i="1"/>
  <c r="T290" i="1" s="1"/>
  <c r="Q88" i="1"/>
  <c r="T88" i="1" s="1"/>
  <c r="Q709" i="1"/>
  <c r="T709" i="1" s="1"/>
  <c r="V73" i="1"/>
  <c r="Q110" i="1"/>
  <c r="T110" i="1" s="1"/>
  <c r="Q555" i="1"/>
  <c r="T555" i="1" s="1"/>
  <c r="Q159" i="1"/>
  <c r="T159" i="1" s="1"/>
  <c r="R600" i="1"/>
  <c r="V600" i="1" s="1"/>
  <c r="R500" i="1"/>
  <c r="R294" i="1"/>
  <c r="R708" i="1"/>
  <c r="U708" i="1" s="1"/>
  <c r="R506" i="1"/>
  <c r="V506" i="1" s="1"/>
  <c r="R582" i="1"/>
  <c r="U582" i="1" s="1"/>
  <c r="P725" i="1"/>
  <c r="Q724" i="1"/>
  <c r="T724" i="1" s="1"/>
  <c r="Q725" i="1"/>
  <c r="T725" i="1" s="1"/>
  <c r="P724" i="1"/>
  <c r="Q723" i="1"/>
  <c r="T723" i="1" s="1"/>
  <c r="P723" i="1"/>
  <c r="R603" i="1"/>
  <c r="U603" i="1" s="1"/>
  <c r="Q67" i="1"/>
  <c r="T67" i="1" s="1"/>
  <c r="P747" i="1"/>
  <c r="Q414" i="1"/>
  <c r="T414" i="1" s="1"/>
  <c r="Q747" i="1"/>
  <c r="T747" i="1" s="1"/>
  <c r="P67" i="1"/>
  <c r="P209" i="1"/>
  <c r="P147" i="1"/>
  <c r="P414" i="1"/>
  <c r="S414" i="1" s="1"/>
  <c r="Q209" i="1"/>
  <c r="T209" i="1" s="1"/>
  <c r="Q320" i="1"/>
  <c r="T320" i="1" s="1"/>
  <c r="Q147" i="1"/>
  <c r="T147" i="1" s="1"/>
  <c r="P320" i="1"/>
  <c r="P733" i="1"/>
  <c r="S733" i="1" s="1"/>
  <c r="Q733" i="1"/>
  <c r="T733" i="1" s="1"/>
  <c r="Q688" i="1"/>
  <c r="T688" i="1" s="1"/>
  <c r="P688" i="1"/>
  <c r="S688" i="1" s="1"/>
  <c r="Q200" i="1"/>
  <c r="T200" i="1" s="1"/>
  <c r="P200" i="1"/>
  <c r="R198" i="1"/>
  <c r="V198" i="1" s="1"/>
  <c r="Q65" i="1"/>
  <c r="T65" i="1" s="1"/>
  <c r="P65" i="1"/>
  <c r="S65" i="1" s="1"/>
  <c r="Q546" i="1"/>
  <c r="T546" i="1" s="1"/>
  <c r="P546" i="1"/>
  <c r="R747" i="1"/>
  <c r="V747" i="1" s="1"/>
  <c r="R67" i="1"/>
  <c r="U67" i="1" s="1"/>
  <c r="R414" i="1"/>
  <c r="V414" i="1" s="1"/>
  <c r="R320" i="1"/>
  <c r="U320" i="1" s="1"/>
  <c r="R209" i="1"/>
  <c r="V209" i="1" s="1"/>
  <c r="R147" i="1"/>
  <c r="R125" i="1"/>
  <c r="V125" i="1" s="1"/>
  <c r="R409" i="1"/>
  <c r="V409" i="1" s="1"/>
  <c r="P322" i="1"/>
  <c r="Q321" i="1"/>
  <c r="T321" i="1" s="1"/>
  <c r="P321" i="1"/>
  <c r="Q322" i="1"/>
  <c r="T322" i="1" s="1"/>
  <c r="Q295" i="1"/>
  <c r="T295" i="1" s="1"/>
  <c r="P554" i="1"/>
  <c r="P295" i="1"/>
  <c r="Q554" i="1"/>
  <c r="T554" i="1" s="1"/>
  <c r="P727" i="1"/>
  <c r="Q681" i="1"/>
  <c r="T681" i="1" s="1"/>
  <c r="P681" i="1"/>
  <c r="P726" i="1"/>
  <c r="Q727" i="1"/>
  <c r="T727" i="1" s="1"/>
  <c r="Q726" i="1"/>
  <c r="T726" i="1" s="1"/>
  <c r="P509" i="1"/>
  <c r="Q509" i="1"/>
  <c r="T509" i="1" s="1"/>
  <c r="P620" i="1"/>
  <c r="P497" i="1"/>
  <c r="Q653" i="1"/>
  <c r="T653" i="1" s="1"/>
  <c r="Q3" i="1"/>
  <c r="T3" i="1" s="1"/>
  <c r="Q773" i="1"/>
  <c r="T773" i="1" s="1"/>
  <c r="Q620" i="1"/>
  <c r="T620" i="1" s="1"/>
  <c r="Q497" i="1"/>
  <c r="T497" i="1" s="1"/>
  <c r="P653" i="1"/>
  <c r="P773" i="1"/>
  <c r="P3" i="1"/>
  <c r="R668" i="1"/>
  <c r="R667" i="1"/>
  <c r="Q736" i="1"/>
  <c r="T736" i="1" s="1"/>
  <c r="P736" i="1"/>
  <c r="Q501" i="1"/>
  <c r="T501" i="1" s="1"/>
  <c r="P501" i="1"/>
  <c r="R492" i="1"/>
  <c r="U492" i="1" s="1"/>
  <c r="R775" i="1"/>
  <c r="R774" i="1"/>
  <c r="U774" i="1" s="1"/>
  <c r="R4" i="1"/>
  <c r="R621" i="1"/>
  <c r="U621" i="1" s="1"/>
  <c r="R498" i="1"/>
  <c r="U498" i="1" s="1"/>
  <c r="P197" i="1"/>
  <c r="S197" i="1" s="1"/>
  <c r="Q579" i="1"/>
  <c r="T579" i="1" s="1"/>
  <c r="P579" i="1"/>
  <c r="Q197" i="1"/>
  <c r="T197" i="1" s="1"/>
  <c r="R807" i="1"/>
  <c r="U807" i="1" s="1"/>
  <c r="R808" i="1"/>
  <c r="V808" i="1" s="1"/>
  <c r="P729" i="1"/>
  <c r="S729" i="1" s="1"/>
  <c r="Q729" i="1"/>
  <c r="T729" i="1" s="1"/>
  <c r="R541" i="1"/>
  <c r="V541" i="1" s="1"/>
  <c r="R575" i="1"/>
  <c r="U575" i="1" s="1"/>
  <c r="R759" i="1"/>
  <c r="U759" i="1" s="1"/>
  <c r="R449" i="1"/>
  <c r="V449" i="1" s="1"/>
  <c r="R556" i="1"/>
  <c r="V556" i="1" s="1"/>
  <c r="R796" i="1"/>
  <c r="U796" i="1" s="1"/>
  <c r="R25" i="1"/>
  <c r="V25" i="1" s="1"/>
  <c r="R210" i="1"/>
  <c r="U210" i="1" s="1"/>
  <c r="R608" i="1"/>
  <c r="U608" i="1" s="1"/>
  <c r="R155" i="1"/>
  <c r="U155" i="1" s="1"/>
  <c r="R736" i="1"/>
  <c r="V736" i="1" s="1"/>
  <c r="R576" i="1"/>
  <c r="V576" i="1" s="1"/>
  <c r="R467" i="1"/>
  <c r="U467" i="1" s="1"/>
  <c r="R469" i="1"/>
  <c r="R551" i="1"/>
  <c r="R111" i="1"/>
  <c r="R353" i="1"/>
  <c r="R352" i="1"/>
  <c r="R623" i="1"/>
  <c r="R110" i="1"/>
  <c r="R108" i="1"/>
  <c r="R89" i="1"/>
  <c r="R109" i="1"/>
  <c r="P499" i="1"/>
  <c r="Q499" i="1"/>
  <c r="T499" i="1" s="1"/>
  <c r="Q467" i="1"/>
  <c r="T467" i="1" s="1"/>
  <c r="P467" i="1"/>
  <c r="P707" i="1"/>
  <c r="Q707" i="1"/>
  <c r="T707" i="1" s="1"/>
  <c r="Q551" i="1"/>
  <c r="T551" i="1" s="1"/>
  <c r="P551" i="1"/>
  <c r="Q469" i="1"/>
  <c r="T469" i="1" s="1"/>
  <c r="P469" i="1"/>
  <c r="Q291" i="1"/>
  <c r="T291" i="1" s="1"/>
  <c r="P291" i="1"/>
  <c r="Q23" i="1"/>
  <c r="T23" i="1" s="1"/>
  <c r="P23" i="1"/>
  <c r="P460" i="1"/>
  <c r="Q460" i="1"/>
  <c r="T460" i="1" s="1"/>
  <c r="Q250" i="1"/>
  <c r="T250" i="1" s="1"/>
  <c r="P250" i="1"/>
  <c r="Q581" i="1"/>
  <c r="T581" i="1" s="1"/>
  <c r="P581" i="1"/>
  <c r="Q687" i="1"/>
  <c r="T687" i="1" s="1"/>
  <c r="P687" i="1"/>
  <c r="R542" i="1"/>
  <c r="U542" i="1" s="1"/>
  <c r="R752" i="1"/>
  <c r="V752" i="1" s="1"/>
  <c r="R762" i="1"/>
  <c r="R549" i="1"/>
  <c r="R468" i="1"/>
  <c r="Q230" i="1"/>
  <c r="T230" i="1" s="1"/>
  <c r="P230" i="1"/>
  <c r="P125" i="1"/>
  <c r="S125" i="1" s="1"/>
  <c r="Q125" i="1"/>
  <c r="T125" i="1" s="1"/>
  <c r="P73" i="1"/>
  <c r="S73" i="1" s="1"/>
  <c r="Q73" i="1"/>
  <c r="T73" i="1" s="1"/>
  <c r="R606" i="1"/>
  <c r="U606" i="1" s="1"/>
  <c r="R583" i="1"/>
  <c r="V583" i="1" s="1"/>
  <c r="R767" i="1"/>
  <c r="U767" i="1" s="1"/>
  <c r="R285" i="1"/>
  <c r="U285" i="1" s="1"/>
  <c r="P777" i="1"/>
  <c r="S777" i="1" s="1"/>
  <c r="Q777" i="1"/>
  <c r="T777" i="1" s="1"/>
  <c r="Q575" i="1"/>
  <c r="T575" i="1" s="1"/>
  <c r="P575" i="1"/>
  <c r="S575" i="1" s="1"/>
  <c r="P580" i="1"/>
  <c r="S580" i="1" s="1"/>
  <c r="Q580" i="1"/>
  <c r="T580" i="1" s="1"/>
  <c r="Q520" i="1"/>
  <c r="T520" i="1" s="1"/>
  <c r="P520" i="1"/>
  <c r="S520" i="1" s="1"/>
  <c r="R252" i="1"/>
  <c r="U252" i="1" s="1"/>
  <c r="R735" i="1"/>
  <c r="U735" i="1" s="1"/>
  <c r="R734" i="1"/>
  <c r="U734" i="1" s="1"/>
  <c r="R688" i="1"/>
  <c r="V688" i="1" s="1"/>
  <c r="R105" i="1"/>
  <c r="U105" i="1" s="1"/>
  <c r="R730" i="1"/>
  <c r="V730" i="1" s="1"/>
  <c r="R21" i="1"/>
  <c r="U21" i="1" s="1"/>
  <c r="R725" i="1"/>
  <c r="V725" i="1" s="1"/>
  <c r="R723" i="1"/>
  <c r="U723" i="1" s="1"/>
  <c r="R724" i="1"/>
  <c r="U724" i="1" s="1"/>
  <c r="R230" i="1"/>
  <c r="U230" i="1" s="1"/>
  <c r="Q767" i="1"/>
  <c r="T767" i="1" s="1"/>
  <c r="Q670" i="1"/>
  <c r="T670" i="1" s="1"/>
  <c r="Q198" i="1"/>
  <c r="T198" i="1" s="1"/>
  <c r="Q583" i="1"/>
  <c r="Q774" i="1"/>
  <c r="T774" i="1" s="1"/>
  <c r="Q775" i="1"/>
  <c r="T775" i="1" s="1"/>
  <c r="Q409" i="1"/>
  <c r="T409" i="1" s="1"/>
  <c r="Q764" i="1"/>
  <c r="T764" i="1" s="1"/>
  <c r="Q468" i="1"/>
  <c r="T468" i="1" s="1"/>
  <c r="Q762" i="1"/>
  <c r="T762" i="1" s="1"/>
  <c r="S767" i="1"/>
  <c r="S647" i="1"/>
  <c r="S555" i="1"/>
  <c r="S709" i="1"/>
  <c r="S576" i="1"/>
  <c r="S498" i="1"/>
  <c r="S748" i="1"/>
  <c r="S198" i="1"/>
  <c r="S752" i="1"/>
  <c r="S549" i="1"/>
  <c r="S606" i="1"/>
  <c r="S290" i="1"/>
  <c r="S89" i="1"/>
  <c r="S542" i="1"/>
  <c r="S668" i="1"/>
  <c r="S317" i="1"/>
  <c r="S570" i="1"/>
  <c r="S601" i="1"/>
  <c r="S728" i="1"/>
  <c r="S409" i="1"/>
  <c r="S603" i="1"/>
  <c r="S753" i="1"/>
  <c r="S185" i="1"/>
  <c r="S24" i="1"/>
  <c r="S285" i="1"/>
  <c r="V579" i="1"/>
  <c r="V197" i="1" l="1"/>
  <c r="V582" i="1"/>
  <c r="V21" i="1"/>
  <c r="U24" i="1"/>
  <c r="V467" i="1"/>
  <c r="V543" i="1"/>
  <c r="V43" i="1"/>
  <c r="V708" i="1"/>
  <c r="V520" i="1"/>
  <c r="U198" i="1"/>
  <c r="V581" i="1"/>
  <c r="V728" i="1"/>
  <c r="V65" i="1"/>
  <c r="U291" i="1"/>
  <c r="U81" i="1"/>
  <c r="V350" i="1"/>
  <c r="U449" i="1"/>
  <c r="V230" i="1"/>
  <c r="V547" i="1"/>
  <c r="U570" i="1"/>
  <c r="V734" i="1"/>
  <c r="V767" i="1"/>
  <c r="U752" i="1"/>
  <c r="V317" i="1"/>
  <c r="V603" i="1"/>
  <c r="U409" i="1"/>
  <c r="V729" i="1"/>
  <c r="U583" i="1"/>
  <c r="U733" i="1"/>
  <c r="V774" i="1"/>
  <c r="V707" i="1"/>
  <c r="V285" i="1"/>
  <c r="V555" i="1"/>
  <c r="V105" i="1"/>
  <c r="V78" i="1"/>
  <c r="U725" i="1"/>
  <c r="V499" i="1"/>
  <c r="U688" i="1"/>
  <c r="U730" i="1"/>
  <c r="V709" i="1"/>
  <c r="U736" i="1"/>
  <c r="V575" i="1"/>
  <c r="V252" i="1"/>
  <c r="V67" i="1"/>
  <c r="U600" i="1"/>
  <c r="U461" i="1"/>
  <c r="V185" i="1"/>
  <c r="V580" i="1"/>
  <c r="U576" i="1"/>
  <c r="U460" i="1"/>
  <c r="V723" i="1"/>
  <c r="V606" i="1"/>
  <c r="V724" i="1"/>
  <c r="V290" i="1"/>
  <c r="V542" i="1"/>
  <c r="U541" i="1"/>
  <c r="U671" i="1"/>
  <c r="U601" i="1"/>
  <c r="V5" i="1"/>
  <c r="U209" i="1"/>
  <c r="U808" i="1"/>
  <c r="U125" i="1"/>
  <c r="U506" i="1"/>
  <c r="V483" i="1"/>
  <c r="V735" i="1"/>
  <c r="V687" i="1"/>
  <c r="V250" i="1"/>
  <c r="U23" i="1"/>
  <c r="V659" i="1"/>
  <c r="U509" i="1"/>
  <c r="V480" i="1"/>
  <c r="U556" i="1"/>
  <c r="S3" i="1"/>
  <c r="S551" i="1"/>
  <c r="S460" i="1"/>
  <c r="S579" i="1"/>
  <c r="S5" i="1"/>
  <c r="S210" i="1"/>
  <c r="S25" i="1"/>
  <c r="S164" i="1"/>
  <c r="S295" i="1"/>
  <c r="S230" i="1"/>
  <c r="V155" i="1"/>
  <c r="S411" i="1"/>
  <c r="S21" i="1"/>
  <c r="S320" i="1"/>
  <c r="S734" i="1"/>
  <c r="S447" i="1"/>
  <c r="S35" i="1"/>
  <c r="S653" i="1"/>
  <c r="S773" i="1"/>
  <c r="S620" i="1"/>
  <c r="S727" i="1"/>
  <c r="S808" i="1"/>
  <c r="S469" i="1"/>
  <c r="U414" i="1"/>
  <c r="S480" i="1"/>
  <c r="S250" i="1"/>
  <c r="S707" i="1"/>
  <c r="S182" i="1"/>
  <c r="S747" i="1"/>
  <c r="S608" i="1"/>
  <c r="S556" i="1"/>
  <c r="S147" i="1"/>
  <c r="S723" i="1"/>
  <c r="S582" i="1"/>
  <c r="S500" i="1"/>
  <c r="S554" i="1"/>
  <c r="S461" i="1"/>
  <c r="S581" i="1"/>
  <c r="S291" i="1"/>
  <c r="S467" i="1"/>
  <c r="S67" i="1"/>
  <c r="S483" i="1"/>
  <c r="S506" i="1"/>
  <c r="S681" i="1"/>
  <c r="S294" i="1"/>
  <c r="S322" i="1"/>
  <c r="S807" i="1"/>
  <c r="S81" i="1"/>
  <c r="S796" i="1"/>
  <c r="S200" i="1"/>
  <c r="S546" i="1"/>
  <c r="S350" i="1"/>
  <c r="S725" i="1"/>
  <c r="S724" i="1"/>
  <c r="S736" i="1"/>
  <c r="S497" i="1"/>
  <c r="S509" i="1"/>
  <c r="S708" i="1"/>
  <c r="S726" i="1"/>
  <c r="S600" i="1"/>
  <c r="S321" i="1"/>
  <c r="S499" i="1"/>
  <c r="S687" i="1"/>
  <c r="S23" i="1"/>
  <c r="S730" i="1"/>
  <c r="T583" i="1"/>
  <c r="S501" i="1"/>
  <c r="S209" i="1"/>
  <c r="U747" i="1"/>
  <c r="V210" i="1"/>
  <c r="V411" i="1"/>
  <c r="V759" i="1"/>
  <c r="U182" i="1"/>
  <c r="U546" i="1"/>
  <c r="U164" i="1"/>
  <c r="V608" i="1"/>
  <c r="V447" i="1"/>
  <c r="V796" i="1"/>
  <c r="V807" i="1"/>
  <c r="V35" i="1"/>
  <c r="U25" i="1"/>
  <c r="V320" i="1"/>
  <c r="U147" i="1"/>
  <c r="V147" i="1"/>
  <c r="V323" i="1"/>
  <c r="V492" i="1"/>
  <c r="V498" i="1"/>
  <c r="U670" i="1"/>
  <c r="V670" i="1"/>
  <c r="V621" i="1"/>
  <c r="V775" i="1"/>
  <c r="U775" i="1"/>
  <c r="V748" i="1"/>
  <c r="U748" i="1"/>
  <c r="V4" i="1"/>
  <c r="U4" i="1"/>
  <c r="V148" i="1"/>
  <c r="U148" i="1"/>
  <c r="V88" i="1"/>
  <c r="U88" i="1"/>
  <c r="V647" i="1"/>
  <c r="U647" i="1"/>
  <c r="U623" i="1"/>
  <c r="V623" i="1"/>
  <c r="U109" i="1"/>
  <c r="V109" i="1"/>
  <c r="V764" i="1"/>
  <c r="U764" i="1"/>
  <c r="U620" i="1"/>
  <c r="V620" i="1"/>
  <c r="V668" i="1"/>
  <c r="U668" i="1"/>
  <c r="U551" i="1"/>
  <c r="V551" i="1"/>
  <c r="U468" i="1"/>
  <c r="V468" i="1"/>
  <c r="V753" i="1"/>
  <c r="U753" i="1"/>
  <c r="V653" i="1"/>
  <c r="U653" i="1"/>
  <c r="U667" i="1"/>
  <c r="V667" i="1"/>
  <c r="V469" i="1"/>
  <c r="U469" i="1"/>
  <c r="V111" i="1"/>
  <c r="U111" i="1"/>
  <c r="U108" i="1"/>
  <c r="V108" i="1"/>
  <c r="U322" i="1"/>
  <c r="V322" i="1"/>
  <c r="V159" i="1"/>
  <c r="U159" i="1"/>
  <c r="V3" i="1"/>
  <c r="U3" i="1"/>
  <c r="U726" i="1"/>
  <c r="V726" i="1"/>
  <c r="U294" i="1"/>
  <c r="V294" i="1"/>
  <c r="U549" i="1"/>
  <c r="V549" i="1"/>
  <c r="V681" i="1"/>
  <c r="U681" i="1"/>
  <c r="V554" i="1"/>
  <c r="U554" i="1"/>
  <c r="V352" i="1"/>
  <c r="U352" i="1"/>
  <c r="U110" i="1"/>
  <c r="V110" i="1"/>
  <c r="U497" i="1"/>
  <c r="V497" i="1"/>
  <c r="U500" i="1"/>
  <c r="V500" i="1"/>
  <c r="V353" i="1"/>
  <c r="U353" i="1"/>
  <c r="V89" i="1"/>
  <c r="U89" i="1"/>
  <c r="U762" i="1"/>
  <c r="V762" i="1"/>
  <c r="V321" i="1"/>
  <c r="U321" i="1"/>
  <c r="U433" i="1"/>
  <c r="V433" i="1"/>
  <c r="U773" i="1"/>
  <c r="V773" i="1"/>
  <c r="U727" i="1"/>
  <c r="V727" i="1"/>
  <c r="U295" i="1"/>
  <c r="V295" i="1"/>
  <c r="W619" i="1" l="1"/>
  <c r="W82" i="1"/>
  <c r="W727" i="1"/>
  <c r="W728" i="1"/>
  <c r="W686" i="1"/>
  <c r="W283" i="1"/>
  <c r="W185" i="1"/>
  <c r="W623" i="1"/>
  <c r="W209" i="1"/>
  <c r="W775" i="1"/>
  <c r="W449" i="1"/>
  <c r="W197" i="1" l="1"/>
  <c r="W748" i="1"/>
  <c r="W3" i="1"/>
  <c r="W285" i="1"/>
  <c r="W147" i="1"/>
  <c r="W681" i="1"/>
  <c r="W796" i="1"/>
  <c r="W148" i="1"/>
  <c r="W4" i="1"/>
  <c r="W580" i="1"/>
  <c r="W764" i="1"/>
  <c r="W73" i="1"/>
  <c r="W740" i="1"/>
  <c r="W774" i="1"/>
  <c r="W579" i="1"/>
  <c r="W773" i="1"/>
  <c r="W723" i="1"/>
  <c r="W707" i="1"/>
  <c r="W466" i="1"/>
  <c r="W254" i="1"/>
  <c r="W733" i="1"/>
  <c r="W498" i="1"/>
  <c r="W747" i="1"/>
  <c r="W447" i="1"/>
  <c r="W199" i="1"/>
  <c r="W206" i="1"/>
  <c r="W671" i="1"/>
  <c r="W647" i="1"/>
  <c r="W608" i="1"/>
  <c r="W734" i="1"/>
  <c r="W210" i="1"/>
  <c r="W461" i="1"/>
  <c r="W520" i="1"/>
  <c r="W460" i="1"/>
  <c r="W469" i="1"/>
  <c r="W295" i="1"/>
  <c r="W549" i="1"/>
  <c r="W726" i="1"/>
  <c r="W576" i="1"/>
  <c r="W603" i="1"/>
  <c r="W670" i="1"/>
  <c r="W589" i="1"/>
  <c r="W767" i="1"/>
  <c r="W105" i="1"/>
  <c r="W659" i="1"/>
  <c r="W708" i="1"/>
  <c r="W752" i="1"/>
  <c r="W164" i="1"/>
  <c r="W88" i="1"/>
  <c r="W729" i="1"/>
  <c r="W500" i="1"/>
  <c r="W468" i="1"/>
  <c r="W35" i="1"/>
  <c r="W555" i="1"/>
  <c r="W182" i="1"/>
  <c r="W200" i="1"/>
  <c r="W606" i="1"/>
  <c r="W547" i="1"/>
  <c r="W291" i="1"/>
  <c r="W483" i="1"/>
  <c r="W688" i="1"/>
  <c r="W554" i="1"/>
  <c r="W433" i="1"/>
  <c r="W350" i="1"/>
  <c r="W725" i="1"/>
  <c r="W43" i="1"/>
  <c r="W777" i="1"/>
  <c r="W709" i="1"/>
  <c r="W294" i="1"/>
  <c r="W762" i="1"/>
  <c r="W89" i="1"/>
  <c r="W551" i="1"/>
  <c r="W575" i="1"/>
  <c r="W23" i="1"/>
  <c r="W735" i="1"/>
  <c r="W290" i="1"/>
  <c r="W6" i="1"/>
  <c r="W252" i="1"/>
  <c r="W409" i="1"/>
  <c r="W321" i="1"/>
  <c r="W480" i="1"/>
  <c r="W65" i="1"/>
  <c r="W687" i="1"/>
  <c r="W581" i="1"/>
  <c r="W159" i="1"/>
  <c r="W111" i="1"/>
  <c r="W81" i="1"/>
  <c r="W543" i="1"/>
  <c r="W414" i="1"/>
  <c r="W509" i="1"/>
  <c r="W556" i="1"/>
  <c r="W583" i="1"/>
  <c r="W198" i="1"/>
  <c r="W668" i="1"/>
  <c r="W78" i="1"/>
  <c r="W506" i="1"/>
  <c r="W667" i="1"/>
  <c r="W353" i="1"/>
  <c r="W570" i="1"/>
  <c r="W125" i="1"/>
  <c r="W250" i="1"/>
  <c r="W230" i="1"/>
  <c r="W352" i="1"/>
  <c r="W253" i="1"/>
  <c r="W25" i="1"/>
  <c r="W322" i="1"/>
  <c r="W724" i="1"/>
  <c r="W323" i="1"/>
  <c r="W249" i="1"/>
  <c r="W7" i="1"/>
  <c r="W541" i="1"/>
  <c r="W542" i="1"/>
  <c r="W317" i="1"/>
  <c r="W601" i="1"/>
  <c r="W546" i="1"/>
  <c r="W109" i="1"/>
  <c r="W600" i="1"/>
  <c r="W108" i="1"/>
  <c r="W467" i="1"/>
  <c r="W110" i="1"/>
  <c r="W499" i="1"/>
  <c r="W501" i="1"/>
  <c r="W808" i="1"/>
  <c r="W621" i="1"/>
  <c r="W653" i="1"/>
  <c r="W5" i="1"/>
  <c r="W807" i="1"/>
  <c r="W620" i="1"/>
  <c r="W411" i="1"/>
  <c r="W165" i="1"/>
  <c r="W672" i="1"/>
  <c r="W800" i="1"/>
  <c r="W613" i="1"/>
  <c r="W348" i="1"/>
  <c r="W798" i="1"/>
  <c r="W106" i="1"/>
  <c r="W70" i="1"/>
  <c r="W32" i="1"/>
  <c r="W31" i="1"/>
  <c r="W587" i="1"/>
  <c r="W750" i="1"/>
  <c r="W638" i="1"/>
  <c r="W801" i="1"/>
  <c r="W299" i="1"/>
  <c r="W471" i="1"/>
  <c r="W699" i="1"/>
  <c r="W34" i="1"/>
  <c r="W300" i="1"/>
  <c r="W655" i="1"/>
  <c r="W656" i="1"/>
  <c r="W127" i="1"/>
  <c r="W33" i="1"/>
  <c r="W140" i="1"/>
  <c r="W107" i="1"/>
  <c r="W349" i="1"/>
  <c r="W802" i="1"/>
  <c r="W139" i="1"/>
  <c r="W535" i="1"/>
  <c r="W404" i="1"/>
  <c r="W20" i="1"/>
  <c r="W680" i="1"/>
  <c r="W743" i="1"/>
  <c r="W354" i="1"/>
  <c r="W231" i="1"/>
  <c r="W232" i="1"/>
  <c r="W434" i="1"/>
  <c r="W539" i="1"/>
  <c r="W397" i="1"/>
  <c r="W531" i="1"/>
  <c r="W674" i="1"/>
  <c r="W16" i="1"/>
  <c r="W673" i="1"/>
  <c r="W186" i="1"/>
  <c r="W270" i="1"/>
  <c r="W458" i="1"/>
  <c r="W188" i="1"/>
  <c r="W94" i="1"/>
  <c r="W274" i="1"/>
  <c r="W233" i="1"/>
  <c r="W190" i="1"/>
  <c r="W308" i="1"/>
  <c r="W574" i="1"/>
  <c r="W191" i="1"/>
  <c r="W192" i="1"/>
  <c r="W631" i="1"/>
  <c r="W310" i="1"/>
  <c r="W237" i="1"/>
  <c r="W363" i="1"/>
  <c r="W311" i="1"/>
  <c r="W478" i="1"/>
  <c r="W640" i="1"/>
  <c r="W517" i="1"/>
  <c r="W152" i="1"/>
  <c r="W755" i="1"/>
  <c r="W739" i="1"/>
  <c r="W564" i="1"/>
  <c r="W516" i="1"/>
  <c r="W189" i="1"/>
  <c r="W90" i="1"/>
  <c r="W639" i="1"/>
  <c r="W792" i="1"/>
  <c r="W361" i="1"/>
  <c r="W236" i="1"/>
  <c r="W276" i="1"/>
  <c r="W565" i="1"/>
  <c r="W700" i="1"/>
  <c r="W238" i="1"/>
  <c r="W18" i="1"/>
  <c r="W277" i="1"/>
  <c r="W365" i="1"/>
  <c r="W366" i="1"/>
  <c r="W597" i="1"/>
  <c r="W193" i="1"/>
  <c r="W605" i="1"/>
  <c r="W10" i="1"/>
  <c r="W754" i="1"/>
  <c r="W789" i="1"/>
  <c r="W558" i="1"/>
  <c r="W112" i="1"/>
  <c r="W791" i="1"/>
  <c r="W309" i="1"/>
  <c r="W275" i="1"/>
  <c r="W278" i="1"/>
  <c r="W76" i="1"/>
  <c r="W314" i="1"/>
  <c r="W677" i="1"/>
  <c r="W113" i="1"/>
  <c r="W239" i="1"/>
  <c r="W566" i="1"/>
  <c r="W768" i="1"/>
  <c r="W114" i="1"/>
  <c r="W269" i="1"/>
  <c r="W396" i="1"/>
  <c r="W187" i="1"/>
  <c r="W356" i="1"/>
  <c r="W658" i="1"/>
  <c r="W675" i="1"/>
  <c r="W781" i="1"/>
  <c r="W511" i="1"/>
  <c r="W596" i="1"/>
  <c r="W519" i="1"/>
  <c r="W194" i="1"/>
  <c r="W241" i="1"/>
  <c r="W115" i="1"/>
  <c r="W142" i="1"/>
  <c r="W143" i="1"/>
  <c r="W508" i="1"/>
  <c r="W367" i="1"/>
  <c r="W805" i="1"/>
  <c r="W534" i="1"/>
  <c r="W569" i="1"/>
  <c r="W129" i="1"/>
  <c r="W644" i="1"/>
  <c r="W280" i="1"/>
  <c r="W296" i="1"/>
  <c r="W439" i="1"/>
  <c r="W779" i="1"/>
  <c r="W398" i="1"/>
  <c r="W362" i="1"/>
  <c r="W559" i="1"/>
  <c r="W518" i="1"/>
  <c r="W240" i="1"/>
  <c r="W437" i="1"/>
  <c r="W242" i="1"/>
  <c r="W244" i="1"/>
  <c r="W678" i="1"/>
  <c r="W245" i="1"/>
  <c r="W279" i="1"/>
  <c r="W128" i="1"/>
  <c r="W161" i="1"/>
  <c r="W19" i="1"/>
  <c r="W49" i="1"/>
  <c r="W375" i="1"/>
  <c r="W195" i="1"/>
  <c r="W355" i="1"/>
  <c r="W503" i="1"/>
  <c r="W293" i="1"/>
  <c r="W208" i="1"/>
  <c r="W491" i="1"/>
  <c r="W614" i="1"/>
  <c r="W371" i="1"/>
  <c r="W116" i="1"/>
  <c r="W51" i="1"/>
  <c r="W744" i="1"/>
  <c r="W573" i="1"/>
  <c r="W312" i="1"/>
  <c r="W389" i="1"/>
  <c r="W567" i="1"/>
  <c r="W369" i="1"/>
  <c r="W141" i="1"/>
  <c r="W246" i="1"/>
  <c r="W247" i="1"/>
  <c r="W77" i="1"/>
  <c r="W117" i="1"/>
  <c r="W373" i="1"/>
  <c r="W624" i="1"/>
  <c r="W248" i="1"/>
  <c r="W376" i="1"/>
  <c r="W618" i="1"/>
  <c r="W788" i="1"/>
  <c r="W799" i="1"/>
  <c r="W234" i="1"/>
  <c r="W313" i="1"/>
  <c r="W48" i="1"/>
  <c r="W679" i="1"/>
  <c r="W144" i="1"/>
  <c r="W50" i="1"/>
  <c r="W315" i="1"/>
  <c r="W273" i="1"/>
  <c r="W235" i="1"/>
  <c r="W676" i="1"/>
  <c r="W533" i="1"/>
  <c r="W568" i="1"/>
  <c r="W372" i="1"/>
  <c r="W374" i="1"/>
  <c r="W364" i="1"/>
  <c r="W370" i="1"/>
  <c r="W793" i="1"/>
  <c r="W598" i="1"/>
  <c r="W243" i="1"/>
  <c r="W385" i="1"/>
  <c r="W368" i="1"/>
  <c r="W160" i="1"/>
  <c r="W37" i="1"/>
  <c r="W154" i="1"/>
  <c r="W765" i="1"/>
  <c r="W641" i="1"/>
  <c r="W438" i="1"/>
  <c r="W84" i="1"/>
  <c r="W119" i="1"/>
  <c r="W689" i="1"/>
  <c r="W642" i="1"/>
  <c r="W166" i="1"/>
  <c r="W615" i="1"/>
  <c r="W8" i="1"/>
  <c r="W607" i="1"/>
  <c r="W316" i="1"/>
  <c r="W450" i="1"/>
  <c r="W715" i="1"/>
  <c r="W635" i="1"/>
  <c r="W718" i="1"/>
  <c r="W716" i="1"/>
  <c r="W717" i="1"/>
  <c r="W482" i="1"/>
  <c r="W806" i="1"/>
  <c r="W424" i="1"/>
  <c r="W183" i="1"/>
  <c r="W496" i="1"/>
  <c r="W633" i="1"/>
  <c r="W691" i="1"/>
  <c r="W692" i="1"/>
  <c r="W693" i="1"/>
  <c r="W803" i="1"/>
  <c r="W694" i="1"/>
  <c r="W476" i="1"/>
  <c r="W69" i="1"/>
  <c r="W425" i="1"/>
  <c r="W426" i="1"/>
  <c r="W646" i="1"/>
  <c r="W804" i="1"/>
  <c r="W347" i="1"/>
  <c r="W697" i="1"/>
  <c r="W634" i="1"/>
  <c r="W346" i="1"/>
  <c r="W228" i="1"/>
  <c r="W229" i="1"/>
  <c r="W698" i="1"/>
  <c r="W484" i="1"/>
  <c r="W651" i="1"/>
  <c r="W648" i="1"/>
  <c r="W632" i="1"/>
  <c r="W227" i="1"/>
  <c r="W696" i="1"/>
  <c r="W45" i="1"/>
  <c r="W666" i="1"/>
  <c r="W120" i="1"/>
  <c r="W695" i="1"/>
  <c r="W477" i="1"/>
  <c r="W46" i="1"/>
  <c r="W637" i="1"/>
  <c r="W126" i="1"/>
  <c r="W544" i="1"/>
  <c r="W428" i="1"/>
  <c r="W610" i="1"/>
  <c r="W306" i="1"/>
  <c r="W44" i="1"/>
  <c r="W184" i="1"/>
  <c r="W307" i="1"/>
  <c r="W427" i="1"/>
  <c r="W749" i="1"/>
  <c r="W783" i="1"/>
  <c r="W91" i="1"/>
  <c r="W778" i="1"/>
  <c r="W324" i="1"/>
  <c r="W256" i="1"/>
  <c r="W168" i="1"/>
  <c r="W392" i="1"/>
  <c r="W557" i="1"/>
  <c r="W390" i="1"/>
  <c r="W737" i="1"/>
  <c r="W560" i="1"/>
  <c r="W454" i="1"/>
  <c r="W257" i="1"/>
  <c r="W326" i="1"/>
  <c r="W260" i="1"/>
  <c r="W171" i="1"/>
  <c r="W512" i="1"/>
  <c r="W538" i="1"/>
  <c r="W738" i="1"/>
  <c r="W455" i="1"/>
  <c r="W325" i="1"/>
  <c r="W12" i="1"/>
  <c r="W657" i="1"/>
  <c r="W99" i="1"/>
  <c r="W261" i="1"/>
  <c r="W149" i="1"/>
  <c r="W329" i="1"/>
  <c r="W662" i="1"/>
  <c r="W331" i="1"/>
  <c r="W262" i="1"/>
  <c r="W625" i="1"/>
  <c r="W787" i="1"/>
  <c r="W263" i="1"/>
  <c r="W264" i="1"/>
  <c r="W302" i="1"/>
  <c r="W391" i="1"/>
  <c r="W661" i="1"/>
  <c r="W258" i="1"/>
  <c r="W502" i="1"/>
  <c r="W785" i="1"/>
  <c r="W174" i="1"/>
  <c r="W212" i="1"/>
  <c r="W175" i="1"/>
  <c r="W335" i="1"/>
  <c r="W292" i="1"/>
  <c r="W510" i="1"/>
  <c r="W451" i="1"/>
  <c r="W626" i="1"/>
  <c r="W578" i="1"/>
  <c r="W265" i="1"/>
  <c r="W663" i="1"/>
  <c r="W412" i="1"/>
  <c r="W167" i="1"/>
  <c r="W86" i="1"/>
  <c r="W215" i="1"/>
  <c r="W334" i="1"/>
  <c r="W176" i="1"/>
  <c r="W474" i="1"/>
  <c r="W513" i="1"/>
  <c r="W177" i="1"/>
  <c r="W489" i="1"/>
  <c r="W132" i="1"/>
  <c r="W172" i="1"/>
  <c r="W456" i="1"/>
  <c r="W572" i="1"/>
  <c r="W330" i="1"/>
  <c r="W627" i="1"/>
  <c r="W332" i="1"/>
  <c r="W13" i="1"/>
  <c r="W26" i="1"/>
  <c r="W594" i="1"/>
  <c r="W337" i="1"/>
  <c r="W9" i="1"/>
  <c r="W386" i="1"/>
  <c r="W207" i="1"/>
  <c r="W628" i="1"/>
  <c r="W561" i="1"/>
  <c r="W178" i="1"/>
  <c r="W488" i="1"/>
  <c r="W255" i="1"/>
  <c r="W100" i="1"/>
  <c r="W562" i="1"/>
  <c r="W526" i="1"/>
  <c r="W220" i="1"/>
  <c r="W339" i="1"/>
  <c r="W419" i="1"/>
  <c r="W507" i="1"/>
  <c r="W665" i="1"/>
  <c r="W134" i="1"/>
  <c r="W40" i="1"/>
  <c r="W41" i="1"/>
  <c r="W690" i="1"/>
  <c r="W465" i="1"/>
  <c r="W421" i="1"/>
  <c r="W343" i="1"/>
  <c r="W304" i="1"/>
  <c r="W782" i="1"/>
  <c r="W211" i="1"/>
  <c r="W417" i="1"/>
  <c r="W786" i="1"/>
  <c r="W602" i="1"/>
  <c r="W297" i="1"/>
  <c r="W336" i="1"/>
  <c r="W303" i="1"/>
  <c r="W217" i="1"/>
  <c r="W611" i="1"/>
  <c r="W338" i="1"/>
  <c r="W101" i="1"/>
  <c r="W153" i="1"/>
  <c r="W563" i="1"/>
  <c r="W223" i="1"/>
  <c r="W341" i="1"/>
  <c r="W179" i="1"/>
  <c r="W342" i="1"/>
  <c r="W388" i="1"/>
  <c r="W622" i="1"/>
  <c r="W617" i="1"/>
  <c r="W741" i="1"/>
  <c r="W301" i="1"/>
  <c r="W213" i="1"/>
  <c r="W214" i="1"/>
  <c r="W219" i="1"/>
  <c r="W571" i="1"/>
  <c r="W629" i="1"/>
  <c r="W630" i="1"/>
  <c r="W770" i="1"/>
  <c r="W42" i="1"/>
  <c r="W333" i="1"/>
  <c r="W27" i="1"/>
  <c r="W604" i="1"/>
  <c r="W14" i="1"/>
  <c r="W266" i="1"/>
  <c r="W122" i="1"/>
  <c r="W123" i="1"/>
  <c r="W525" i="1"/>
  <c r="W216" i="1"/>
  <c r="W83" i="1"/>
  <c r="W218" i="1"/>
  <c r="W418" i="1"/>
  <c r="W221" i="1"/>
  <c r="W222" i="1"/>
  <c r="W340" i="1"/>
  <c r="W39" i="1"/>
  <c r="W420" i="1"/>
  <c r="W475" i="1"/>
  <c r="W224" i="1"/>
  <c r="W180" i="1"/>
  <c r="W173" i="1"/>
  <c r="W387" i="1"/>
  <c r="W133" i="1"/>
  <c r="W156" i="1"/>
  <c r="W664" i="1"/>
  <c r="W131" i="1"/>
  <c r="W527" i="1"/>
  <c r="W102" i="1"/>
  <c r="W593" i="1"/>
  <c r="W612" i="1"/>
  <c r="W448" i="1"/>
  <c r="W66" i="1"/>
  <c r="W746" i="1"/>
  <c r="W487" i="1"/>
  <c r="W521" i="1"/>
  <c r="W522" i="1"/>
  <c r="W96" i="1"/>
  <c r="W599" i="1"/>
  <c r="W650" i="1"/>
  <c r="W401" i="1"/>
  <c r="W281" i="1"/>
  <c r="W403" i="1"/>
  <c r="W440" i="1"/>
  <c r="W145" i="1"/>
  <c r="W402" i="1"/>
  <c r="W52" i="1"/>
  <c r="W377" i="1"/>
  <c r="W702" i="1"/>
  <c r="W703" i="1"/>
  <c r="W706" i="1"/>
  <c r="W53" i="1"/>
  <c r="W55" i="1"/>
  <c r="W701" i="1"/>
  <c r="W705" i="1"/>
  <c r="W540" i="1"/>
  <c r="W196" i="1"/>
  <c r="W704" i="1"/>
  <c r="W54" i="1"/>
  <c r="W92" i="1"/>
  <c r="W28" i="1"/>
  <c r="W29" i="1"/>
  <c r="W150" i="1"/>
  <c r="W514" i="1"/>
  <c r="W515" i="1"/>
  <c r="W68" i="1"/>
  <c r="W797" i="1"/>
  <c r="W135" i="1"/>
  <c r="W181" i="1"/>
  <c r="W298" i="1"/>
  <c r="W305" i="1"/>
  <c r="W760" i="1"/>
  <c r="W225" i="1"/>
  <c r="W104" i="1"/>
  <c r="W98" i="1"/>
  <c r="W226" i="1"/>
  <c r="W585" i="1"/>
  <c r="W97" i="1"/>
  <c r="W344" i="1"/>
  <c r="W636" i="1"/>
  <c r="W423" i="1"/>
  <c r="W609" i="1"/>
  <c r="W103" i="1"/>
  <c r="W548" i="1"/>
  <c r="W288" i="1"/>
  <c r="W124" i="1"/>
  <c r="W345" i="1"/>
  <c r="W645" i="1"/>
  <c r="W287" i="1"/>
  <c r="W422" i="1"/>
  <c r="W137" i="1"/>
  <c r="W138" i="1"/>
  <c r="W136" i="1"/>
  <c r="W30" i="1"/>
  <c r="W11" i="1"/>
  <c r="W157" i="1"/>
  <c r="W586" i="1"/>
  <c r="W284" i="1"/>
  <c r="W95" i="1"/>
  <c r="W505" i="1"/>
  <c r="W795" i="1"/>
  <c r="W444" i="1"/>
  <c r="W38" i="1"/>
  <c r="W162" i="1"/>
  <c r="W682" i="1"/>
  <c r="W486" i="1"/>
  <c r="W80" i="1"/>
  <c r="W584" i="1"/>
  <c r="W683" i="1"/>
  <c r="W79" i="1"/>
  <c r="W684" i="1"/>
  <c r="W536" i="1"/>
  <c r="W163" i="1"/>
  <c r="W64" i="1"/>
  <c r="W731" i="1"/>
  <c r="W757" i="1"/>
  <c r="W758" i="1"/>
  <c r="W445" i="1"/>
  <c r="W643" i="1"/>
  <c r="W56" i="1"/>
  <c r="W378" i="1"/>
  <c r="W432" i="1"/>
  <c r="W15" i="1"/>
  <c r="W462" i="1"/>
  <c r="W761" i="1"/>
  <c r="W481" i="1"/>
  <c r="W457" i="1"/>
  <c r="W85" i="1"/>
  <c r="W809" i="1"/>
  <c r="W771" i="1"/>
  <c r="W537" i="1"/>
  <c r="W732" i="1"/>
  <c r="W410" i="1"/>
  <c r="W810" i="1"/>
  <c r="W384" i="1"/>
  <c r="W446" i="1"/>
  <c r="W685" i="1"/>
  <c r="W22" i="1"/>
  <c r="W407" i="1"/>
  <c r="W408" i="1"/>
  <c r="W443" i="1"/>
  <c r="W719" i="1"/>
  <c r="W721" i="1"/>
  <c r="W720" i="1"/>
  <c r="W62" i="1"/>
  <c r="W204" i="1"/>
  <c r="W405" i="1"/>
  <c r="W722" i="1"/>
  <c r="W780" i="1"/>
  <c r="W63" i="1"/>
  <c r="W616" i="1"/>
  <c r="W550" i="1"/>
  <c r="W763" i="1"/>
  <c r="W545" i="1"/>
  <c r="W201" i="1"/>
  <c r="W202" i="1"/>
  <c r="W121" i="1"/>
  <c r="W379" i="1"/>
  <c r="W381" i="1"/>
  <c r="W118" i="1"/>
  <c r="W479" i="1"/>
  <c r="W712" i="1"/>
  <c r="W319" i="1"/>
  <c r="W710" i="1"/>
  <c r="W442" i="1"/>
  <c r="W380" i="1"/>
  <c r="W766" i="1"/>
  <c r="W146" i="1"/>
  <c r="W318" i="1"/>
  <c r="W713" i="1"/>
  <c r="W649" i="1"/>
  <c r="W714" i="1"/>
  <c r="W588" i="1"/>
  <c r="W485" i="1"/>
  <c r="W57" i="1"/>
  <c r="W453" i="1"/>
  <c r="W441" i="1"/>
  <c r="W130" i="1"/>
  <c r="W711" i="1"/>
  <c r="W452" i="1"/>
  <c r="W652" i="1"/>
  <c r="W58" i="1"/>
  <c r="W382" i="1"/>
  <c r="W203" i="1"/>
  <c r="W459" i="1"/>
  <c r="W59" i="1"/>
  <c r="W60" i="1"/>
  <c r="W61" i="1"/>
  <c r="W383" i="1"/>
  <c r="W267" i="1"/>
  <c r="W504" i="1"/>
  <c r="W36" i="1"/>
  <c r="W794" i="1"/>
  <c r="W669" i="1"/>
  <c r="W71" i="1"/>
  <c r="W251" i="1"/>
  <c r="W72" i="1"/>
  <c r="W431" i="1"/>
  <c r="W351" i="1"/>
  <c r="W158" i="1"/>
  <c r="W528" i="1"/>
  <c r="W430" i="1"/>
  <c r="W529" i="1"/>
  <c r="W751" i="1"/>
  <c r="W47" i="1"/>
  <c r="W429" i="1"/>
  <c r="E24" i="11"/>
  <c r="F24" i="11"/>
  <c r="E64" i="11"/>
  <c r="F64" i="11"/>
  <c r="R6" i="1" s="1"/>
  <c r="E18" i="11"/>
  <c r="F18" i="11"/>
  <c r="E11" i="11"/>
  <c r="F11" i="11"/>
  <c r="E7" i="11"/>
  <c r="F7" i="11"/>
  <c r="E60" i="11"/>
  <c r="F60" i="11"/>
  <c r="R254" i="1" s="1"/>
  <c r="E10" i="11"/>
  <c r="F10" i="11"/>
  <c r="E30" i="11"/>
  <c r="F30" i="11"/>
  <c r="E14" i="11"/>
  <c r="F14" i="11"/>
  <c r="E15" i="11"/>
  <c r="F15" i="11"/>
  <c r="E13" i="11"/>
  <c r="F13" i="11"/>
  <c r="E32" i="11"/>
  <c r="F32" i="11"/>
  <c r="E8" i="11"/>
  <c r="F8" i="11"/>
  <c r="E59" i="11"/>
  <c r="F59" i="11"/>
  <c r="R253" i="1" s="1"/>
  <c r="E12" i="11"/>
  <c r="F12" i="11"/>
  <c r="E56" i="11"/>
  <c r="F56" i="11"/>
  <c r="R249" i="1" s="1"/>
  <c r="F54" i="11"/>
  <c r="R7" i="1" s="1"/>
  <c r="E54" i="11"/>
  <c r="F53" i="11"/>
  <c r="R199" i="1" s="1"/>
  <c r="E53" i="11"/>
  <c r="E39" i="11"/>
  <c r="F39" i="11"/>
  <c r="R206" i="1" s="1"/>
  <c r="E9" i="11"/>
  <c r="F9" i="11"/>
  <c r="E25" i="11"/>
  <c r="F25" i="11"/>
  <c r="E23" i="11"/>
  <c r="F23" i="11"/>
  <c r="E61" i="11"/>
  <c r="F61" i="11"/>
  <c r="R686" i="1" s="1"/>
  <c r="E4" i="11"/>
  <c r="P376" i="1" s="1"/>
  <c r="F4" i="11"/>
  <c r="E31" i="11"/>
  <c r="F31" i="11"/>
  <c r="E55" i="11"/>
  <c r="F55" i="11"/>
  <c r="R619" i="1" s="1"/>
  <c r="E33" i="11"/>
  <c r="F33" i="11"/>
  <c r="E26" i="11"/>
  <c r="F26" i="11"/>
  <c r="E19" i="11"/>
  <c r="F19" i="11"/>
  <c r="E63" i="11"/>
  <c r="F63" i="11"/>
  <c r="R283" i="1" s="1"/>
  <c r="E62" i="11"/>
  <c r="F62" i="11"/>
  <c r="R740" i="1" s="1"/>
  <c r="E6" i="11"/>
  <c r="F6" i="11"/>
  <c r="E5" i="11"/>
  <c r="F5" i="11"/>
  <c r="E58" i="11"/>
  <c r="F58" i="11"/>
  <c r="R466" i="1" s="1"/>
  <c r="E38" i="11"/>
  <c r="F38" i="11"/>
  <c r="E57" i="11"/>
  <c r="F57" i="11"/>
  <c r="R82" i="1" s="1"/>
  <c r="Q448" i="1" l="1"/>
  <c r="T448" i="1" s="1"/>
  <c r="P66" i="1"/>
  <c r="P448" i="1"/>
  <c r="Q66" i="1"/>
  <c r="T66" i="1" s="1"/>
  <c r="P617" i="1"/>
  <c r="P622" i="1"/>
  <c r="Q180" i="1"/>
  <c r="T180" i="1" s="1"/>
  <c r="P343" i="1"/>
  <c r="Q224" i="1"/>
  <c r="T224" i="1" s="1"/>
  <c r="P421" i="1"/>
  <c r="Q42" i="1"/>
  <c r="T42" i="1" s="1"/>
  <c r="P465" i="1"/>
  <c r="P690" i="1"/>
  <c r="P770" i="1"/>
  <c r="P180" i="1"/>
  <c r="Q123" i="1"/>
  <c r="T123" i="1" s="1"/>
  <c r="Q465" i="1"/>
  <c r="T465" i="1" s="1"/>
  <c r="Q41" i="1"/>
  <c r="T41" i="1" s="1"/>
  <c r="Q475" i="1"/>
  <c r="T475" i="1" s="1"/>
  <c r="Q40" i="1"/>
  <c r="T40" i="1" s="1"/>
  <c r="Q134" i="1"/>
  <c r="T134" i="1" s="1"/>
  <c r="P122" i="1"/>
  <c r="Q39" i="1"/>
  <c r="T39" i="1" s="1"/>
  <c r="P665" i="1"/>
  <c r="Q222" i="1"/>
  <c r="T222" i="1" s="1"/>
  <c r="P527" i="1"/>
  <c r="P304" i="1"/>
  <c r="P388" i="1"/>
  <c r="Q690" i="1"/>
  <c r="T690" i="1" s="1"/>
  <c r="P41" i="1"/>
  <c r="P342" i="1"/>
  <c r="P179" i="1"/>
  <c r="P224" i="1"/>
  <c r="Q421" i="1"/>
  <c r="T421" i="1" s="1"/>
  <c r="P42" i="1"/>
  <c r="P475" i="1"/>
  <c r="Q420" i="1"/>
  <c r="T420" i="1" s="1"/>
  <c r="Q343" i="1"/>
  <c r="T343" i="1" s="1"/>
  <c r="P40" i="1"/>
  <c r="Q122" i="1"/>
  <c r="T122" i="1" s="1"/>
  <c r="P102" i="1"/>
  <c r="P39" i="1"/>
  <c r="Q266" i="1"/>
  <c r="T266" i="1" s="1"/>
  <c r="Q340" i="1"/>
  <c r="T340" i="1" s="1"/>
  <c r="P612" i="1"/>
  <c r="Q507" i="1"/>
  <c r="T507" i="1" s="1"/>
  <c r="P133" i="1"/>
  <c r="P339" i="1"/>
  <c r="P571" i="1"/>
  <c r="P131" i="1"/>
  <c r="P664" i="1"/>
  <c r="P488" i="1"/>
  <c r="Q338" i="1"/>
  <c r="T338" i="1" s="1"/>
  <c r="Q611" i="1"/>
  <c r="T611" i="1" s="1"/>
  <c r="P218" i="1"/>
  <c r="Q562" i="1"/>
  <c r="T562" i="1" s="1"/>
  <c r="Q304" i="1"/>
  <c r="T304" i="1" s="1"/>
  <c r="P420" i="1"/>
  <c r="P134" i="1"/>
  <c r="P266" i="1"/>
  <c r="P340" i="1"/>
  <c r="Q630" i="1"/>
  <c r="T630" i="1" s="1"/>
  <c r="P507" i="1"/>
  <c r="Q419" i="1"/>
  <c r="T419" i="1" s="1"/>
  <c r="Q221" i="1"/>
  <c r="T221" i="1" s="1"/>
  <c r="Q220" i="1"/>
  <c r="T220" i="1" s="1"/>
  <c r="Q153" i="1"/>
  <c r="T153" i="1" s="1"/>
  <c r="Q14" i="1"/>
  <c r="T14" i="1" s="1"/>
  <c r="Q132" i="1"/>
  <c r="T132" i="1" s="1"/>
  <c r="Q219" i="1"/>
  <c r="T219" i="1" s="1"/>
  <c r="Q418" i="1"/>
  <c r="T418" i="1" s="1"/>
  <c r="P338" i="1"/>
  <c r="P611" i="1"/>
  <c r="P562" i="1"/>
  <c r="Q177" i="1"/>
  <c r="T177" i="1" s="1"/>
  <c r="Q561" i="1"/>
  <c r="T561" i="1" s="1"/>
  <c r="Q628" i="1"/>
  <c r="T628" i="1" s="1"/>
  <c r="Q179" i="1"/>
  <c r="T179" i="1" s="1"/>
  <c r="Q341" i="1"/>
  <c r="T341" i="1" s="1"/>
  <c r="Q665" i="1"/>
  <c r="T665" i="1" s="1"/>
  <c r="P630" i="1"/>
  <c r="P419" i="1"/>
  <c r="P153" i="1"/>
  <c r="P132" i="1"/>
  <c r="P219" i="1"/>
  <c r="Q526" i="1"/>
  <c r="T526" i="1" s="1"/>
  <c r="P418" i="1"/>
  <c r="P177" i="1"/>
  <c r="Q387" i="1"/>
  <c r="T387" i="1" s="1"/>
  <c r="P628" i="1"/>
  <c r="Q513" i="1"/>
  <c r="T513" i="1" s="1"/>
  <c r="P100" i="1"/>
  <c r="Q386" i="1"/>
  <c r="T386" i="1" s="1"/>
  <c r="P303" i="1"/>
  <c r="Q83" i="1"/>
  <c r="T83" i="1" s="1"/>
  <c r="P9" i="1"/>
  <c r="P604" i="1"/>
  <c r="P626" i="1"/>
  <c r="P593" i="1"/>
  <c r="Q451" i="1"/>
  <c r="T451" i="1" s="1"/>
  <c r="Q474" i="1"/>
  <c r="T474" i="1" s="1"/>
  <c r="P156" i="1"/>
  <c r="Q264" i="1"/>
  <c r="T264" i="1" s="1"/>
  <c r="P176" i="1"/>
  <c r="P27" i="1"/>
  <c r="Q26" i="1"/>
  <c r="T26" i="1" s="1"/>
  <c r="P263" i="1"/>
  <c r="Q335" i="1"/>
  <c r="T335" i="1" s="1"/>
  <c r="P297" i="1"/>
  <c r="P13" i="1"/>
  <c r="Q334" i="1"/>
  <c r="T334" i="1" s="1"/>
  <c r="Q333" i="1"/>
  <c r="T333" i="1" s="1"/>
  <c r="Q215" i="1"/>
  <c r="T215" i="1" s="1"/>
  <c r="Q214" i="1"/>
  <c r="T214" i="1" s="1"/>
  <c r="Q213" i="1"/>
  <c r="T213" i="1" s="1"/>
  <c r="P175" i="1"/>
  <c r="P212" i="1"/>
  <c r="P174" i="1"/>
  <c r="Q301" i="1"/>
  <c r="T301" i="1" s="1"/>
  <c r="Q173" i="1"/>
  <c r="T173" i="1" s="1"/>
  <c r="P785" i="1"/>
  <c r="Q86" i="1"/>
  <c r="T86" i="1" s="1"/>
  <c r="P502" i="1"/>
  <c r="Q525" i="1"/>
  <c r="T525" i="1" s="1"/>
  <c r="P171" i="1"/>
  <c r="P260" i="1"/>
  <c r="Q12" i="1"/>
  <c r="T12" i="1" s="1"/>
  <c r="P326" i="1"/>
  <c r="Q258" i="1"/>
  <c r="T258" i="1" s="1"/>
  <c r="P257" i="1"/>
  <c r="Q661" i="1"/>
  <c r="T661" i="1" s="1"/>
  <c r="Q325" i="1"/>
  <c r="T325" i="1" s="1"/>
  <c r="Q455" i="1"/>
  <c r="T455" i="1" s="1"/>
  <c r="Q391" i="1"/>
  <c r="T391" i="1" s="1"/>
  <c r="P454" i="1"/>
  <c r="P560" i="1"/>
  <c r="Q738" i="1"/>
  <c r="T738" i="1" s="1"/>
  <c r="P737" i="1"/>
  <c r="P390" i="1"/>
  <c r="Q388" i="1"/>
  <c r="T388" i="1" s="1"/>
  <c r="P123" i="1"/>
  <c r="Q342" i="1"/>
  <c r="T342" i="1" s="1"/>
  <c r="Q102" i="1"/>
  <c r="T102" i="1" s="1"/>
  <c r="P341" i="1"/>
  <c r="Q612" i="1"/>
  <c r="T612" i="1" s="1"/>
  <c r="Q527" i="1"/>
  <c r="T527" i="1" s="1"/>
  <c r="Q339" i="1"/>
  <c r="T339" i="1" s="1"/>
  <c r="Q664" i="1"/>
  <c r="T664" i="1" s="1"/>
  <c r="P526" i="1"/>
  <c r="Q488" i="1"/>
  <c r="T488" i="1" s="1"/>
  <c r="P387" i="1"/>
  <c r="P513" i="1"/>
  <c r="Q207" i="1"/>
  <c r="T207" i="1" s="1"/>
  <c r="P386" i="1"/>
  <c r="Q217" i="1"/>
  <c r="T217" i="1" s="1"/>
  <c r="P83" i="1"/>
  <c r="Q578" i="1"/>
  <c r="T578" i="1" s="1"/>
  <c r="Q594" i="1"/>
  <c r="T594" i="1" s="1"/>
  <c r="P451" i="1"/>
  <c r="P474" i="1"/>
  <c r="Q336" i="1"/>
  <c r="T336" i="1" s="1"/>
  <c r="P264" i="1"/>
  <c r="P26" i="1"/>
  <c r="Q292" i="1"/>
  <c r="T292" i="1" s="1"/>
  <c r="P335" i="1"/>
  <c r="Q216" i="1"/>
  <c r="T216" i="1" s="1"/>
  <c r="Q787" i="1"/>
  <c r="T787" i="1" s="1"/>
  <c r="P334" i="1"/>
  <c r="P333" i="1"/>
  <c r="Q625" i="1"/>
  <c r="T625" i="1" s="1"/>
  <c r="P215" i="1"/>
  <c r="P214" i="1"/>
  <c r="Q262" i="1"/>
  <c r="T262" i="1" s="1"/>
  <c r="Q331" i="1"/>
  <c r="T331" i="1" s="1"/>
  <c r="P213" i="1"/>
  <c r="Q662" i="1"/>
  <c r="T662" i="1" s="1"/>
  <c r="P301" i="1"/>
  <c r="Q329" i="1"/>
  <c r="T329" i="1" s="1"/>
  <c r="P173" i="1"/>
  <c r="Q149" i="1"/>
  <c r="T149" i="1" s="1"/>
  <c r="P86" i="1"/>
  <c r="Q261" i="1"/>
  <c r="T261" i="1" s="1"/>
  <c r="Q99" i="1"/>
  <c r="T99" i="1" s="1"/>
  <c r="Q657" i="1"/>
  <c r="T657" i="1" s="1"/>
  <c r="P525" i="1"/>
  <c r="Q557" i="1"/>
  <c r="T557" i="1" s="1"/>
  <c r="P12" i="1"/>
  <c r="P258" i="1"/>
  <c r="P661" i="1"/>
  <c r="Q392" i="1"/>
  <c r="T392" i="1" s="1"/>
  <c r="P325" i="1"/>
  <c r="Q168" i="1"/>
  <c r="T168" i="1" s="1"/>
  <c r="P455" i="1"/>
  <c r="P391" i="1"/>
  <c r="Q256" i="1"/>
  <c r="T256" i="1" s="1"/>
  <c r="Q324" i="1"/>
  <c r="T324" i="1" s="1"/>
  <c r="P738" i="1"/>
  <c r="Q778" i="1"/>
  <c r="T778" i="1" s="1"/>
  <c r="Q91" i="1"/>
  <c r="T91" i="1" s="1"/>
  <c r="Q783" i="1"/>
  <c r="T783" i="1" s="1"/>
  <c r="Q617" i="1"/>
  <c r="T617" i="1" s="1"/>
  <c r="Q563" i="1"/>
  <c r="T563" i="1" s="1"/>
  <c r="P220" i="1"/>
  <c r="Q101" i="1"/>
  <c r="T101" i="1" s="1"/>
  <c r="Q489" i="1"/>
  <c r="T489" i="1" s="1"/>
  <c r="Q265" i="1"/>
  <c r="T265" i="1" s="1"/>
  <c r="Q510" i="1"/>
  <c r="T510" i="1" s="1"/>
  <c r="P292" i="1"/>
  <c r="P216" i="1"/>
  <c r="Q332" i="1"/>
  <c r="T332" i="1" s="1"/>
  <c r="P262" i="1"/>
  <c r="Q627" i="1"/>
  <c r="T627" i="1" s="1"/>
  <c r="P331" i="1"/>
  <c r="Q330" i="1"/>
  <c r="T330" i="1" s="1"/>
  <c r="Q572" i="1"/>
  <c r="T572" i="1" s="1"/>
  <c r="P329" i="1"/>
  <c r="Q456" i="1"/>
  <c r="T456" i="1" s="1"/>
  <c r="P261" i="1"/>
  <c r="Q172" i="1"/>
  <c r="T172" i="1" s="1"/>
  <c r="Q512" i="1"/>
  <c r="T512" i="1" s="1"/>
  <c r="P557" i="1"/>
  <c r="P324" i="1"/>
  <c r="P783" i="1"/>
  <c r="Q255" i="1"/>
  <c r="T255" i="1" s="1"/>
  <c r="P749" i="1"/>
  <c r="P782" i="1"/>
  <c r="P221" i="1"/>
  <c r="Q412" i="1"/>
  <c r="T412" i="1" s="1"/>
  <c r="P217" i="1"/>
  <c r="Q337" i="1"/>
  <c r="T337" i="1" s="1"/>
  <c r="P578" i="1"/>
  <c r="P787" i="1"/>
  <c r="Q602" i="1"/>
  <c r="T602" i="1" s="1"/>
  <c r="Q786" i="1"/>
  <c r="T786" i="1" s="1"/>
  <c r="Q211" i="1"/>
  <c r="T211" i="1" s="1"/>
  <c r="P149" i="1"/>
  <c r="P168" i="1"/>
  <c r="P778" i="1"/>
  <c r="P91" i="1"/>
  <c r="P741" i="1"/>
  <c r="Q571" i="1"/>
  <c r="T571" i="1" s="1"/>
  <c r="P412" i="1"/>
  <c r="Q622" i="1"/>
  <c r="T622" i="1" s="1"/>
  <c r="Q770" i="1"/>
  <c r="T770" i="1" s="1"/>
  <c r="P222" i="1"/>
  <c r="P563" i="1"/>
  <c r="Q133" i="1"/>
  <c r="T133" i="1" s="1"/>
  <c r="Q131" i="1"/>
  <c r="T131" i="1" s="1"/>
  <c r="P101" i="1"/>
  <c r="P489" i="1"/>
  <c r="Q218" i="1"/>
  <c r="T218" i="1" s="1"/>
  <c r="P561" i="1"/>
  <c r="Q100" i="1"/>
  <c r="T100" i="1" s="1"/>
  <c r="P265" i="1"/>
  <c r="Q303" i="1"/>
  <c r="T303" i="1" s="1"/>
  <c r="Q604" i="1"/>
  <c r="T604" i="1" s="1"/>
  <c r="Q626" i="1"/>
  <c r="T626" i="1" s="1"/>
  <c r="Q593" i="1"/>
  <c r="T593" i="1" s="1"/>
  <c r="P510" i="1"/>
  <c r="Q27" i="1"/>
  <c r="T27" i="1" s="1"/>
  <c r="Q297" i="1"/>
  <c r="T297" i="1" s="1"/>
  <c r="P332" i="1"/>
  <c r="P627" i="1"/>
  <c r="P330" i="1"/>
  <c r="P572" i="1"/>
  <c r="Q785" i="1"/>
  <c r="T785" i="1" s="1"/>
  <c r="P456" i="1"/>
  <c r="P172" i="1"/>
  <c r="P512" i="1"/>
  <c r="Q171" i="1"/>
  <c r="T171" i="1" s="1"/>
  <c r="Q326" i="1"/>
  <c r="T326" i="1" s="1"/>
  <c r="Q454" i="1"/>
  <c r="T454" i="1" s="1"/>
  <c r="P255" i="1"/>
  <c r="Q741" i="1"/>
  <c r="T741" i="1" s="1"/>
  <c r="Q223" i="1"/>
  <c r="T223" i="1" s="1"/>
  <c r="Q629" i="1"/>
  <c r="T629" i="1" s="1"/>
  <c r="P14" i="1"/>
  <c r="Q178" i="1"/>
  <c r="T178" i="1" s="1"/>
  <c r="P207" i="1"/>
  <c r="Q663" i="1"/>
  <c r="T663" i="1" s="1"/>
  <c r="P594" i="1"/>
  <c r="Q302" i="1"/>
  <c r="T302" i="1" s="1"/>
  <c r="P336" i="1"/>
  <c r="P625" i="1"/>
  <c r="P662" i="1"/>
  <c r="Q417" i="1"/>
  <c r="T417" i="1" s="1"/>
  <c r="P99" i="1"/>
  <c r="P657" i="1"/>
  <c r="P392" i="1"/>
  <c r="P256" i="1"/>
  <c r="Q167" i="1"/>
  <c r="T167" i="1" s="1"/>
  <c r="Q538" i="1"/>
  <c r="T538" i="1" s="1"/>
  <c r="P223" i="1"/>
  <c r="P629" i="1"/>
  <c r="P178" i="1"/>
  <c r="P663" i="1"/>
  <c r="Q9" i="1"/>
  <c r="T9" i="1" s="1"/>
  <c r="P337" i="1"/>
  <c r="Q156" i="1"/>
  <c r="T156" i="1" s="1"/>
  <c r="Q263" i="1"/>
  <c r="T263" i="1" s="1"/>
  <c r="P417" i="1"/>
  <c r="Q737" i="1"/>
  <c r="T737" i="1" s="1"/>
  <c r="Q749" i="1"/>
  <c r="T749" i="1" s="1"/>
  <c r="P786" i="1"/>
  <c r="Q260" i="1"/>
  <c r="T260" i="1" s="1"/>
  <c r="Q13" i="1"/>
  <c r="T13" i="1" s="1"/>
  <c r="P167" i="1"/>
  <c r="Q390" i="1"/>
  <c r="T390" i="1" s="1"/>
  <c r="P302" i="1"/>
  <c r="Q175" i="1"/>
  <c r="T175" i="1" s="1"/>
  <c r="Q502" i="1"/>
  <c r="T502" i="1" s="1"/>
  <c r="Q257" i="1"/>
  <c r="T257" i="1" s="1"/>
  <c r="Q560" i="1"/>
  <c r="T560" i="1" s="1"/>
  <c r="P602" i="1"/>
  <c r="Q174" i="1"/>
  <c r="T174" i="1" s="1"/>
  <c r="P211" i="1"/>
  <c r="P538" i="1"/>
  <c r="Q176" i="1"/>
  <c r="T176" i="1" s="1"/>
  <c r="Q212" i="1"/>
  <c r="T212" i="1" s="1"/>
  <c r="Q782" i="1"/>
  <c r="T782" i="1" s="1"/>
  <c r="Q806" i="1"/>
  <c r="T806" i="1" s="1"/>
  <c r="Q482" i="1"/>
  <c r="T482" i="1" s="1"/>
  <c r="P806" i="1"/>
  <c r="P482" i="1"/>
  <c r="Q718" i="1"/>
  <c r="T718" i="1" s="1"/>
  <c r="P635" i="1"/>
  <c r="Q715" i="1"/>
  <c r="T715" i="1" s="1"/>
  <c r="P718" i="1"/>
  <c r="Q716" i="1"/>
  <c r="T716" i="1" s="1"/>
  <c r="Q717" i="1"/>
  <c r="T717" i="1" s="1"/>
  <c r="P715" i="1"/>
  <c r="P716" i="1"/>
  <c r="P717" i="1"/>
  <c r="Q635" i="1"/>
  <c r="T635" i="1" s="1"/>
  <c r="P615" i="1"/>
  <c r="Q166" i="1"/>
  <c r="T166" i="1" s="1"/>
  <c r="P166" i="1"/>
  <c r="Q615" i="1"/>
  <c r="T615" i="1" s="1"/>
  <c r="Q642" i="1"/>
  <c r="T642" i="1" s="1"/>
  <c r="Q689" i="1"/>
  <c r="T689" i="1" s="1"/>
  <c r="Q119" i="1"/>
  <c r="T119" i="1" s="1"/>
  <c r="P689" i="1"/>
  <c r="P119" i="1"/>
  <c r="P642" i="1"/>
  <c r="Q686" i="1"/>
  <c r="T686" i="1" s="1"/>
  <c r="P686" i="1"/>
  <c r="Q20" i="1"/>
  <c r="T20" i="1" s="1"/>
  <c r="P680" i="1"/>
  <c r="P20" i="1"/>
  <c r="Q535" i="1"/>
  <c r="T535" i="1" s="1"/>
  <c r="Q680" i="1"/>
  <c r="T680" i="1" s="1"/>
  <c r="Q404" i="1"/>
  <c r="T404" i="1" s="1"/>
  <c r="P535" i="1"/>
  <c r="P404" i="1"/>
  <c r="Q206" i="1"/>
  <c r="T206" i="1" s="1"/>
  <c r="P206" i="1"/>
  <c r="P431" i="1"/>
  <c r="Q430" i="1"/>
  <c r="T430" i="1" s="1"/>
  <c r="P72" i="1"/>
  <c r="Q71" i="1"/>
  <c r="T71" i="1" s="1"/>
  <c r="P158" i="1"/>
  <c r="Q351" i="1"/>
  <c r="T351" i="1" s="1"/>
  <c r="P47" i="1"/>
  <c r="Q431" i="1"/>
  <c r="T431" i="1" s="1"/>
  <c r="P351" i="1"/>
  <c r="P429" i="1"/>
  <c r="Q158" i="1"/>
  <c r="T158" i="1" s="1"/>
  <c r="Q47" i="1"/>
  <c r="T47" i="1" s="1"/>
  <c r="P430" i="1"/>
  <c r="Q751" i="1"/>
  <c r="T751" i="1" s="1"/>
  <c r="Q504" i="1"/>
  <c r="T504" i="1" s="1"/>
  <c r="Q72" i="1"/>
  <c r="T72" i="1" s="1"/>
  <c r="Q429" i="1"/>
  <c r="T429" i="1" s="1"/>
  <c r="P751" i="1"/>
  <c r="Q267" i="1"/>
  <c r="T267" i="1" s="1"/>
  <c r="P504" i="1"/>
  <c r="P71" i="1"/>
  <c r="Q36" i="1"/>
  <c r="T36" i="1" s="1"/>
  <c r="Q794" i="1"/>
  <c r="T794" i="1" s="1"/>
  <c r="Q669" i="1"/>
  <c r="T669" i="1" s="1"/>
  <c r="P267" i="1"/>
  <c r="P528" i="1"/>
  <c r="P669" i="1"/>
  <c r="P36" i="1"/>
  <c r="P794" i="1"/>
  <c r="Q528" i="1"/>
  <c r="T528" i="1" s="1"/>
  <c r="Q251" i="1"/>
  <c r="T251" i="1" s="1"/>
  <c r="Q529" i="1"/>
  <c r="T529" i="1" s="1"/>
  <c r="P251" i="1"/>
  <c r="P529" i="1"/>
  <c r="P63" i="1"/>
  <c r="Q204" i="1"/>
  <c r="T204" i="1" s="1"/>
  <c r="Q62" i="1"/>
  <c r="T62" i="1" s="1"/>
  <c r="Q63" i="1"/>
  <c r="T63" i="1" s="1"/>
  <c r="Q722" i="1"/>
  <c r="T722" i="1" s="1"/>
  <c r="Q780" i="1"/>
  <c r="T780" i="1" s="1"/>
  <c r="P62" i="1"/>
  <c r="P722" i="1"/>
  <c r="P780" i="1"/>
  <c r="Q721" i="1"/>
  <c r="T721" i="1" s="1"/>
  <c r="Q443" i="1"/>
  <c r="T443" i="1" s="1"/>
  <c r="P407" i="1"/>
  <c r="P204" i="1"/>
  <c r="P721" i="1"/>
  <c r="P443" i="1"/>
  <c r="Q408" i="1"/>
  <c r="T408" i="1" s="1"/>
  <c r="Q719" i="1"/>
  <c r="T719" i="1" s="1"/>
  <c r="P408" i="1"/>
  <c r="P719" i="1"/>
  <c r="Q720" i="1"/>
  <c r="T720" i="1" s="1"/>
  <c r="Q405" i="1"/>
  <c r="T405" i="1" s="1"/>
  <c r="P405" i="1"/>
  <c r="P720" i="1"/>
  <c r="Q407" i="1"/>
  <c r="T407" i="1" s="1"/>
  <c r="Q731" i="1"/>
  <c r="T731" i="1" s="1"/>
  <c r="P64" i="1"/>
  <c r="P682" i="1"/>
  <c r="Q163" i="1"/>
  <c r="T163" i="1" s="1"/>
  <c r="P80" i="1"/>
  <c r="Q444" i="1"/>
  <c r="T444" i="1" s="1"/>
  <c r="P683" i="1"/>
  <c r="P684" i="1"/>
  <c r="P731" i="1"/>
  <c r="Q684" i="1"/>
  <c r="T684" i="1" s="1"/>
  <c r="P445" i="1"/>
  <c r="Q80" i="1"/>
  <c r="T80" i="1" s="1"/>
  <c r="Q162" i="1"/>
  <c r="T162" i="1" s="1"/>
  <c r="Q79" i="1"/>
  <c r="T79" i="1" s="1"/>
  <c r="P584" i="1"/>
  <c r="Q758" i="1"/>
  <c r="T758" i="1" s="1"/>
  <c r="P162" i="1"/>
  <c r="Q757" i="1"/>
  <c r="T757" i="1" s="1"/>
  <c r="P79" i="1"/>
  <c r="Q64" i="1"/>
  <c r="T64" i="1" s="1"/>
  <c r="P163" i="1"/>
  <c r="P757" i="1"/>
  <c r="P284" i="1"/>
  <c r="Q38" i="1"/>
  <c r="T38" i="1" s="1"/>
  <c r="P795" i="1"/>
  <c r="Q505" i="1"/>
  <c r="T505" i="1" s="1"/>
  <c r="Q95" i="1"/>
  <c r="T95" i="1" s="1"/>
  <c r="Q584" i="1"/>
  <c r="T584" i="1" s="1"/>
  <c r="P38" i="1"/>
  <c r="P505" i="1"/>
  <c r="P95" i="1"/>
  <c r="P758" i="1"/>
  <c r="Q486" i="1"/>
  <c r="T486" i="1" s="1"/>
  <c r="Q536" i="1"/>
  <c r="T536" i="1" s="1"/>
  <c r="Q682" i="1"/>
  <c r="T682" i="1" s="1"/>
  <c r="P444" i="1"/>
  <c r="Q445" i="1"/>
  <c r="T445" i="1" s="1"/>
  <c r="Q284" i="1"/>
  <c r="T284" i="1" s="1"/>
  <c r="Q683" i="1"/>
  <c r="T683" i="1" s="1"/>
  <c r="P486" i="1"/>
  <c r="Q795" i="1"/>
  <c r="T795" i="1" s="1"/>
  <c r="P536" i="1"/>
  <c r="P138" i="1"/>
  <c r="P226" i="1"/>
  <c r="Q345" i="1"/>
  <c r="T345" i="1" s="1"/>
  <c r="P98" i="1"/>
  <c r="Q124" i="1"/>
  <c r="T124" i="1" s="1"/>
  <c r="P104" i="1"/>
  <c r="Q423" i="1"/>
  <c r="T423" i="1" s="1"/>
  <c r="Q98" i="1"/>
  <c r="T98" i="1" s="1"/>
  <c r="Q288" i="1"/>
  <c r="T288" i="1" s="1"/>
  <c r="P225" i="1"/>
  <c r="P760" i="1"/>
  <c r="Q287" i="1"/>
  <c r="T287" i="1" s="1"/>
  <c r="P586" i="1"/>
  <c r="P645" i="1"/>
  <c r="P11" i="1"/>
  <c r="Q138" i="1"/>
  <c r="T138" i="1" s="1"/>
  <c r="Q137" i="1"/>
  <c r="T137" i="1" s="1"/>
  <c r="P124" i="1"/>
  <c r="Q760" i="1"/>
  <c r="T760" i="1" s="1"/>
  <c r="Q422" i="1"/>
  <c r="T422" i="1" s="1"/>
  <c r="P636" i="1"/>
  <c r="P103" i="1"/>
  <c r="Q97" i="1"/>
  <c r="T97" i="1" s="1"/>
  <c r="Q11" i="1"/>
  <c r="T11" i="1" s="1"/>
  <c r="Q226" i="1"/>
  <c r="T226" i="1" s="1"/>
  <c r="P609" i="1"/>
  <c r="Q104" i="1"/>
  <c r="T104" i="1" s="1"/>
  <c r="P423" i="1"/>
  <c r="Q157" i="1"/>
  <c r="T157" i="1" s="1"/>
  <c r="P548" i="1"/>
  <c r="Q344" i="1"/>
  <c r="T344" i="1" s="1"/>
  <c r="P288" i="1"/>
  <c r="P422" i="1"/>
  <c r="Q586" i="1"/>
  <c r="T586" i="1" s="1"/>
  <c r="P30" i="1"/>
  <c r="P298" i="1"/>
  <c r="Q225" i="1"/>
  <c r="T225" i="1" s="1"/>
  <c r="Q636" i="1"/>
  <c r="T636" i="1" s="1"/>
  <c r="Q585" i="1"/>
  <c r="T585" i="1" s="1"/>
  <c r="P287" i="1"/>
  <c r="Q515" i="1"/>
  <c r="T515" i="1" s="1"/>
  <c r="Q68" i="1"/>
  <c r="T68" i="1" s="1"/>
  <c r="P344" i="1"/>
  <c r="Q645" i="1"/>
  <c r="T645" i="1" s="1"/>
  <c r="Q30" i="1"/>
  <c r="T30" i="1" s="1"/>
  <c r="Q298" i="1"/>
  <c r="T298" i="1" s="1"/>
  <c r="Q181" i="1"/>
  <c r="T181" i="1" s="1"/>
  <c r="P515" i="1"/>
  <c r="P68" i="1"/>
  <c r="Q150" i="1"/>
  <c r="T150" i="1" s="1"/>
  <c r="Q29" i="1"/>
  <c r="T29" i="1" s="1"/>
  <c r="Q28" i="1"/>
  <c r="T28" i="1" s="1"/>
  <c r="Q609" i="1"/>
  <c r="T609" i="1" s="1"/>
  <c r="P97" i="1"/>
  <c r="P181" i="1"/>
  <c r="Q135" i="1"/>
  <c r="T135" i="1" s="1"/>
  <c r="Q797" i="1"/>
  <c r="T797" i="1" s="1"/>
  <c r="P150" i="1"/>
  <c r="P29" i="1"/>
  <c r="P585" i="1"/>
  <c r="Q136" i="1"/>
  <c r="T136" i="1" s="1"/>
  <c r="Q514" i="1"/>
  <c r="T514" i="1" s="1"/>
  <c r="Q92" i="1"/>
  <c r="T92" i="1" s="1"/>
  <c r="P136" i="1"/>
  <c r="P345" i="1"/>
  <c r="P157" i="1"/>
  <c r="Q103" i="1"/>
  <c r="T103" i="1" s="1"/>
  <c r="P135" i="1"/>
  <c r="P797" i="1"/>
  <c r="P137" i="1"/>
  <c r="Q548" i="1"/>
  <c r="T548" i="1" s="1"/>
  <c r="Q305" i="1"/>
  <c r="T305" i="1" s="1"/>
  <c r="P28" i="1"/>
  <c r="P92" i="1"/>
  <c r="P514" i="1"/>
  <c r="P305" i="1"/>
  <c r="P672" i="1"/>
  <c r="Q165" i="1"/>
  <c r="T165" i="1" s="1"/>
  <c r="P800" i="1"/>
  <c r="P165" i="1"/>
  <c r="Q613" i="1"/>
  <c r="T613" i="1" s="1"/>
  <c r="P613" i="1"/>
  <c r="Q800" i="1"/>
  <c r="T800" i="1" s="1"/>
  <c r="Q672" i="1"/>
  <c r="T672" i="1" s="1"/>
  <c r="R637" i="1"/>
  <c r="R46" i="1"/>
  <c r="R648" i="1"/>
  <c r="R126" i="1"/>
  <c r="R184" i="1"/>
  <c r="R651" i="1"/>
  <c r="R634" i="1"/>
  <c r="R698" i="1"/>
  <c r="R229" i="1"/>
  <c r="R228" i="1"/>
  <c r="R347" i="1"/>
  <c r="R610" i="1"/>
  <c r="R307" i="1"/>
  <c r="R427" i="1"/>
  <c r="R693" i="1"/>
  <c r="R692" i="1"/>
  <c r="R424" i="1"/>
  <c r="R484" i="1"/>
  <c r="R804" i="1"/>
  <c r="R227" i="1"/>
  <c r="R428" i="1"/>
  <c r="R120" i="1"/>
  <c r="R632" i="1"/>
  <c r="R666" i="1"/>
  <c r="R44" i="1"/>
  <c r="R426" i="1"/>
  <c r="R476" i="1"/>
  <c r="R694" i="1"/>
  <c r="R633" i="1"/>
  <c r="R183" i="1"/>
  <c r="R544" i="1"/>
  <c r="R803" i="1"/>
  <c r="R45" i="1"/>
  <c r="R696" i="1"/>
  <c r="R646" i="1"/>
  <c r="R69" i="1"/>
  <c r="R346" i="1"/>
  <c r="R306" i="1"/>
  <c r="R697" i="1"/>
  <c r="R477" i="1"/>
  <c r="R691" i="1"/>
  <c r="R496" i="1"/>
  <c r="R425" i="1"/>
  <c r="R695" i="1"/>
  <c r="R434" i="1"/>
  <c r="R354" i="1"/>
  <c r="R232" i="1"/>
  <c r="R743" i="1"/>
  <c r="R231" i="1"/>
  <c r="R55" i="1"/>
  <c r="R52" i="1"/>
  <c r="R705" i="1"/>
  <c r="R145" i="1"/>
  <c r="R706" i="1"/>
  <c r="R196" i="1"/>
  <c r="R540" i="1"/>
  <c r="R54" i="1"/>
  <c r="R440" i="1"/>
  <c r="R701" i="1"/>
  <c r="R403" i="1"/>
  <c r="R401" i="1"/>
  <c r="R704" i="1"/>
  <c r="R702" i="1"/>
  <c r="R402" i="1"/>
  <c r="R377" i="1"/>
  <c r="R703" i="1"/>
  <c r="R281" i="1"/>
  <c r="R53" i="1"/>
  <c r="Q82" i="1"/>
  <c r="T82" i="1" s="1"/>
  <c r="P82" i="1"/>
  <c r="Q466" i="1"/>
  <c r="T466" i="1" s="1"/>
  <c r="P466" i="1"/>
  <c r="Q126" i="1"/>
  <c r="T126" i="1" s="1"/>
  <c r="Q666" i="1"/>
  <c r="T666" i="1" s="1"/>
  <c r="P45" i="1"/>
  <c r="P184" i="1"/>
  <c r="P44" i="1"/>
  <c r="Q637" i="1"/>
  <c r="T637" i="1" s="1"/>
  <c r="P46" i="1"/>
  <c r="Q45" i="1"/>
  <c r="T45" i="1" s="1"/>
  <c r="Q484" i="1"/>
  <c r="T484" i="1" s="1"/>
  <c r="P697" i="1"/>
  <c r="P307" i="1"/>
  <c r="Q696" i="1"/>
  <c r="T696" i="1" s="1"/>
  <c r="Q804" i="1"/>
  <c r="T804" i="1" s="1"/>
  <c r="Q184" i="1"/>
  <c r="T184" i="1" s="1"/>
  <c r="Q648" i="1"/>
  <c r="T648" i="1" s="1"/>
  <c r="Q651" i="1"/>
  <c r="T651" i="1" s="1"/>
  <c r="P484" i="1"/>
  <c r="Q634" i="1"/>
  <c r="T634" i="1" s="1"/>
  <c r="Q698" i="1"/>
  <c r="T698" i="1" s="1"/>
  <c r="P696" i="1"/>
  <c r="Q229" i="1"/>
  <c r="T229" i="1" s="1"/>
  <c r="P804" i="1"/>
  <c r="Q228" i="1"/>
  <c r="T228" i="1" s="1"/>
  <c r="P646" i="1"/>
  <c r="P126" i="1"/>
  <c r="P648" i="1"/>
  <c r="P651" i="1"/>
  <c r="P634" i="1"/>
  <c r="Q347" i="1"/>
  <c r="T347" i="1" s="1"/>
  <c r="P229" i="1"/>
  <c r="Q610" i="1"/>
  <c r="T610" i="1" s="1"/>
  <c r="Q646" i="1"/>
  <c r="T646" i="1" s="1"/>
  <c r="P477" i="1"/>
  <c r="Q69" i="1"/>
  <c r="T69" i="1" s="1"/>
  <c r="P426" i="1"/>
  <c r="P803" i="1"/>
  <c r="Q695" i="1"/>
  <c r="T695" i="1" s="1"/>
  <c r="Q346" i="1"/>
  <c r="T346" i="1" s="1"/>
  <c r="Q306" i="1"/>
  <c r="T306" i="1" s="1"/>
  <c r="P476" i="1"/>
  <c r="Q425" i="1"/>
  <c r="T425" i="1" s="1"/>
  <c r="P694" i="1"/>
  <c r="P691" i="1"/>
  <c r="P633" i="1"/>
  <c r="P496" i="1"/>
  <c r="P183" i="1"/>
  <c r="P637" i="1"/>
  <c r="Q46" i="1"/>
  <c r="T46" i="1" s="1"/>
  <c r="P347" i="1"/>
  <c r="Q307" i="1"/>
  <c r="T307" i="1" s="1"/>
  <c r="P610" i="1"/>
  <c r="Q427" i="1"/>
  <c r="T427" i="1" s="1"/>
  <c r="P69" i="1"/>
  <c r="P695" i="1"/>
  <c r="P346" i="1"/>
  <c r="P306" i="1"/>
  <c r="P425" i="1"/>
  <c r="Q693" i="1"/>
  <c r="T693" i="1" s="1"/>
  <c r="Q692" i="1"/>
  <c r="T692" i="1" s="1"/>
  <c r="Q424" i="1"/>
  <c r="T424" i="1" s="1"/>
  <c r="P228" i="1"/>
  <c r="Q428" i="1"/>
  <c r="T428" i="1" s="1"/>
  <c r="P427" i="1"/>
  <c r="P692" i="1"/>
  <c r="P424" i="1"/>
  <c r="Q632" i="1"/>
  <c r="T632" i="1" s="1"/>
  <c r="Q227" i="1"/>
  <c r="T227" i="1" s="1"/>
  <c r="Q120" i="1"/>
  <c r="T120" i="1" s="1"/>
  <c r="P544" i="1"/>
  <c r="P227" i="1"/>
  <c r="Q477" i="1"/>
  <c r="T477" i="1" s="1"/>
  <c r="P666" i="1"/>
  <c r="Q44" i="1"/>
  <c r="T44" i="1" s="1"/>
  <c r="P428" i="1"/>
  <c r="Q426" i="1"/>
  <c r="T426" i="1" s="1"/>
  <c r="Q476" i="1"/>
  <c r="T476" i="1" s="1"/>
  <c r="Q694" i="1"/>
  <c r="T694" i="1" s="1"/>
  <c r="Q633" i="1"/>
  <c r="T633" i="1" s="1"/>
  <c r="P632" i="1"/>
  <c r="Q183" i="1"/>
  <c r="T183" i="1" s="1"/>
  <c r="Q544" i="1"/>
  <c r="T544" i="1" s="1"/>
  <c r="P698" i="1"/>
  <c r="P693" i="1"/>
  <c r="Q697" i="1"/>
  <c r="T697" i="1" s="1"/>
  <c r="Q691" i="1"/>
  <c r="T691" i="1" s="1"/>
  <c r="P120" i="1"/>
  <c r="Q496" i="1"/>
  <c r="T496" i="1" s="1"/>
  <c r="Q803" i="1"/>
  <c r="T803" i="1" s="1"/>
  <c r="Q283" i="1"/>
  <c r="T283" i="1" s="1"/>
  <c r="P283" i="1"/>
  <c r="P450" i="1"/>
  <c r="Q450" i="1"/>
  <c r="T450" i="1" s="1"/>
  <c r="Q607" i="1"/>
  <c r="T607" i="1" s="1"/>
  <c r="P8" i="1"/>
  <c r="P607" i="1"/>
  <c r="Q316" i="1"/>
  <c r="T316" i="1" s="1"/>
  <c r="Q8" i="1"/>
  <c r="T8" i="1" s="1"/>
  <c r="P316" i="1"/>
  <c r="P619" i="1"/>
  <c r="Q619" i="1"/>
  <c r="T619" i="1" s="1"/>
  <c r="Q376" i="1"/>
  <c r="T376" i="1" s="1"/>
  <c r="Q248" i="1"/>
  <c r="T248" i="1" s="1"/>
  <c r="P195" i="1"/>
  <c r="Q624" i="1"/>
  <c r="T624" i="1" s="1"/>
  <c r="P385" i="1"/>
  <c r="Q51" i="1"/>
  <c r="T51" i="1" s="1"/>
  <c r="P644" i="1"/>
  <c r="Q50" i="1"/>
  <c r="T50" i="1" s="1"/>
  <c r="P129" i="1"/>
  <c r="Q438" i="1"/>
  <c r="T438" i="1" s="1"/>
  <c r="P765" i="1"/>
  <c r="P618" i="1"/>
  <c r="Q195" i="1"/>
  <c r="T195" i="1" s="1"/>
  <c r="Q296" i="1"/>
  <c r="T296" i="1" s="1"/>
  <c r="P315" i="1"/>
  <c r="P624" i="1"/>
  <c r="Q375" i="1"/>
  <c r="T375" i="1" s="1"/>
  <c r="P374" i="1"/>
  <c r="Q373" i="1"/>
  <c r="T373" i="1" s="1"/>
  <c r="P50" i="1"/>
  <c r="Q77" i="1"/>
  <c r="T77" i="1" s="1"/>
  <c r="Q116" i="1"/>
  <c r="T116" i="1" s="1"/>
  <c r="Q371" i="1"/>
  <c r="T371" i="1" s="1"/>
  <c r="Q679" i="1"/>
  <c r="T679" i="1" s="1"/>
  <c r="Q569" i="1"/>
  <c r="T569" i="1" s="1"/>
  <c r="Q614" i="1"/>
  <c r="T614" i="1" s="1"/>
  <c r="P439" i="1"/>
  <c r="P248" i="1"/>
  <c r="P375" i="1"/>
  <c r="P373" i="1"/>
  <c r="Q49" i="1"/>
  <c r="T49" i="1" s="1"/>
  <c r="P117" i="1"/>
  <c r="P19" i="1"/>
  <c r="P77" i="1"/>
  <c r="Q144" i="1"/>
  <c r="T144" i="1" s="1"/>
  <c r="P116" i="1"/>
  <c r="Q315" i="1"/>
  <c r="T315" i="1" s="1"/>
  <c r="Q280" i="1"/>
  <c r="T280" i="1" s="1"/>
  <c r="Q385" i="1"/>
  <c r="T385" i="1" s="1"/>
  <c r="P51" i="1"/>
  <c r="Q161" i="1"/>
  <c r="T161" i="1" s="1"/>
  <c r="P372" i="1"/>
  <c r="P49" i="1"/>
  <c r="P144" i="1"/>
  <c r="Q128" i="1"/>
  <c r="T128" i="1" s="1"/>
  <c r="P679" i="1"/>
  <c r="Q246" i="1"/>
  <c r="T246" i="1" s="1"/>
  <c r="P569" i="1"/>
  <c r="Q568" i="1"/>
  <c r="T568" i="1" s="1"/>
  <c r="P678" i="1"/>
  <c r="Q143" i="1"/>
  <c r="T143" i="1" s="1"/>
  <c r="Q242" i="1"/>
  <c r="T242" i="1" s="1"/>
  <c r="Q805" i="1"/>
  <c r="T805" i="1" s="1"/>
  <c r="Q114" i="1"/>
  <c r="T114" i="1" s="1"/>
  <c r="Q241" i="1"/>
  <c r="T241" i="1" s="1"/>
  <c r="Q194" i="1"/>
  <c r="T194" i="1" s="1"/>
  <c r="Q369" i="1"/>
  <c r="T369" i="1" s="1"/>
  <c r="P491" i="1"/>
  <c r="P567" i="1"/>
  <c r="Q240" i="1"/>
  <c r="T240" i="1" s="1"/>
  <c r="Q618" i="1"/>
  <c r="T618" i="1" s="1"/>
  <c r="P280" i="1"/>
  <c r="Q644" i="1"/>
  <c r="T644" i="1" s="1"/>
  <c r="P438" i="1"/>
  <c r="P128" i="1"/>
  <c r="Q279" i="1"/>
  <c r="T279" i="1" s="1"/>
  <c r="P246" i="1"/>
  <c r="Q245" i="1"/>
  <c r="T245" i="1" s="1"/>
  <c r="P568" i="1"/>
  <c r="Q534" i="1"/>
  <c r="T534" i="1" s="1"/>
  <c r="Q508" i="1"/>
  <c r="T508" i="1" s="1"/>
  <c r="P143" i="1"/>
  <c r="P242" i="1"/>
  <c r="P805" i="1"/>
  <c r="P114" i="1"/>
  <c r="P241" i="1"/>
  <c r="Q533" i="1"/>
  <c r="T533" i="1" s="1"/>
  <c r="P194" i="1"/>
  <c r="P369" i="1"/>
  <c r="Q368" i="1"/>
  <c r="T368" i="1" s="1"/>
  <c r="Q768" i="1"/>
  <c r="T768" i="1" s="1"/>
  <c r="P240" i="1"/>
  <c r="P566" i="1"/>
  <c r="P296" i="1"/>
  <c r="Q374" i="1"/>
  <c r="T374" i="1" s="1"/>
  <c r="Q129" i="1"/>
  <c r="T129" i="1" s="1"/>
  <c r="Q372" i="1"/>
  <c r="T372" i="1" s="1"/>
  <c r="Q247" i="1"/>
  <c r="T247" i="1" s="1"/>
  <c r="Q48" i="1"/>
  <c r="T48" i="1" s="1"/>
  <c r="P245" i="1"/>
  <c r="Q244" i="1"/>
  <c r="T244" i="1" s="1"/>
  <c r="Q243" i="1"/>
  <c r="T243" i="1" s="1"/>
  <c r="Q141" i="1"/>
  <c r="T141" i="1" s="1"/>
  <c r="P368" i="1"/>
  <c r="Q519" i="1"/>
  <c r="T519" i="1" s="1"/>
  <c r="P768" i="1"/>
  <c r="Q239" i="1"/>
  <c r="T239" i="1" s="1"/>
  <c r="P518" i="1"/>
  <c r="Q113" i="1"/>
  <c r="T113" i="1" s="1"/>
  <c r="P677" i="1"/>
  <c r="Q208" i="1"/>
  <c r="T208" i="1" s="1"/>
  <c r="Q314" i="1"/>
  <c r="T314" i="1" s="1"/>
  <c r="Q367" i="1"/>
  <c r="T367" i="1" s="1"/>
  <c r="Q313" i="1"/>
  <c r="T313" i="1" s="1"/>
  <c r="P193" i="1"/>
  <c r="Q517" i="1"/>
  <c r="T517" i="1" s="1"/>
  <c r="P312" i="1"/>
  <c r="Q596" i="1"/>
  <c r="T596" i="1" s="1"/>
  <c r="Q365" i="1"/>
  <c r="T365" i="1" s="1"/>
  <c r="P511" i="1"/>
  <c r="Q18" i="1"/>
  <c r="T18" i="1" s="1"/>
  <c r="P238" i="1"/>
  <c r="P700" i="1"/>
  <c r="P565" i="1"/>
  <c r="P276" i="1"/>
  <c r="P236" i="1"/>
  <c r="Q275" i="1"/>
  <c r="T275" i="1" s="1"/>
  <c r="P361" i="1"/>
  <c r="Q235" i="1"/>
  <c r="T235" i="1" s="1"/>
  <c r="P792" i="1"/>
  <c r="Q234" i="1"/>
  <c r="T234" i="1" s="1"/>
  <c r="Q309" i="1"/>
  <c r="T309" i="1" s="1"/>
  <c r="Q573" i="1"/>
  <c r="T573" i="1" s="1"/>
  <c r="Q791" i="1"/>
  <c r="T791" i="1" s="1"/>
  <c r="Q799" i="1"/>
  <c r="T799" i="1" s="1"/>
  <c r="P639" i="1"/>
  <c r="P90" i="1"/>
  <c r="P189" i="1"/>
  <c r="Q112" i="1"/>
  <c r="T112" i="1" s="1"/>
  <c r="Q503" i="1"/>
  <c r="T503" i="1" s="1"/>
  <c r="Q273" i="1"/>
  <c r="T273" i="1" s="1"/>
  <c r="P516" i="1"/>
  <c r="Q188" i="1"/>
  <c r="T188" i="1" s="1"/>
  <c r="P270" i="1"/>
  <c r="Q458" i="1"/>
  <c r="T458" i="1" s="1"/>
  <c r="Q564" i="1"/>
  <c r="T564" i="1" s="1"/>
  <c r="P186" i="1"/>
  <c r="Q739" i="1"/>
  <c r="T739" i="1" s="1"/>
  <c r="Q439" i="1"/>
  <c r="T439" i="1" s="1"/>
  <c r="Q19" i="1"/>
  <c r="T19" i="1" s="1"/>
  <c r="P247" i="1"/>
  <c r="P48" i="1"/>
  <c r="Q678" i="1"/>
  <c r="T678" i="1" s="1"/>
  <c r="P244" i="1"/>
  <c r="P243" i="1"/>
  <c r="P141" i="1"/>
  <c r="P519" i="1"/>
  <c r="Q567" i="1"/>
  <c r="T567" i="1" s="1"/>
  <c r="P239" i="1"/>
  <c r="P113" i="1"/>
  <c r="Q389" i="1"/>
  <c r="T389" i="1" s="1"/>
  <c r="P208" i="1"/>
  <c r="P314" i="1"/>
  <c r="Q10" i="1"/>
  <c r="T10" i="1" s="1"/>
  <c r="Q605" i="1"/>
  <c r="T605" i="1" s="1"/>
  <c r="P367" i="1"/>
  <c r="Q152" i="1"/>
  <c r="T152" i="1" s="1"/>
  <c r="P313" i="1"/>
  <c r="P517" i="1"/>
  <c r="Q366" i="1"/>
  <c r="T366" i="1" s="1"/>
  <c r="P596" i="1"/>
  <c r="Q76" i="1"/>
  <c r="T76" i="1" s="1"/>
  <c r="Q278" i="1"/>
  <c r="T278" i="1" s="1"/>
  <c r="Q676" i="1"/>
  <c r="T676" i="1" s="1"/>
  <c r="P365" i="1"/>
  <c r="Q478" i="1"/>
  <c r="T478" i="1" s="1"/>
  <c r="Q781" i="1"/>
  <c r="T781" i="1" s="1"/>
  <c r="Q37" i="1"/>
  <c r="T37" i="1" s="1"/>
  <c r="Q277" i="1"/>
  <c r="T277" i="1" s="1"/>
  <c r="Q364" i="1"/>
  <c r="T364" i="1" s="1"/>
  <c r="P18" i="1"/>
  <c r="Q363" i="1"/>
  <c r="T363" i="1" s="1"/>
  <c r="Q237" i="1"/>
  <c r="T237" i="1" s="1"/>
  <c r="Q310" i="1"/>
  <c r="T310" i="1" s="1"/>
  <c r="Q631" i="1"/>
  <c r="T631" i="1" s="1"/>
  <c r="Q192" i="1"/>
  <c r="T192" i="1" s="1"/>
  <c r="Q191" i="1"/>
  <c r="T191" i="1" s="1"/>
  <c r="P275" i="1"/>
  <c r="P235" i="1"/>
  <c r="P234" i="1"/>
  <c r="P309" i="1"/>
  <c r="Q574" i="1"/>
  <c r="T574" i="1" s="1"/>
  <c r="P573" i="1"/>
  <c r="Q308" i="1"/>
  <c r="T308" i="1" s="1"/>
  <c r="Q190" i="1"/>
  <c r="T190" i="1" s="1"/>
  <c r="P791" i="1"/>
  <c r="Q233" i="1"/>
  <c r="T233" i="1" s="1"/>
  <c r="P799" i="1"/>
  <c r="P112" i="1"/>
  <c r="P503" i="1"/>
  <c r="Q274" i="1"/>
  <c r="T274" i="1" s="1"/>
  <c r="P273" i="1"/>
  <c r="Q94" i="1"/>
  <c r="T94" i="1" s="1"/>
  <c r="P188" i="1"/>
  <c r="Q16" i="1"/>
  <c r="T16" i="1" s="1"/>
  <c r="Q674" i="1"/>
  <c r="T674" i="1" s="1"/>
  <c r="Q531" i="1"/>
  <c r="T531" i="1" s="1"/>
  <c r="Q397" i="1"/>
  <c r="T397" i="1" s="1"/>
  <c r="P458" i="1"/>
  <c r="P564" i="1"/>
  <c r="P739" i="1"/>
  <c r="P279" i="1"/>
  <c r="Q142" i="1"/>
  <c r="T142" i="1" s="1"/>
  <c r="P533" i="1"/>
  <c r="P389" i="1"/>
  <c r="P10" i="1"/>
  <c r="P152" i="1"/>
  <c r="Q598" i="1"/>
  <c r="T598" i="1" s="1"/>
  <c r="Q641" i="1"/>
  <c r="T641" i="1" s="1"/>
  <c r="P76" i="1"/>
  <c r="Q640" i="1"/>
  <c r="T640" i="1" s="1"/>
  <c r="P278" i="1"/>
  <c r="P478" i="1"/>
  <c r="P781" i="1"/>
  <c r="P37" i="1"/>
  <c r="P277" i="1"/>
  <c r="Q793" i="1"/>
  <c r="T793" i="1" s="1"/>
  <c r="P363" i="1"/>
  <c r="P237" i="1"/>
  <c r="P631" i="1"/>
  <c r="Q675" i="1"/>
  <c r="T675" i="1" s="1"/>
  <c r="P574" i="1"/>
  <c r="P308" i="1"/>
  <c r="P233" i="1"/>
  <c r="Q658" i="1"/>
  <c r="T658" i="1" s="1"/>
  <c r="P274" i="1"/>
  <c r="P94" i="1"/>
  <c r="Q356" i="1"/>
  <c r="T356" i="1" s="1"/>
  <c r="P674" i="1"/>
  <c r="Q398" i="1"/>
  <c r="T398" i="1" s="1"/>
  <c r="P531" i="1"/>
  <c r="Q187" i="1"/>
  <c r="T187" i="1" s="1"/>
  <c r="P397" i="1"/>
  <c r="Q779" i="1"/>
  <c r="T779" i="1" s="1"/>
  <c r="Q396" i="1"/>
  <c r="T396" i="1" s="1"/>
  <c r="P539" i="1"/>
  <c r="Q754" i="1"/>
  <c r="T754" i="1" s="1"/>
  <c r="Q269" i="1"/>
  <c r="T269" i="1" s="1"/>
  <c r="Q788" i="1"/>
  <c r="T788" i="1" s="1"/>
  <c r="Q154" i="1"/>
  <c r="T154" i="1" s="1"/>
  <c r="Q437" i="1"/>
  <c r="T437" i="1" s="1"/>
  <c r="Q566" i="1"/>
  <c r="T566" i="1" s="1"/>
  <c r="Q84" i="1"/>
  <c r="T84" i="1" s="1"/>
  <c r="Q597" i="1"/>
  <c r="T597" i="1" s="1"/>
  <c r="P366" i="1"/>
  <c r="P676" i="1"/>
  <c r="Q160" i="1"/>
  <c r="T160" i="1" s="1"/>
  <c r="Q293" i="1"/>
  <c r="T293" i="1" s="1"/>
  <c r="P364" i="1"/>
  <c r="P310" i="1"/>
  <c r="Q362" i="1"/>
  <c r="T362" i="1" s="1"/>
  <c r="P191" i="1"/>
  <c r="P16" i="1"/>
  <c r="Q355" i="1"/>
  <c r="T355" i="1" s="1"/>
  <c r="P673" i="1"/>
  <c r="Q744" i="1"/>
  <c r="T744" i="1" s="1"/>
  <c r="P371" i="1"/>
  <c r="P370" i="1"/>
  <c r="P154" i="1"/>
  <c r="P437" i="1"/>
  <c r="Q491" i="1"/>
  <c r="T491" i="1" s="1"/>
  <c r="Q518" i="1"/>
  <c r="T518" i="1" s="1"/>
  <c r="P84" i="1"/>
  <c r="P597" i="1"/>
  <c r="Q117" i="1"/>
  <c r="T117" i="1" s="1"/>
  <c r="P142" i="1"/>
  <c r="P598" i="1"/>
  <c r="P641" i="1"/>
  <c r="P640" i="1"/>
  <c r="Q511" i="1"/>
  <c r="T511" i="1" s="1"/>
  <c r="P793" i="1"/>
  <c r="Q238" i="1"/>
  <c r="T238" i="1" s="1"/>
  <c r="Q565" i="1"/>
  <c r="T565" i="1" s="1"/>
  <c r="Q361" i="1"/>
  <c r="T361" i="1" s="1"/>
  <c r="P675" i="1"/>
  <c r="Q792" i="1"/>
  <c r="T792" i="1" s="1"/>
  <c r="Q90" i="1"/>
  <c r="T90" i="1" s="1"/>
  <c r="P658" i="1"/>
  <c r="P356" i="1"/>
  <c r="P398" i="1"/>
  <c r="P187" i="1"/>
  <c r="Q186" i="1"/>
  <c r="T186" i="1" s="1"/>
  <c r="P779" i="1"/>
  <c r="P396" i="1"/>
  <c r="Q673" i="1"/>
  <c r="T673" i="1" s="1"/>
  <c r="P754" i="1"/>
  <c r="P269" i="1"/>
  <c r="P788" i="1"/>
  <c r="Q765" i="1"/>
  <c r="T765" i="1" s="1"/>
  <c r="Q370" i="1"/>
  <c r="T370" i="1" s="1"/>
  <c r="P614" i="1"/>
  <c r="P534" i="1"/>
  <c r="P508" i="1"/>
  <c r="Q115" i="1"/>
  <c r="T115" i="1" s="1"/>
  <c r="P605" i="1"/>
  <c r="Q559" i="1"/>
  <c r="T559" i="1" s="1"/>
  <c r="Q311" i="1"/>
  <c r="T311" i="1" s="1"/>
  <c r="P192" i="1"/>
  <c r="P190" i="1"/>
  <c r="Q558" i="1"/>
  <c r="T558" i="1" s="1"/>
  <c r="Q789" i="1"/>
  <c r="T789" i="1" s="1"/>
  <c r="Q755" i="1"/>
  <c r="T755" i="1" s="1"/>
  <c r="P161" i="1"/>
  <c r="P115" i="1"/>
  <c r="Q677" i="1"/>
  <c r="T677" i="1" s="1"/>
  <c r="P559" i="1"/>
  <c r="Q193" i="1"/>
  <c r="T193" i="1" s="1"/>
  <c r="P293" i="1"/>
  <c r="P362" i="1"/>
  <c r="P355" i="1"/>
  <c r="Q236" i="1"/>
  <c r="T236" i="1" s="1"/>
  <c r="Q189" i="1"/>
  <c r="T189" i="1" s="1"/>
  <c r="Q270" i="1"/>
  <c r="T270" i="1" s="1"/>
  <c r="P160" i="1"/>
  <c r="Q639" i="1"/>
  <c r="T639" i="1" s="1"/>
  <c r="Q276" i="1"/>
  <c r="T276" i="1" s="1"/>
  <c r="P558" i="1"/>
  <c r="P789" i="1"/>
  <c r="Q539" i="1"/>
  <c r="T539" i="1" s="1"/>
  <c r="P744" i="1"/>
  <c r="P311" i="1"/>
  <c r="Q700" i="1"/>
  <c r="T700" i="1" s="1"/>
  <c r="Q312" i="1"/>
  <c r="T312" i="1" s="1"/>
  <c r="Q516" i="1"/>
  <c r="T516" i="1" s="1"/>
  <c r="P755" i="1"/>
  <c r="P434" i="1"/>
  <c r="Q434" i="1"/>
  <c r="T434" i="1" s="1"/>
  <c r="Q231" i="1"/>
  <c r="T231" i="1" s="1"/>
  <c r="P231" i="1"/>
  <c r="Q354" i="1"/>
  <c r="T354" i="1" s="1"/>
  <c r="P354" i="1"/>
  <c r="P743" i="1"/>
  <c r="Q743" i="1"/>
  <c r="T743" i="1" s="1"/>
  <c r="Q232" i="1"/>
  <c r="T232" i="1" s="1"/>
  <c r="P232" i="1"/>
  <c r="Q349" i="1"/>
  <c r="T349" i="1" s="1"/>
  <c r="Q655" i="1"/>
  <c r="T655" i="1" s="1"/>
  <c r="Q34" i="1"/>
  <c r="T34" i="1" s="1"/>
  <c r="P127" i="1"/>
  <c r="P656" i="1"/>
  <c r="P655" i="1"/>
  <c r="Q699" i="1"/>
  <c r="T699" i="1" s="1"/>
  <c r="P471" i="1"/>
  <c r="P299" i="1"/>
  <c r="Q33" i="1"/>
  <c r="T33" i="1" s="1"/>
  <c r="P801" i="1"/>
  <c r="Q802" i="1"/>
  <c r="T802" i="1" s="1"/>
  <c r="P349" i="1"/>
  <c r="Q127" i="1"/>
  <c r="T127" i="1" s="1"/>
  <c r="Q140" i="1"/>
  <c r="T140" i="1" s="1"/>
  <c r="P34" i="1"/>
  <c r="Q107" i="1"/>
  <c r="T107" i="1" s="1"/>
  <c r="P802" i="1"/>
  <c r="P300" i="1"/>
  <c r="Q139" i="1"/>
  <c r="T139" i="1" s="1"/>
  <c r="P638" i="1"/>
  <c r="P107" i="1"/>
  <c r="P699" i="1"/>
  <c r="P140" i="1"/>
  <c r="P33" i="1"/>
  <c r="P139" i="1"/>
  <c r="Q70" i="1"/>
  <c r="T70" i="1" s="1"/>
  <c r="P587" i="1"/>
  <c r="P798" i="1"/>
  <c r="Q300" i="1"/>
  <c r="T300" i="1" s="1"/>
  <c r="Q638" i="1"/>
  <c r="T638" i="1" s="1"/>
  <c r="P70" i="1"/>
  <c r="Q348" i="1"/>
  <c r="T348" i="1" s="1"/>
  <c r="Q471" i="1"/>
  <c r="T471" i="1" s="1"/>
  <c r="Q750" i="1"/>
  <c r="T750" i="1" s="1"/>
  <c r="Q106" i="1"/>
  <c r="T106" i="1" s="1"/>
  <c r="Q801" i="1"/>
  <c r="T801" i="1" s="1"/>
  <c r="Q656" i="1"/>
  <c r="T656" i="1" s="1"/>
  <c r="Q587" i="1"/>
  <c r="T587" i="1" s="1"/>
  <c r="P750" i="1"/>
  <c r="Q798" i="1"/>
  <c r="T798" i="1" s="1"/>
  <c r="Q32" i="1"/>
  <c r="T32" i="1" s="1"/>
  <c r="P348" i="1"/>
  <c r="Q31" i="1"/>
  <c r="T31" i="1" s="1"/>
  <c r="Q299" i="1"/>
  <c r="T299" i="1" s="1"/>
  <c r="P106" i="1"/>
  <c r="P32" i="1"/>
  <c r="P31" i="1"/>
  <c r="P249" i="1"/>
  <c r="Q249" i="1"/>
  <c r="T249" i="1" s="1"/>
  <c r="P253" i="1"/>
  <c r="Q253" i="1"/>
  <c r="T253" i="1" s="1"/>
  <c r="P616" i="1"/>
  <c r="Q763" i="1"/>
  <c r="T763" i="1" s="1"/>
  <c r="Q550" i="1"/>
  <c r="T550" i="1" s="1"/>
  <c r="P550" i="1"/>
  <c r="P763" i="1"/>
  <c r="Q616" i="1"/>
  <c r="T616" i="1" s="1"/>
  <c r="P384" i="1"/>
  <c r="Q22" i="1"/>
  <c r="T22" i="1" s="1"/>
  <c r="Q446" i="1"/>
  <c r="T446" i="1" s="1"/>
  <c r="P22" i="1"/>
  <c r="Q384" i="1"/>
  <c r="T384" i="1" s="1"/>
  <c r="P810" i="1"/>
  <c r="P446" i="1"/>
  <c r="Q810" i="1"/>
  <c r="T810" i="1" s="1"/>
  <c r="Q732" i="1"/>
  <c r="T732" i="1" s="1"/>
  <c r="Q537" i="1"/>
  <c r="T537" i="1" s="1"/>
  <c r="P537" i="1"/>
  <c r="Q685" i="1"/>
  <c r="T685" i="1" s="1"/>
  <c r="P732" i="1"/>
  <c r="P685" i="1"/>
  <c r="Q410" i="1"/>
  <c r="T410" i="1" s="1"/>
  <c r="P410" i="1"/>
  <c r="Q56" i="1"/>
  <c r="T56" i="1" s="1"/>
  <c r="P643" i="1"/>
  <c r="P378" i="1"/>
  <c r="P56" i="1"/>
  <c r="Q643" i="1"/>
  <c r="T643" i="1" s="1"/>
  <c r="Q378" i="1"/>
  <c r="T378" i="1" s="1"/>
  <c r="Q254" i="1"/>
  <c r="T254" i="1" s="1"/>
  <c r="P254" i="1"/>
  <c r="P706" i="1"/>
  <c r="Q705" i="1"/>
  <c r="T705" i="1" s="1"/>
  <c r="P54" i="1"/>
  <c r="P53" i="1"/>
  <c r="P196" i="1"/>
  <c r="Q706" i="1"/>
  <c r="T706" i="1" s="1"/>
  <c r="Q53" i="1"/>
  <c r="T53" i="1" s="1"/>
  <c r="P55" i="1"/>
  <c r="Q54" i="1"/>
  <c r="T54" i="1" s="1"/>
  <c r="Q55" i="1"/>
  <c r="T55" i="1" s="1"/>
  <c r="Q704" i="1"/>
  <c r="T704" i="1" s="1"/>
  <c r="P703" i="1"/>
  <c r="Q702" i="1"/>
  <c r="T702" i="1" s="1"/>
  <c r="P705" i="1"/>
  <c r="P704" i="1"/>
  <c r="P702" i="1"/>
  <c r="Q145" i="1"/>
  <c r="T145" i="1" s="1"/>
  <c r="Q52" i="1"/>
  <c r="T52" i="1" s="1"/>
  <c r="P281" i="1"/>
  <c r="P52" i="1"/>
  <c r="Q440" i="1"/>
  <c r="T440" i="1" s="1"/>
  <c r="Q701" i="1"/>
  <c r="T701" i="1" s="1"/>
  <c r="Q403" i="1"/>
  <c r="T403" i="1" s="1"/>
  <c r="Q401" i="1"/>
  <c r="T401" i="1" s="1"/>
  <c r="Q196" i="1"/>
  <c r="T196" i="1" s="1"/>
  <c r="Q540" i="1"/>
  <c r="T540" i="1" s="1"/>
  <c r="P440" i="1"/>
  <c r="Q402" i="1"/>
  <c r="T402" i="1" s="1"/>
  <c r="P401" i="1"/>
  <c r="P145" i="1"/>
  <c r="Q377" i="1"/>
  <c r="T377" i="1" s="1"/>
  <c r="Q703" i="1"/>
  <c r="T703" i="1" s="1"/>
  <c r="P540" i="1"/>
  <c r="P402" i="1"/>
  <c r="P701" i="1"/>
  <c r="P403" i="1"/>
  <c r="Q281" i="1"/>
  <c r="T281" i="1" s="1"/>
  <c r="P377" i="1"/>
  <c r="Q6" i="1"/>
  <c r="T6" i="1" s="1"/>
  <c r="P6" i="1"/>
  <c r="Q740" i="1"/>
  <c r="T740" i="1" s="1"/>
  <c r="P740" i="1"/>
  <c r="P130" i="1"/>
  <c r="Q130" i="1"/>
  <c r="T130" i="1" s="1"/>
  <c r="Q59" i="1"/>
  <c r="T59" i="1" s="1"/>
  <c r="Q58" i="1"/>
  <c r="T58" i="1" s="1"/>
  <c r="Q203" i="1"/>
  <c r="T203" i="1" s="1"/>
  <c r="P57" i="1"/>
  <c r="Q649" i="1"/>
  <c r="T649" i="1" s="1"/>
  <c r="Q714" i="1"/>
  <c r="T714" i="1" s="1"/>
  <c r="Q459" i="1"/>
  <c r="T459" i="1" s="1"/>
  <c r="P61" i="1"/>
  <c r="Q60" i="1"/>
  <c r="T60" i="1" s="1"/>
  <c r="P59" i="1"/>
  <c r="Q453" i="1"/>
  <c r="T453" i="1" s="1"/>
  <c r="P649" i="1"/>
  <c r="Q652" i="1"/>
  <c r="T652" i="1" s="1"/>
  <c r="P319" i="1"/>
  <c r="P383" i="1"/>
  <c r="Q318" i="1"/>
  <c r="T318" i="1" s="1"/>
  <c r="P382" i="1"/>
  <c r="P452" i="1"/>
  <c r="P60" i="1"/>
  <c r="P459" i="1"/>
  <c r="P453" i="1"/>
  <c r="Q57" i="1"/>
  <c r="T57" i="1" s="1"/>
  <c r="P652" i="1"/>
  <c r="Q485" i="1"/>
  <c r="T485" i="1" s="1"/>
  <c r="Q713" i="1"/>
  <c r="T713" i="1" s="1"/>
  <c r="P318" i="1"/>
  <c r="P712" i="1"/>
  <c r="Q766" i="1"/>
  <c r="T766" i="1" s="1"/>
  <c r="P714" i="1"/>
  <c r="P485" i="1"/>
  <c r="Q146" i="1"/>
  <c r="T146" i="1" s="1"/>
  <c r="Q118" i="1"/>
  <c r="T118" i="1" s="1"/>
  <c r="P588" i="1"/>
  <c r="P381" i="1"/>
  <c r="Q479" i="1"/>
  <c r="T479" i="1" s="1"/>
  <c r="P379" i="1"/>
  <c r="Q711" i="1"/>
  <c r="T711" i="1" s="1"/>
  <c r="P121" i="1"/>
  <c r="Q202" i="1"/>
  <c r="T202" i="1" s="1"/>
  <c r="P201" i="1"/>
  <c r="P203" i="1"/>
  <c r="Q319" i="1"/>
  <c r="T319" i="1" s="1"/>
  <c r="P146" i="1"/>
  <c r="Q382" i="1"/>
  <c r="T382" i="1" s="1"/>
  <c r="Q712" i="1"/>
  <c r="T712" i="1" s="1"/>
  <c r="P766" i="1"/>
  <c r="P118" i="1"/>
  <c r="P479" i="1"/>
  <c r="P711" i="1"/>
  <c r="P202" i="1"/>
  <c r="Q61" i="1"/>
  <c r="T61" i="1" s="1"/>
  <c r="P58" i="1"/>
  <c r="Q380" i="1"/>
  <c r="T380" i="1" s="1"/>
  <c r="Q442" i="1"/>
  <c r="T442" i="1" s="1"/>
  <c r="Q710" i="1"/>
  <c r="T710" i="1" s="1"/>
  <c r="P545" i="1"/>
  <c r="Q383" i="1"/>
  <c r="T383" i="1" s="1"/>
  <c r="Q452" i="1"/>
  <c r="T452" i="1" s="1"/>
  <c r="Q381" i="1"/>
  <c r="T381" i="1" s="1"/>
  <c r="P380" i="1"/>
  <c r="P442" i="1"/>
  <c r="P710" i="1"/>
  <c r="Q121" i="1"/>
  <c r="T121" i="1" s="1"/>
  <c r="Q201" i="1"/>
  <c r="T201" i="1" s="1"/>
  <c r="Q545" i="1"/>
  <c r="T545" i="1" s="1"/>
  <c r="P713" i="1"/>
  <c r="Q441" i="1"/>
  <c r="T441" i="1" s="1"/>
  <c r="Q379" i="1"/>
  <c r="T379" i="1" s="1"/>
  <c r="P441" i="1"/>
  <c r="Q588" i="1"/>
  <c r="T588" i="1" s="1"/>
  <c r="P809" i="1"/>
  <c r="Q457" i="1"/>
  <c r="T457" i="1" s="1"/>
  <c r="P85" i="1"/>
  <c r="P481" i="1"/>
  <c r="P457" i="1"/>
  <c r="P771" i="1"/>
  <c r="Q761" i="1"/>
  <c r="T761" i="1" s="1"/>
  <c r="Q15" i="1"/>
  <c r="T15" i="1" s="1"/>
  <c r="Q432" i="1"/>
  <c r="T432" i="1" s="1"/>
  <c r="P761" i="1"/>
  <c r="P15" i="1"/>
  <c r="Q462" i="1"/>
  <c r="T462" i="1" s="1"/>
  <c r="P432" i="1"/>
  <c r="P462" i="1"/>
  <c r="Q481" i="1"/>
  <c r="T481" i="1" s="1"/>
  <c r="Q771" i="1"/>
  <c r="T771" i="1" s="1"/>
  <c r="Q809" i="1"/>
  <c r="T809" i="1" s="1"/>
  <c r="Q85" i="1"/>
  <c r="T85" i="1" s="1"/>
  <c r="P522" i="1"/>
  <c r="P599" i="1"/>
  <c r="Q650" i="1"/>
  <c r="T650" i="1" s="1"/>
  <c r="Q96" i="1"/>
  <c r="T96" i="1" s="1"/>
  <c r="P650" i="1"/>
  <c r="Q521" i="1"/>
  <c r="T521" i="1" s="1"/>
  <c r="Q599" i="1"/>
  <c r="T599" i="1" s="1"/>
  <c r="P96" i="1"/>
  <c r="Q522" i="1"/>
  <c r="T522" i="1" s="1"/>
  <c r="P521" i="1"/>
  <c r="P487" i="1"/>
  <c r="Q746" i="1"/>
  <c r="T746" i="1" s="1"/>
  <c r="P746" i="1"/>
  <c r="Q487" i="1"/>
  <c r="T487" i="1" s="1"/>
  <c r="R450" i="1"/>
  <c r="R316" i="1"/>
  <c r="R8" i="1"/>
  <c r="R607" i="1"/>
  <c r="R618" i="1"/>
  <c r="R439" i="1"/>
  <c r="R296" i="1"/>
  <c r="R280" i="1"/>
  <c r="R375" i="1"/>
  <c r="R49" i="1"/>
  <c r="R19" i="1"/>
  <c r="R77" i="1"/>
  <c r="R644" i="1"/>
  <c r="R438" i="1"/>
  <c r="R161" i="1"/>
  <c r="R144" i="1"/>
  <c r="R279" i="1"/>
  <c r="R48" i="1"/>
  <c r="R374" i="1"/>
  <c r="R129" i="1"/>
  <c r="R765" i="1"/>
  <c r="R372" i="1"/>
  <c r="R128" i="1"/>
  <c r="R376" i="1"/>
  <c r="R117" i="1"/>
  <c r="R195" i="1"/>
  <c r="R315" i="1"/>
  <c r="R51" i="1"/>
  <c r="R245" i="1"/>
  <c r="R534" i="1"/>
  <c r="R508" i="1"/>
  <c r="R533" i="1"/>
  <c r="R368" i="1"/>
  <c r="R768" i="1"/>
  <c r="R373" i="1"/>
  <c r="R50" i="1"/>
  <c r="R116" i="1"/>
  <c r="R247" i="1"/>
  <c r="R370" i="1"/>
  <c r="R614" i="1"/>
  <c r="R244" i="1"/>
  <c r="R243" i="1"/>
  <c r="R154" i="1"/>
  <c r="R142" i="1"/>
  <c r="R115" i="1"/>
  <c r="R141" i="1"/>
  <c r="R437" i="1"/>
  <c r="R519" i="1"/>
  <c r="R385" i="1"/>
  <c r="R678" i="1"/>
  <c r="R567" i="1"/>
  <c r="R389" i="1"/>
  <c r="R10" i="1"/>
  <c r="R605" i="1"/>
  <c r="R152" i="1"/>
  <c r="R366" i="1"/>
  <c r="R76" i="1"/>
  <c r="R278" i="1"/>
  <c r="R676" i="1"/>
  <c r="R478" i="1"/>
  <c r="R781" i="1"/>
  <c r="R37" i="1"/>
  <c r="R277" i="1"/>
  <c r="R364" i="1"/>
  <c r="R363" i="1"/>
  <c r="R237" i="1"/>
  <c r="R310" i="1"/>
  <c r="R631" i="1"/>
  <c r="R192" i="1"/>
  <c r="R191" i="1"/>
  <c r="R574" i="1"/>
  <c r="R308" i="1"/>
  <c r="R190" i="1"/>
  <c r="R233" i="1"/>
  <c r="R274" i="1"/>
  <c r="R94" i="1"/>
  <c r="R16" i="1"/>
  <c r="R674" i="1"/>
  <c r="R531" i="1"/>
  <c r="R397" i="1"/>
  <c r="R246" i="1"/>
  <c r="R569" i="1"/>
  <c r="R568" i="1"/>
  <c r="R143" i="1"/>
  <c r="R805" i="1"/>
  <c r="R241" i="1"/>
  <c r="R240" i="1"/>
  <c r="R566" i="1"/>
  <c r="R84" i="1"/>
  <c r="R559" i="1"/>
  <c r="R598" i="1"/>
  <c r="R597" i="1"/>
  <c r="R641" i="1"/>
  <c r="R640" i="1"/>
  <c r="R160" i="1"/>
  <c r="R293" i="1"/>
  <c r="R311" i="1"/>
  <c r="R793" i="1"/>
  <c r="R362" i="1"/>
  <c r="R675" i="1"/>
  <c r="R658" i="1"/>
  <c r="R558" i="1"/>
  <c r="R356" i="1"/>
  <c r="R398" i="1"/>
  <c r="R187" i="1"/>
  <c r="R355" i="1"/>
  <c r="R779" i="1"/>
  <c r="R396" i="1"/>
  <c r="R789" i="1"/>
  <c r="R624" i="1"/>
  <c r="R511" i="1"/>
  <c r="R238" i="1"/>
  <c r="R565" i="1"/>
  <c r="R361" i="1"/>
  <c r="R792" i="1"/>
  <c r="R90" i="1"/>
  <c r="R186" i="1"/>
  <c r="R673" i="1"/>
  <c r="R491" i="1"/>
  <c r="R518" i="1"/>
  <c r="R193" i="1"/>
  <c r="R700" i="1"/>
  <c r="R189" i="1"/>
  <c r="R270" i="1"/>
  <c r="R239" i="1"/>
  <c r="R208" i="1"/>
  <c r="R367" i="1"/>
  <c r="R679" i="1"/>
  <c r="R242" i="1"/>
  <c r="R194" i="1"/>
  <c r="R313" i="1"/>
  <c r="R517" i="1"/>
  <c r="R18" i="1"/>
  <c r="R235" i="1"/>
  <c r="R234" i="1"/>
  <c r="R573" i="1"/>
  <c r="R799" i="1"/>
  <c r="R503" i="1"/>
  <c r="R273" i="1"/>
  <c r="R564" i="1"/>
  <c r="R739" i="1"/>
  <c r="R755" i="1"/>
  <c r="R744" i="1"/>
  <c r="R371" i="1"/>
  <c r="R677" i="1"/>
  <c r="R312" i="1"/>
  <c r="R276" i="1"/>
  <c r="R236" i="1"/>
  <c r="R639" i="1"/>
  <c r="R516" i="1"/>
  <c r="R539" i="1"/>
  <c r="R248" i="1"/>
  <c r="R114" i="1"/>
  <c r="R369" i="1"/>
  <c r="R113" i="1"/>
  <c r="R314" i="1"/>
  <c r="R596" i="1"/>
  <c r="R309" i="1"/>
  <c r="R188" i="1"/>
  <c r="R269" i="1"/>
  <c r="R788" i="1"/>
  <c r="R458" i="1"/>
  <c r="R791" i="1"/>
  <c r="R365" i="1"/>
  <c r="R275" i="1"/>
  <c r="R112" i="1"/>
  <c r="R754" i="1"/>
  <c r="R34" i="1"/>
  <c r="R127" i="1"/>
  <c r="R656" i="1"/>
  <c r="R107" i="1"/>
  <c r="R140" i="1"/>
  <c r="R655" i="1"/>
  <c r="R699" i="1"/>
  <c r="R33" i="1"/>
  <c r="R349" i="1"/>
  <c r="R471" i="1"/>
  <c r="R300" i="1"/>
  <c r="R638" i="1"/>
  <c r="R348" i="1"/>
  <c r="R802" i="1"/>
  <c r="R106" i="1"/>
  <c r="R32" i="1"/>
  <c r="R750" i="1"/>
  <c r="R31" i="1"/>
  <c r="R587" i="1"/>
  <c r="R798" i="1"/>
  <c r="R139" i="1"/>
  <c r="R299" i="1"/>
  <c r="R801" i="1"/>
  <c r="R70" i="1"/>
  <c r="Q199" i="1"/>
  <c r="T199" i="1" s="1"/>
  <c r="P199" i="1"/>
  <c r="R550" i="1"/>
  <c r="R763" i="1"/>
  <c r="R616" i="1"/>
  <c r="R810" i="1"/>
  <c r="R22" i="1"/>
  <c r="R732" i="1"/>
  <c r="R384" i="1"/>
  <c r="R685" i="1"/>
  <c r="R446" i="1"/>
  <c r="R410" i="1"/>
  <c r="R537" i="1"/>
  <c r="R643" i="1"/>
  <c r="R378" i="1"/>
  <c r="R56" i="1"/>
  <c r="R448" i="1"/>
  <c r="R66" i="1"/>
  <c r="R304" i="1"/>
  <c r="R617" i="1"/>
  <c r="R388" i="1"/>
  <c r="R421" i="1"/>
  <c r="R42" i="1"/>
  <c r="R690" i="1"/>
  <c r="R770" i="1"/>
  <c r="R342" i="1"/>
  <c r="R102" i="1"/>
  <c r="R341" i="1"/>
  <c r="R223" i="1"/>
  <c r="R340" i="1"/>
  <c r="R630" i="1"/>
  <c r="R612" i="1"/>
  <c r="R563" i="1"/>
  <c r="R180" i="1"/>
  <c r="R343" i="1"/>
  <c r="R40" i="1"/>
  <c r="R122" i="1"/>
  <c r="R39" i="1"/>
  <c r="R622" i="1"/>
  <c r="R123" i="1"/>
  <c r="R134" i="1"/>
  <c r="R475" i="1"/>
  <c r="R420" i="1"/>
  <c r="R419" i="1"/>
  <c r="R221" i="1"/>
  <c r="R220" i="1"/>
  <c r="R153" i="1"/>
  <c r="R14" i="1"/>
  <c r="R132" i="1"/>
  <c r="R219" i="1"/>
  <c r="R418" i="1"/>
  <c r="R177" i="1"/>
  <c r="R179" i="1"/>
  <c r="R665" i="1"/>
  <c r="R629" i="1"/>
  <c r="R101" i="1"/>
  <c r="R526" i="1"/>
  <c r="R489" i="1"/>
  <c r="R178" i="1"/>
  <c r="R387" i="1"/>
  <c r="R224" i="1"/>
  <c r="R527" i="1"/>
  <c r="R339" i="1"/>
  <c r="R664" i="1"/>
  <c r="R488" i="1"/>
  <c r="R207" i="1"/>
  <c r="R217" i="1"/>
  <c r="R578" i="1"/>
  <c r="R594" i="1"/>
  <c r="R336" i="1"/>
  <c r="R292" i="1"/>
  <c r="R216" i="1"/>
  <c r="R787" i="1"/>
  <c r="R625" i="1"/>
  <c r="R262" i="1"/>
  <c r="R331" i="1"/>
  <c r="R662" i="1"/>
  <c r="R329" i="1"/>
  <c r="R149" i="1"/>
  <c r="R261" i="1"/>
  <c r="R99" i="1"/>
  <c r="R657" i="1"/>
  <c r="R557" i="1"/>
  <c r="R392" i="1"/>
  <c r="R168" i="1"/>
  <c r="R256" i="1"/>
  <c r="R324" i="1"/>
  <c r="R778" i="1"/>
  <c r="R91" i="1"/>
  <c r="R783" i="1"/>
  <c r="R41" i="1"/>
  <c r="R338" i="1"/>
  <c r="R611" i="1"/>
  <c r="R412" i="1"/>
  <c r="R663" i="1"/>
  <c r="R265" i="1"/>
  <c r="R337" i="1"/>
  <c r="R302" i="1"/>
  <c r="R510" i="1"/>
  <c r="R332" i="1"/>
  <c r="R602" i="1"/>
  <c r="R627" i="1"/>
  <c r="R786" i="1"/>
  <c r="R330" i="1"/>
  <c r="R572" i="1"/>
  <c r="R417" i="1"/>
  <c r="R211" i="1"/>
  <c r="R456" i="1"/>
  <c r="R172" i="1"/>
  <c r="R512" i="1"/>
  <c r="R167" i="1"/>
  <c r="R255" i="1"/>
  <c r="R465" i="1"/>
  <c r="R222" i="1"/>
  <c r="R133" i="1"/>
  <c r="R131" i="1"/>
  <c r="R218" i="1"/>
  <c r="R561" i="1"/>
  <c r="R100" i="1"/>
  <c r="R303" i="1"/>
  <c r="R604" i="1"/>
  <c r="R626" i="1"/>
  <c r="R593" i="1"/>
  <c r="R27" i="1"/>
  <c r="R297" i="1"/>
  <c r="R785" i="1"/>
  <c r="R171" i="1"/>
  <c r="R326" i="1"/>
  <c r="R454" i="1"/>
  <c r="R741" i="1"/>
  <c r="R9" i="1"/>
  <c r="R156" i="1"/>
  <c r="R263" i="1"/>
  <c r="R13" i="1"/>
  <c r="R257" i="1"/>
  <c r="R390" i="1"/>
  <c r="R782" i="1"/>
  <c r="R562" i="1"/>
  <c r="R266" i="1"/>
  <c r="R628" i="1"/>
  <c r="R513" i="1"/>
  <c r="R386" i="1"/>
  <c r="R83" i="1"/>
  <c r="R474" i="1"/>
  <c r="R264" i="1"/>
  <c r="R26" i="1"/>
  <c r="R333" i="1"/>
  <c r="R214" i="1"/>
  <c r="R213" i="1"/>
  <c r="R301" i="1"/>
  <c r="R173" i="1"/>
  <c r="R525" i="1"/>
  <c r="R258" i="1"/>
  <c r="R661" i="1"/>
  <c r="R391" i="1"/>
  <c r="R538" i="1"/>
  <c r="R571" i="1"/>
  <c r="R176" i="1"/>
  <c r="R175" i="1"/>
  <c r="R212" i="1"/>
  <c r="R174" i="1"/>
  <c r="R502" i="1"/>
  <c r="R260" i="1"/>
  <c r="R560" i="1"/>
  <c r="R737" i="1"/>
  <c r="R749" i="1"/>
  <c r="R507" i="1"/>
  <c r="R334" i="1"/>
  <c r="R86" i="1"/>
  <c r="R455" i="1"/>
  <c r="R451" i="1"/>
  <c r="R215" i="1"/>
  <c r="R335" i="1"/>
  <c r="R325" i="1"/>
  <c r="R738" i="1"/>
  <c r="R12" i="1"/>
  <c r="R482" i="1"/>
  <c r="R806" i="1"/>
  <c r="R718" i="1"/>
  <c r="R715" i="1"/>
  <c r="R717" i="1"/>
  <c r="R716" i="1"/>
  <c r="R635" i="1"/>
  <c r="R166" i="1"/>
  <c r="R615" i="1"/>
  <c r="R689" i="1"/>
  <c r="R119" i="1"/>
  <c r="R642" i="1"/>
  <c r="R680" i="1"/>
  <c r="R404" i="1"/>
  <c r="R20" i="1"/>
  <c r="R535" i="1"/>
  <c r="Q7" i="1"/>
  <c r="T7" i="1" s="1"/>
  <c r="P7" i="1"/>
  <c r="R351" i="1"/>
  <c r="R431" i="1"/>
  <c r="R47" i="1"/>
  <c r="R429" i="1"/>
  <c r="R430" i="1"/>
  <c r="R71" i="1"/>
  <c r="R751" i="1"/>
  <c r="R669" i="1"/>
  <c r="R72" i="1"/>
  <c r="R267" i="1"/>
  <c r="R36" i="1"/>
  <c r="R794" i="1"/>
  <c r="R251" i="1"/>
  <c r="R529" i="1"/>
  <c r="R528" i="1"/>
  <c r="R158" i="1"/>
  <c r="R504" i="1"/>
  <c r="R60" i="1"/>
  <c r="R61" i="1"/>
  <c r="R714" i="1"/>
  <c r="R453" i="1"/>
  <c r="R130" i="1"/>
  <c r="R459" i="1"/>
  <c r="R57" i="1"/>
  <c r="R485" i="1"/>
  <c r="R713" i="1"/>
  <c r="R58" i="1"/>
  <c r="R146" i="1"/>
  <c r="R203" i="1"/>
  <c r="R319" i="1"/>
  <c r="R382" i="1"/>
  <c r="R712" i="1"/>
  <c r="R766" i="1"/>
  <c r="R649" i="1"/>
  <c r="R652" i="1"/>
  <c r="R380" i="1"/>
  <c r="R442" i="1"/>
  <c r="R710" i="1"/>
  <c r="R441" i="1"/>
  <c r="R59" i="1"/>
  <c r="R383" i="1"/>
  <c r="R452" i="1"/>
  <c r="R381" i="1"/>
  <c r="R121" i="1"/>
  <c r="R201" i="1"/>
  <c r="R545" i="1"/>
  <c r="R588" i="1"/>
  <c r="R318" i="1"/>
  <c r="R118" i="1"/>
  <c r="R711" i="1"/>
  <c r="R379" i="1"/>
  <c r="R479" i="1"/>
  <c r="R202" i="1"/>
  <c r="R780" i="1"/>
  <c r="R62" i="1"/>
  <c r="R721" i="1"/>
  <c r="R204" i="1"/>
  <c r="R408" i="1"/>
  <c r="R720" i="1"/>
  <c r="R719" i="1"/>
  <c r="R405" i="1"/>
  <c r="R63" i="1"/>
  <c r="R722" i="1"/>
  <c r="R443" i="1"/>
  <c r="R407" i="1"/>
  <c r="R457" i="1"/>
  <c r="R85" i="1"/>
  <c r="R809" i="1"/>
  <c r="R481" i="1"/>
  <c r="R761" i="1"/>
  <c r="R15" i="1"/>
  <c r="R462" i="1"/>
  <c r="R771" i="1"/>
  <c r="R432" i="1"/>
  <c r="R64" i="1"/>
  <c r="R731" i="1"/>
  <c r="R683" i="1"/>
  <c r="R445" i="1"/>
  <c r="R162" i="1"/>
  <c r="R684" i="1"/>
  <c r="R758" i="1"/>
  <c r="R757" i="1"/>
  <c r="R163" i="1"/>
  <c r="R584" i="1"/>
  <c r="R80" i="1"/>
  <c r="R79" i="1"/>
  <c r="R486" i="1"/>
  <c r="R284" i="1"/>
  <c r="R795" i="1"/>
  <c r="R505" i="1"/>
  <c r="R95" i="1"/>
  <c r="R536" i="1"/>
  <c r="R682" i="1"/>
  <c r="R444" i="1"/>
  <c r="R38" i="1"/>
  <c r="R609" i="1"/>
  <c r="R137" i="1"/>
  <c r="R345" i="1"/>
  <c r="R124" i="1"/>
  <c r="R422" i="1"/>
  <c r="R548" i="1"/>
  <c r="R103" i="1"/>
  <c r="R585" i="1"/>
  <c r="R288" i="1"/>
  <c r="R287" i="1"/>
  <c r="R586" i="1"/>
  <c r="R225" i="1"/>
  <c r="R636" i="1"/>
  <c r="R226" i="1"/>
  <c r="R104" i="1"/>
  <c r="R760" i="1"/>
  <c r="R97" i="1"/>
  <c r="R11" i="1"/>
  <c r="R344" i="1"/>
  <c r="R645" i="1"/>
  <c r="R30" i="1"/>
  <c r="R298" i="1"/>
  <c r="R181" i="1"/>
  <c r="R150" i="1"/>
  <c r="R29" i="1"/>
  <c r="R28" i="1"/>
  <c r="R98" i="1"/>
  <c r="R136" i="1"/>
  <c r="R135" i="1"/>
  <c r="R514" i="1"/>
  <c r="R797" i="1"/>
  <c r="R305" i="1"/>
  <c r="R423" i="1"/>
  <c r="R157" i="1"/>
  <c r="R138" i="1"/>
  <c r="R515" i="1"/>
  <c r="R92" i="1"/>
  <c r="R68" i="1"/>
  <c r="R96" i="1"/>
  <c r="R599" i="1"/>
  <c r="R522" i="1"/>
  <c r="R746" i="1"/>
  <c r="R650" i="1"/>
  <c r="R521" i="1"/>
  <c r="R487" i="1"/>
  <c r="R613" i="1"/>
  <c r="R800" i="1"/>
  <c r="R165" i="1"/>
  <c r="R672" i="1"/>
  <c r="V82" i="1"/>
  <c r="U82" i="1"/>
  <c r="V466" i="1"/>
  <c r="U466" i="1"/>
  <c r="V283" i="1"/>
  <c r="U283" i="1"/>
  <c r="V619" i="1"/>
  <c r="U619" i="1"/>
  <c r="U249" i="1"/>
  <c r="V249" i="1"/>
  <c r="U253" i="1"/>
  <c r="V253" i="1"/>
  <c r="U254" i="1"/>
  <c r="V254" i="1"/>
  <c r="U6" i="1"/>
  <c r="V6" i="1"/>
  <c r="U199" i="1"/>
  <c r="V199" i="1"/>
  <c r="V740" i="1"/>
  <c r="U740" i="1"/>
  <c r="U686" i="1"/>
  <c r="V686" i="1"/>
  <c r="V206" i="1"/>
  <c r="U206" i="1"/>
  <c r="V7" i="1"/>
  <c r="U7" i="1"/>
  <c r="S386" i="1" l="1"/>
  <c r="S136" i="1"/>
  <c r="S287" i="1"/>
  <c r="S636" i="1"/>
  <c r="S97" i="1"/>
  <c r="S422" i="1"/>
  <c r="S797" i="1"/>
  <c r="S684" i="1"/>
  <c r="S445" i="1"/>
  <c r="S486" i="1"/>
  <c r="S85" i="1"/>
  <c r="S63" i="1"/>
  <c r="S720" i="1"/>
  <c r="S710" i="1"/>
  <c r="S379" i="1"/>
  <c r="S528" i="1"/>
  <c r="S351" i="1"/>
  <c r="S669" i="1"/>
  <c r="S206" i="1"/>
  <c r="S535" i="1"/>
  <c r="S635" i="1"/>
  <c r="S740" i="1"/>
  <c r="S123" i="1"/>
  <c r="S622" i="1"/>
  <c r="S337" i="1"/>
  <c r="S42" i="1"/>
  <c r="S179" i="1"/>
  <c r="S223" i="1"/>
  <c r="S131" i="1"/>
  <c r="S510" i="1"/>
  <c r="S301" i="1"/>
  <c r="S339" i="1"/>
  <c r="S562" i="1"/>
  <c r="S100" i="1"/>
  <c r="S604" i="1"/>
  <c r="S335" i="1"/>
  <c r="S333" i="1"/>
  <c r="S207" i="1"/>
  <c r="S216" i="1"/>
  <c r="S657" i="1"/>
  <c r="S261" i="1"/>
  <c r="S572" i="1"/>
  <c r="S456" i="1"/>
  <c r="S502" i="1"/>
  <c r="S325" i="1"/>
  <c r="S171" i="1"/>
  <c r="S741" i="1"/>
  <c r="S168" i="1"/>
  <c r="S778" i="1"/>
  <c r="S749" i="1"/>
  <c r="S54" i="1"/>
  <c r="S705" i="1"/>
  <c r="S703" i="1"/>
  <c r="S704" i="1"/>
  <c r="S701" i="1"/>
  <c r="S402" i="1"/>
  <c r="S281" i="1"/>
  <c r="S378" i="1"/>
  <c r="S56" i="1"/>
  <c r="S384" i="1"/>
  <c r="S685" i="1"/>
  <c r="S537" i="1"/>
  <c r="S763" i="1"/>
  <c r="S106" i="1"/>
  <c r="S349" i="1"/>
  <c r="S699" i="1"/>
  <c r="S34" i="1"/>
  <c r="S300" i="1"/>
  <c r="S70" i="1"/>
  <c r="S348" i="1"/>
  <c r="S434" i="1"/>
  <c r="S116" i="1"/>
  <c r="S117" i="1"/>
  <c r="S161" i="1"/>
  <c r="S315" i="1"/>
  <c r="S372" i="1"/>
  <c r="S51" i="1"/>
  <c r="S597" i="1"/>
  <c r="S385" i="1"/>
  <c r="S246" i="1"/>
  <c r="S296" i="1"/>
  <c r="S19" i="1"/>
  <c r="S534" i="1"/>
  <c r="S559" i="1"/>
  <c r="S144" i="1"/>
  <c r="S598" i="1"/>
  <c r="S503" i="1"/>
  <c r="S243" i="1"/>
  <c r="S141" i="1"/>
  <c r="S677" i="1"/>
  <c r="S193" i="1"/>
  <c r="S242" i="1"/>
  <c r="S511" i="1"/>
  <c r="S234" i="1"/>
  <c r="S239" i="1"/>
  <c r="S314" i="1"/>
  <c r="S596" i="1"/>
  <c r="S365" i="1"/>
  <c r="S389" i="1"/>
  <c r="S278" i="1"/>
  <c r="S781" i="1"/>
  <c r="S364" i="1"/>
  <c r="S788" i="1"/>
  <c r="S236" i="1"/>
  <c r="S792" i="1"/>
  <c r="S739" i="1"/>
  <c r="S310" i="1"/>
  <c r="S191" i="1"/>
  <c r="S233" i="1"/>
  <c r="S558" i="1"/>
  <c r="S754" i="1"/>
  <c r="S639" i="1"/>
  <c r="S186" i="1"/>
  <c r="S283" i="1"/>
  <c r="S651" i="1"/>
  <c r="S46" i="1"/>
  <c r="S428" i="1"/>
  <c r="S44" i="1"/>
  <c r="S347" i="1"/>
  <c r="S610" i="1"/>
  <c r="S695" i="1"/>
  <c r="S425" i="1"/>
  <c r="S693" i="1"/>
  <c r="S694" i="1"/>
  <c r="S633" i="1"/>
  <c r="S424" i="1"/>
  <c r="S82" i="1"/>
  <c r="S487" i="1"/>
  <c r="S11" i="1"/>
  <c r="S181" i="1"/>
  <c r="S68" i="1"/>
  <c r="S305" i="1"/>
  <c r="S757" i="1"/>
  <c r="S682" i="1"/>
  <c r="S444" i="1"/>
  <c r="S79" i="1"/>
  <c r="S95" i="1"/>
  <c r="S204" i="1"/>
  <c r="S408" i="1"/>
  <c r="S722" i="1"/>
  <c r="S405" i="1"/>
  <c r="S130" i="1"/>
  <c r="S58" i="1"/>
  <c r="S380" i="1"/>
  <c r="S60" i="1"/>
  <c r="S203" i="1"/>
  <c r="S146" i="1"/>
  <c r="S318" i="1"/>
  <c r="S201" i="1"/>
  <c r="S158" i="1"/>
  <c r="S431" i="1"/>
  <c r="S36" i="1"/>
  <c r="S20" i="1"/>
  <c r="S166" i="1"/>
  <c r="S806" i="1"/>
  <c r="S717" i="1"/>
  <c r="S388" i="1"/>
  <c r="S132" i="1"/>
  <c r="S302" i="1"/>
  <c r="S475" i="1"/>
  <c r="S39" i="1"/>
  <c r="S617" i="1"/>
  <c r="S690" i="1"/>
  <c r="S418" i="1"/>
  <c r="S102" i="1"/>
  <c r="S340" i="1"/>
  <c r="S218" i="1"/>
  <c r="S665" i="1"/>
  <c r="S664" i="1"/>
  <c r="S629" i="1"/>
  <c r="S156" i="1"/>
  <c r="S13" i="1"/>
  <c r="S507" i="1"/>
  <c r="S626" i="1"/>
  <c r="S27" i="1"/>
  <c r="S625" i="1"/>
  <c r="S264" i="1"/>
  <c r="S602" i="1"/>
  <c r="S173" i="1"/>
  <c r="S787" i="1"/>
  <c r="S86" i="1"/>
  <c r="S661" i="1"/>
  <c r="S331" i="1"/>
  <c r="S417" i="1"/>
  <c r="S172" i="1"/>
  <c r="S455" i="1"/>
  <c r="S538" i="1"/>
  <c r="S260" i="1"/>
  <c r="S257" i="1"/>
  <c r="S737" i="1"/>
  <c r="S525" i="1"/>
  <c r="S256" i="1"/>
  <c r="S91" i="1"/>
  <c r="S782" i="1"/>
  <c r="S66" i="1"/>
  <c r="S145" i="1"/>
  <c r="S53" i="1"/>
  <c r="S702" i="1"/>
  <c r="S403" i="1"/>
  <c r="S377" i="1"/>
  <c r="S401" i="1"/>
  <c r="S732" i="1"/>
  <c r="S253" i="1"/>
  <c r="S107" i="1"/>
  <c r="S139" i="1"/>
  <c r="S471" i="1"/>
  <c r="S33" i="1"/>
  <c r="S587" i="1"/>
  <c r="S31" i="1"/>
  <c r="S354" i="1"/>
  <c r="S374" i="1"/>
  <c r="S371" i="1"/>
  <c r="S644" i="1"/>
  <c r="S128" i="1"/>
  <c r="S376" i="1"/>
  <c r="S624" i="1"/>
  <c r="S50" i="1"/>
  <c r="S438" i="1"/>
  <c r="S614" i="1"/>
  <c r="S311" i="1"/>
  <c r="S568" i="1"/>
  <c r="S77" i="1"/>
  <c r="S640" i="1"/>
  <c r="S187" i="1"/>
  <c r="S641" i="1"/>
  <c r="S269" i="1"/>
  <c r="S154" i="1"/>
  <c r="S437" i="1"/>
  <c r="S312" i="1"/>
  <c r="S398" i="1"/>
  <c r="S805" i="1"/>
  <c r="S194" i="1"/>
  <c r="S240" i="1"/>
  <c r="S113" i="1"/>
  <c r="S313" i="1"/>
  <c r="S273" i="1"/>
  <c r="S152" i="1"/>
  <c r="S366" i="1"/>
  <c r="S676" i="1"/>
  <c r="S37" i="1"/>
  <c r="S700" i="1"/>
  <c r="S631" i="1"/>
  <c r="S564" i="1"/>
  <c r="S90" i="1"/>
  <c r="S270" i="1"/>
  <c r="S674" i="1"/>
  <c r="S397" i="1"/>
  <c r="S450" i="1"/>
  <c r="S607" i="1"/>
  <c r="S666" i="1"/>
  <c r="S648" i="1"/>
  <c r="S697" i="1"/>
  <c r="S306" i="1"/>
  <c r="S426" i="1"/>
  <c r="S346" i="1"/>
  <c r="S227" i="1"/>
  <c r="S692" i="1"/>
  <c r="S496" i="1"/>
  <c r="S672" i="1"/>
  <c r="S599" i="1"/>
  <c r="S650" i="1"/>
  <c r="S522" i="1"/>
  <c r="S760" i="1"/>
  <c r="S104" i="1"/>
  <c r="S345" i="1"/>
  <c r="S225" i="1"/>
  <c r="S98" i="1"/>
  <c r="S30" i="1"/>
  <c r="S548" i="1"/>
  <c r="S298" i="1"/>
  <c r="S28" i="1"/>
  <c r="S92" i="1"/>
  <c r="S163" i="1"/>
  <c r="S64" i="1"/>
  <c r="S683" i="1"/>
  <c r="S584" i="1"/>
  <c r="S284" i="1"/>
  <c r="S795" i="1"/>
  <c r="S536" i="1"/>
  <c r="S809" i="1"/>
  <c r="S457" i="1"/>
  <c r="S761" i="1"/>
  <c r="S432" i="1"/>
  <c r="S62" i="1"/>
  <c r="S780" i="1"/>
  <c r="S407" i="1"/>
  <c r="S59" i="1"/>
  <c r="S57" i="1"/>
  <c r="S459" i="1"/>
  <c r="S453" i="1"/>
  <c r="S319" i="1"/>
  <c r="S649" i="1"/>
  <c r="S452" i="1"/>
  <c r="S652" i="1"/>
  <c r="S766" i="1"/>
  <c r="S118" i="1"/>
  <c r="S381" i="1"/>
  <c r="S441" i="1"/>
  <c r="S121" i="1"/>
  <c r="S545" i="1"/>
  <c r="S430" i="1"/>
  <c r="S794" i="1"/>
  <c r="S751" i="1"/>
  <c r="S251" i="1"/>
  <c r="S686" i="1"/>
  <c r="S718" i="1"/>
  <c r="S716" i="1"/>
  <c r="S412" i="1"/>
  <c r="S343" i="1"/>
  <c r="S219" i="1"/>
  <c r="S330" i="1"/>
  <c r="S180" i="1"/>
  <c r="S40" i="1"/>
  <c r="S221" i="1"/>
  <c r="S770" i="1"/>
  <c r="S304" i="1"/>
  <c r="S419" i="1"/>
  <c r="S663" i="1"/>
  <c r="S342" i="1"/>
  <c r="S341" i="1"/>
  <c r="S630" i="1"/>
  <c r="S133" i="1"/>
  <c r="S488" i="1"/>
  <c r="S489" i="1"/>
  <c r="S628" i="1"/>
  <c r="S176" i="1"/>
  <c r="S338" i="1"/>
  <c r="S561" i="1"/>
  <c r="S303" i="1"/>
  <c r="S593" i="1"/>
  <c r="S214" i="1"/>
  <c r="S387" i="1"/>
  <c r="S451" i="1"/>
  <c r="S26" i="1"/>
  <c r="S217" i="1"/>
  <c r="S578" i="1"/>
  <c r="S336" i="1"/>
  <c r="S215" i="1"/>
  <c r="S255" i="1"/>
  <c r="S175" i="1"/>
  <c r="S149" i="1"/>
  <c r="S262" i="1"/>
  <c r="S662" i="1"/>
  <c r="S329" i="1"/>
  <c r="S258" i="1"/>
  <c r="S785" i="1"/>
  <c r="S454" i="1"/>
  <c r="S390" i="1"/>
  <c r="S557" i="1"/>
  <c r="S324" i="1"/>
  <c r="S783" i="1"/>
  <c r="S448" i="1"/>
  <c r="S7" i="1"/>
  <c r="S6" i="1"/>
  <c r="S706" i="1"/>
  <c r="S196" i="1"/>
  <c r="S254" i="1"/>
  <c r="S810" i="1"/>
  <c r="S446" i="1"/>
  <c r="S410" i="1"/>
  <c r="S550" i="1"/>
  <c r="S802" i="1"/>
  <c r="S32" i="1"/>
  <c r="S801" i="1"/>
  <c r="S127" i="1"/>
  <c r="S299" i="1"/>
  <c r="S798" i="1"/>
  <c r="S533" i="1"/>
  <c r="S799" i="1"/>
  <c r="S373" i="1"/>
  <c r="S129" i="1"/>
  <c r="S247" i="1"/>
  <c r="S368" i="1"/>
  <c r="S679" i="1"/>
  <c r="S508" i="1"/>
  <c r="S618" i="1"/>
  <c r="S280" i="1"/>
  <c r="S49" i="1"/>
  <c r="S160" i="1"/>
  <c r="S48" i="1"/>
  <c r="S491" i="1"/>
  <c r="S793" i="1"/>
  <c r="S142" i="1"/>
  <c r="S518" i="1"/>
  <c r="S235" i="1"/>
  <c r="S114" i="1"/>
  <c r="S369" i="1"/>
  <c r="S238" i="1"/>
  <c r="S791" i="1"/>
  <c r="S517" i="1"/>
  <c r="S18" i="1"/>
  <c r="S362" i="1"/>
  <c r="S356" i="1"/>
  <c r="S10" i="1"/>
  <c r="S76" i="1"/>
  <c r="S275" i="1"/>
  <c r="S565" i="1"/>
  <c r="S361" i="1"/>
  <c r="S744" i="1"/>
  <c r="S192" i="1"/>
  <c r="S574" i="1"/>
  <c r="S274" i="1"/>
  <c r="S755" i="1"/>
  <c r="S658" i="1"/>
  <c r="S355" i="1"/>
  <c r="S189" i="1"/>
  <c r="S188" i="1"/>
  <c r="S458" i="1"/>
  <c r="S539" i="1"/>
  <c r="S316" i="1"/>
  <c r="S228" i="1"/>
  <c r="S698" i="1"/>
  <c r="S634" i="1"/>
  <c r="S696" i="1"/>
  <c r="S45" i="1"/>
  <c r="S307" i="1"/>
  <c r="S477" i="1"/>
  <c r="S229" i="1"/>
  <c r="S632" i="1"/>
  <c r="S476" i="1"/>
  <c r="S120" i="1"/>
  <c r="S183" i="1"/>
  <c r="S466" i="1"/>
  <c r="S165" i="1"/>
  <c r="S96" i="1"/>
  <c r="S423" i="1"/>
  <c r="S226" i="1"/>
  <c r="S288" i="1"/>
  <c r="S645" i="1"/>
  <c r="S29" i="1"/>
  <c r="S162" i="1"/>
  <c r="S481" i="1"/>
  <c r="S721" i="1"/>
  <c r="S714" i="1"/>
  <c r="S383" i="1"/>
  <c r="S479" i="1"/>
  <c r="S429" i="1"/>
  <c r="S71" i="1"/>
  <c r="S642" i="1"/>
  <c r="S119" i="1"/>
  <c r="S220" i="1"/>
  <c r="S222" i="1"/>
  <c r="S266" i="1"/>
  <c r="S563" i="1"/>
  <c r="S265" i="1"/>
  <c r="S526" i="1"/>
  <c r="S613" i="1"/>
  <c r="S800" i="1"/>
  <c r="S521" i="1"/>
  <c r="S746" i="1"/>
  <c r="S137" i="1"/>
  <c r="S138" i="1"/>
  <c r="S124" i="1"/>
  <c r="S157" i="1"/>
  <c r="S514" i="1"/>
  <c r="S609" i="1"/>
  <c r="S344" i="1"/>
  <c r="S103" i="1"/>
  <c r="S585" i="1"/>
  <c r="S586" i="1"/>
  <c r="S135" i="1"/>
  <c r="S515" i="1"/>
  <c r="S150" i="1"/>
  <c r="S731" i="1"/>
  <c r="S758" i="1"/>
  <c r="S80" i="1"/>
  <c r="S38" i="1"/>
  <c r="S505" i="1"/>
  <c r="S771" i="1"/>
  <c r="S15" i="1"/>
  <c r="S462" i="1"/>
  <c r="S443" i="1"/>
  <c r="S719" i="1"/>
  <c r="S61" i="1"/>
  <c r="S382" i="1"/>
  <c r="S713" i="1"/>
  <c r="S485" i="1"/>
  <c r="S712" i="1"/>
  <c r="S588" i="1"/>
  <c r="S711" i="1"/>
  <c r="S442" i="1"/>
  <c r="S202" i="1"/>
  <c r="S47" i="1"/>
  <c r="S72" i="1"/>
  <c r="S504" i="1"/>
  <c r="S267" i="1"/>
  <c r="S529" i="1"/>
  <c r="S680" i="1"/>
  <c r="S404" i="1"/>
  <c r="S689" i="1"/>
  <c r="S615" i="1"/>
  <c r="S482" i="1"/>
  <c r="S715" i="1"/>
  <c r="S41" i="1"/>
  <c r="S332" i="1"/>
  <c r="S465" i="1"/>
  <c r="S177" i="1"/>
  <c r="S224" i="1"/>
  <c r="S134" i="1"/>
  <c r="S14" i="1"/>
  <c r="S421" i="1"/>
  <c r="S420" i="1"/>
  <c r="S153" i="1"/>
  <c r="S612" i="1"/>
  <c r="S571" i="1"/>
  <c r="S627" i="1"/>
  <c r="S122" i="1"/>
  <c r="S527" i="1"/>
  <c r="S101" i="1"/>
  <c r="S178" i="1"/>
  <c r="S9" i="1"/>
  <c r="S263" i="1"/>
  <c r="S611" i="1"/>
  <c r="S297" i="1"/>
  <c r="S213" i="1"/>
  <c r="S513" i="1"/>
  <c r="S83" i="1"/>
  <c r="S474" i="1"/>
  <c r="S334" i="1"/>
  <c r="S786" i="1"/>
  <c r="S594" i="1"/>
  <c r="S292" i="1"/>
  <c r="S212" i="1"/>
  <c r="S99" i="1"/>
  <c r="S391" i="1"/>
  <c r="S211" i="1"/>
  <c r="S167" i="1"/>
  <c r="S174" i="1"/>
  <c r="S12" i="1"/>
  <c r="S738" i="1"/>
  <c r="S512" i="1"/>
  <c r="S326" i="1"/>
  <c r="S560" i="1"/>
  <c r="S392" i="1"/>
  <c r="S55" i="1"/>
  <c r="S52" i="1"/>
  <c r="S540" i="1"/>
  <c r="S440" i="1"/>
  <c r="S643" i="1"/>
  <c r="S22" i="1"/>
  <c r="S616" i="1"/>
  <c r="S249" i="1"/>
  <c r="S655" i="1"/>
  <c r="S656" i="1"/>
  <c r="S140" i="1"/>
  <c r="S638" i="1"/>
  <c r="S750" i="1"/>
  <c r="S232" i="1"/>
  <c r="S231" i="1"/>
  <c r="S743" i="1"/>
  <c r="S293" i="1"/>
  <c r="S195" i="1"/>
  <c r="S370" i="1"/>
  <c r="S248" i="1"/>
  <c r="S569" i="1"/>
  <c r="S84" i="1"/>
  <c r="S396" i="1"/>
  <c r="S765" i="1"/>
  <c r="S439" i="1"/>
  <c r="S375" i="1"/>
  <c r="S245" i="1"/>
  <c r="S768" i="1"/>
  <c r="S279" i="1"/>
  <c r="S566" i="1"/>
  <c r="S678" i="1"/>
  <c r="S567" i="1"/>
  <c r="S675" i="1"/>
  <c r="S244" i="1"/>
  <c r="S115" i="1"/>
  <c r="S519" i="1"/>
  <c r="S112" i="1"/>
  <c r="S143" i="1"/>
  <c r="S241" i="1"/>
  <c r="S779" i="1"/>
  <c r="S208" i="1"/>
  <c r="S367" i="1"/>
  <c r="S573" i="1"/>
  <c r="S605" i="1"/>
  <c r="S478" i="1"/>
  <c r="S277" i="1"/>
  <c r="S363" i="1"/>
  <c r="S309" i="1"/>
  <c r="S276" i="1"/>
  <c r="S190" i="1"/>
  <c r="S237" i="1"/>
  <c r="S308" i="1"/>
  <c r="S516" i="1"/>
  <c r="S94" i="1"/>
  <c r="S789" i="1"/>
  <c r="S673" i="1"/>
  <c r="S16" i="1"/>
  <c r="S531" i="1"/>
  <c r="S619" i="1"/>
  <c r="S8" i="1"/>
  <c r="S126" i="1"/>
  <c r="S637" i="1"/>
  <c r="S184" i="1"/>
  <c r="S646" i="1"/>
  <c r="S804" i="1"/>
  <c r="S803" i="1"/>
  <c r="S484" i="1"/>
  <c r="S69" i="1"/>
  <c r="S427" i="1"/>
  <c r="S691" i="1"/>
  <c r="S544" i="1"/>
  <c r="S199" i="1"/>
  <c r="V800" i="1"/>
  <c r="U800" i="1"/>
  <c r="V96" i="1"/>
  <c r="U96" i="1"/>
  <c r="V345" i="1"/>
  <c r="U345" i="1"/>
  <c r="V636" i="1"/>
  <c r="U636" i="1"/>
  <c r="V298" i="1"/>
  <c r="U298" i="1"/>
  <c r="V30" i="1"/>
  <c r="U30" i="1"/>
  <c r="V98" i="1"/>
  <c r="U98" i="1"/>
  <c r="U586" i="1"/>
  <c r="V586" i="1"/>
  <c r="U305" i="1"/>
  <c r="V305" i="1"/>
  <c r="V181" i="1"/>
  <c r="U181" i="1"/>
  <c r="U797" i="1"/>
  <c r="V797" i="1"/>
  <c r="U92" i="1"/>
  <c r="V92" i="1"/>
  <c r="V684" i="1"/>
  <c r="U684" i="1"/>
  <c r="U162" i="1"/>
  <c r="V162" i="1"/>
  <c r="V757" i="1"/>
  <c r="U757" i="1"/>
  <c r="V486" i="1"/>
  <c r="U486" i="1"/>
  <c r="V95" i="1"/>
  <c r="U95" i="1"/>
  <c r="U432" i="1"/>
  <c r="V432" i="1"/>
  <c r="U85" i="1"/>
  <c r="V85" i="1"/>
  <c r="U63" i="1"/>
  <c r="V63" i="1"/>
  <c r="V443" i="1"/>
  <c r="U443" i="1"/>
  <c r="U408" i="1"/>
  <c r="V408" i="1"/>
  <c r="U57" i="1"/>
  <c r="V57" i="1"/>
  <c r="V319" i="1"/>
  <c r="U319" i="1"/>
  <c r="V59" i="1"/>
  <c r="U59" i="1"/>
  <c r="V714" i="1"/>
  <c r="U714" i="1"/>
  <c r="V118" i="1"/>
  <c r="U118" i="1"/>
  <c r="V382" i="1"/>
  <c r="U382" i="1"/>
  <c r="U380" i="1"/>
  <c r="V380" i="1"/>
  <c r="V441" i="1"/>
  <c r="U441" i="1"/>
  <c r="U711" i="1"/>
  <c r="V711" i="1"/>
  <c r="U528" i="1"/>
  <c r="V528" i="1"/>
  <c r="V429" i="1"/>
  <c r="U429" i="1"/>
  <c r="U251" i="1"/>
  <c r="V251" i="1"/>
  <c r="V267" i="1"/>
  <c r="U267" i="1"/>
  <c r="U504" i="1"/>
  <c r="V504" i="1"/>
  <c r="U535" i="1"/>
  <c r="V535" i="1"/>
  <c r="V689" i="1"/>
  <c r="U689" i="1"/>
  <c r="V806" i="1"/>
  <c r="U806" i="1"/>
  <c r="V635" i="1"/>
  <c r="U635" i="1"/>
  <c r="V180" i="1"/>
  <c r="U180" i="1"/>
  <c r="U334" i="1"/>
  <c r="V334" i="1"/>
  <c r="V40" i="1"/>
  <c r="U40" i="1"/>
  <c r="V123" i="1"/>
  <c r="U123" i="1"/>
  <c r="U571" i="1"/>
  <c r="V571" i="1"/>
  <c r="U617" i="1"/>
  <c r="V617" i="1"/>
  <c r="V465" i="1"/>
  <c r="U465" i="1"/>
  <c r="V339" i="1"/>
  <c r="U339" i="1"/>
  <c r="U122" i="1"/>
  <c r="V122" i="1"/>
  <c r="V153" i="1"/>
  <c r="U153" i="1"/>
  <c r="V177" i="1"/>
  <c r="U177" i="1"/>
  <c r="V102" i="1"/>
  <c r="U102" i="1"/>
  <c r="U630" i="1"/>
  <c r="V630" i="1"/>
  <c r="U220" i="1"/>
  <c r="V220" i="1"/>
  <c r="U26" i="1"/>
  <c r="V26" i="1"/>
  <c r="V507" i="1"/>
  <c r="U507" i="1"/>
  <c r="U292" i="1"/>
  <c r="V292" i="1"/>
  <c r="U456" i="1"/>
  <c r="V456" i="1"/>
  <c r="U489" i="1"/>
  <c r="V489" i="1"/>
  <c r="U578" i="1"/>
  <c r="V578" i="1"/>
  <c r="V258" i="1"/>
  <c r="U258" i="1"/>
  <c r="U337" i="1"/>
  <c r="V337" i="1"/>
  <c r="U417" i="1"/>
  <c r="V417" i="1"/>
  <c r="U628" i="1"/>
  <c r="V628" i="1"/>
  <c r="V604" i="1"/>
  <c r="U604" i="1"/>
  <c r="U176" i="1"/>
  <c r="V176" i="1"/>
  <c r="V13" i="1"/>
  <c r="U13" i="1"/>
  <c r="U572" i="1"/>
  <c r="V572" i="1"/>
  <c r="V331" i="1"/>
  <c r="U331" i="1"/>
  <c r="V175" i="1"/>
  <c r="U175" i="1"/>
  <c r="U301" i="1"/>
  <c r="V301" i="1"/>
  <c r="U325" i="1"/>
  <c r="V325" i="1"/>
  <c r="U329" i="1"/>
  <c r="V329" i="1"/>
  <c r="U657" i="1"/>
  <c r="V657" i="1"/>
  <c r="U392" i="1"/>
  <c r="V392" i="1"/>
  <c r="U778" i="1"/>
  <c r="V778" i="1"/>
  <c r="U782" i="1"/>
  <c r="V782" i="1"/>
  <c r="U326" i="1"/>
  <c r="V326" i="1"/>
  <c r="U737" i="1"/>
  <c r="V737" i="1"/>
  <c r="U66" i="1"/>
  <c r="V66" i="1"/>
  <c r="U703" i="1"/>
  <c r="V703" i="1"/>
  <c r="V52" i="1"/>
  <c r="U52" i="1"/>
  <c r="U145" i="1"/>
  <c r="V145" i="1"/>
  <c r="V540" i="1"/>
  <c r="U540" i="1"/>
  <c r="U401" i="1"/>
  <c r="V401" i="1"/>
  <c r="U56" i="1"/>
  <c r="V56" i="1"/>
  <c r="U810" i="1"/>
  <c r="V810" i="1"/>
  <c r="U685" i="1"/>
  <c r="V685" i="1"/>
  <c r="U616" i="1"/>
  <c r="V616" i="1"/>
  <c r="U349" i="1"/>
  <c r="V349" i="1"/>
  <c r="V802" i="1"/>
  <c r="U802" i="1"/>
  <c r="V656" i="1"/>
  <c r="U656" i="1"/>
  <c r="V801" i="1"/>
  <c r="U801" i="1"/>
  <c r="U139" i="1"/>
  <c r="V139" i="1"/>
  <c r="V31" i="1"/>
  <c r="U31" i="1"/>
  <c r="U434" i="1"/>
  <c r="V434" i="1"/>
  <c r="U743" i="1"/>
  <c r="V743" i="1"/>
  <c r="V128" i="1"/>
  <c r="U128" i="1"/>
  <c r="V50" i="1"/>
  <c r="U50" i="1"/>
  <c r="U248" i="1"/>
  <c r="V248" i="1"/>
  <c r="U439" i="1"/>
  <c r="V439" i="1"/>
  <c r="V679" i="1"/>
  <c r="U679" i="1"/>
  <c r="U374" i="1"/>
  <c r="V374" i="1"/>
  <c r="U245" i="1"/>
  <c r="V245" i="1"/>
  <c r="U365" i="1"/>
  <c r="V365" i="1"/>
  <c r="U569" i="1"/>
  <c r="V569" i="1"/>
  <c r="U644" i="1"/>
  <c r="V644" i="1"/>
  <c r="V116" i="1"/>
  <c r="U116" i="1"/>
  <c r="U235" i="1"/>
  <c r="V235" i="1"/>
  <c r="U18" i="1"/>
  <c r="V18" i="1"/>
  <c r="V48" i="1"/>
  <c r="U48" i="1"/>
  <c r="V739" i="1"/>
  <c r="U739" i="1"/>
  <c r="U114" i="1"/>
  <c r="V114" i="1"/>
  <c r="U240" i="1"/>
  <c r="V240" i="1"/>
  <c r="V76" i="1"/>
  <c r="U76" i="1"/>
  <c r="V37" i="1"/>
  <c r="U37" i="1"/>
  <c r="V564" i="1"/>
  <c r="U564" i="1"/>
  <c r="U142" i="1"/>
  <c r="V142" i="1"/>
  <c r="U519" i="1"/>
  <c r="V519" i="1"/>
  <c r="V364" i="1"/>
  <c r="U364" i="1"/>
  <c r="V84" i="1"/>
  <c r="U84" i="1"/>
  <c r="U641" i="1"/>
  <c r="V641" i="1"/>
  <c r="V311" i="1"/>
  <c r="U311" i="1"/>
  <c r="V744" i="1"/>
  <c r="U744" i="1"/>
  <c r="U312" i="1"/>
  <c r="V312" i="1"/>
  <c r="U675" i="1"/>
  <c r="V675" i="1"/>
  <c r="V631" i="1"/>
  <c r="U631" i="1"/>
  <c r="V189" i="1"/>
  <c r="U189" i="1"/>
  <c r="V276" i="1"/>
  <c r="U276" i="1"/>
  <c r="U90" i="1"/>
  <c r="V90" i="1"/>
  <c r="U573" i="1"/>
  <c r="V573" i="1"/>
  <c r="U503" i="1"/>
  <c r="V503" i="1"/>
  <c r="V574" i="1"/>
  <c r="U574" i="1"/>
  <c r="V274" i="1"/>
  <c r="U274" i="1"/>
  <c r="V779" i="1"/>
  <c r="U779" i="1"/>
  <c r="U16" i="1"/>
  <c r="V16" i="1"/>
  <c r="U539" i="1"/>
  <c r="V539" i="1"/>
  <c r="U607" i="1"/>
  <c r="V607" i="1"/>
  <c r="U610" i="1"/>
  <c r="V610" i="1"/>
  <c r="U307" i="1"/>
  <c r="V307" i="1"/>
  <c r="U45" i="1"/>
  <c r="V45" i="1"/>
  <c r="V651" i="1"/>
  <c r="U651" i="1"/>
  <c r="U346" i="1"/>
  <c r="V346" i="1"/>
  <c r="V229" i="1"/>
  <c r="U229" i="1"/>
  <c r="U696" i="1"/>
  <c r="V696" i="1"/>
  <c r="U477" i="1"/>
  <c r="V477" i="1"/>
  <c r="U694" i="1"/>
  <c r="V694" i="1"/>
  <c r="U632" i="1"/>
  <c r="V632" i="1"/>
  <c r="U633" i="1"/>
  <c r="V633" i="1"/>
  <c r="U672" i="1"/>
  <c r="V672" i="1"/>
  <c r="U599" i="1"/>
  <c r="V599" i="1"/>
  <c r="U521" i="1"/>
  <c r="V521" i="1"/>
  <c r="U124" i="1"/>
  <c r="V124" i="1"/>
  <c r="V609" i="1"/>
  <c r="U609" i="1"/>
  <c r="V137" i="1"/>
  <c r="U137" i="1"/>
  <c r="V287" i="1"/>
  <c r="U287" i="1"/>
  <c r="V104" i="1"/>
  <c r="U104" i="1"/>
  <c r="U645" i="1"/>
  <c r="V645" i="1"/>
  <c r="V548" i="1"/>
  <c r="U548" i="1"/>
  <c r="U136" i="1"/>
  <c r="V136" i="1"/>
  <c r="U68" i="1"/>
  <c r="V68" i="1"/>
  <c r="U28" i="1"/>
  <c r="V28" i="1"/>
  <c r="U758" i="1"/>
  <c r="V758" i="1"/>
  <c r="V584" i="1"/>
  <c r="U584" i="1"/>
  <c r="V683" i="1"/>
  <c r="U683" i="1"/>
  <c r="U444" i="1"/>
  <c r="V444" i="1"/>
  <c r="V795" i="1"/>
  <c r="U795" i="1"/>
  <c r="V809" i="1"/>
  <c r="U809" i="1"/>
  <c r="U761" i="1"/>
  <c r="V761" i="1"/>
  <c r="V780" i="1"/>
  <c r="U780" i="1"/>
  <c r="U722" i="1"/>
  <c r="V722" i="1"/>
  <c r="U720" i="1"/>
  <c r="V720" i="1"/>
  <c r="V383" i="1"/>
  <c r="U383" i="1"/>
  <c r="U61" i="1"/>
  <c r="V61" i="1"/>
  <c r="V203" i="1"/>
  <c r="U203" i="1"/>
  <c r="V453" i="1"/>
  <c r="U453" i="1"/>
  <c r="U652" i="1"/>
  <c r="V652" i="1"/>
  <c r="U712" i="1"/>
  <c r="V712" i="1"/>
  <c r="U442" i="1"/>
  <c r="V442" i="1"/>
  <c r="U381" i="1"/>
  <c r="V381" i="1"/>
  <c r="U202" i="1"/>
  <c r="V202" i="1"/>
  <c r="U351" i="1"/>
  <c r="V351" i="1"/>
  <c r="V430" i="1"/>
  <c r="U430" i="1"/>
  <c r="U751" i="1"/>
  <c r="V751" i="1"/>
  <c r="U36" i="1"/>
  <c r="V36" i="1"/>
  <c r="U680" i="1"/>
  <c r="V680" i="1"/>
  <c r="V119" i="1"/>
  <c r="U119" i="1"/>
  <c r="V482" i="1"/>
  <c r="U482" i="1"/>
  <c r="U716" i="1"/>
  <c r="V716" i="1"/>
  <c r="V42" i="1"/>
  <c r="U42" i="1"/>
  <c r="V475" i="1"/>
  <c r="U475" i="1"/>
  <c r="V224" i="1"/>
  <c r="U224" i="1"/>
  <c r="U134" i="1"/>
  <c r="V134" i="1"/>
  <c r="U41" i="1"/>
  <c r="V41" i="1"/>
  <c r="U387" i="1"/>
  <c r="V387" i="1"/>
  <c r="U622" i="1"/>
  <c r="V622" i="1"/>
  <c r="V690" i="1"/>
  <c r="U690" i="1"/>
  <c r="U664" i="1"/>
  <c r="V664" i="1"/>
  <c r="U665" i="1"/>
  <c r="V665" i="1"/>
  <c r="V132" i="1"/>
  <c r="U132" i="1"/>
  <c r="U386" i="1"/>
  <c r="V386" i="1"/>
  <c r="U341" i="1"/>
  <c r="V341" i="1"/>
  <c r="U612" i="1"/>
  <c r="V612" i="1"/>
  <c r="U14" i="1"/>
  <c r="V14" i="1"/>
  <c r="U333" i="1"/>
  <c r="V333" i="1"/>
  <c r="U338" i="1"/>
  <c r="V338" i="1"/>
  <c r="U216" i="1"/>
  <c r="V216" i="1"/>
  <c r="U629" i="1"/>
  <c r="V629" i="1"/>
  <c r="U178" i="1"/>
  <c r="V178" i="1"/>
  <c r="U594" i="1"/>
  <c r="V594" i="1"/>
  <c r="U412" i="1"/>
  <c r="V412" i="1"/>
  <c r="U302" i="1"/>
  <c r="V302" i="1"/>
  <c r="U211" i="1"/>
  <c r="V211" i="1"/>
  <c r="V100" i="1"/>
  <c r="U100" i="1"/>
  <c r="V626" i="1"/>
  <c r="U626" i="1"/>
  <c r="U27" i="1"/>
  <c r="V27" i="1"/>
  <c r="U332" i="1"/>
  <c r="V332" i="1"/>
  <c r="U172" i="1"/>
  <c r="V172" i="1"/>
  <c r="U662" i="1"/>
  <c r="V662" i="1"/>
  <c r="V212" i="1"/>
  <c r="U212" i="1"/>
  <c r="U173" i="1"/>
  <c r="V173" i="1"/>
  <c r="U455" i="1"/>
  <c r="V455" i="1"/>
  <c r="V149" i="1"/>
  <c r="U149" i="1"/>
  <c r="U255" i="1"/>
  <c r="V255" i="1"/>
  <c r="U168" i="1"/>
  <c r="V168" i="1"/>
  <c r="U91" i="1"/>
  <c r="V91" i="1"/>
  <c r="U512" i="1"/>
  <c r="V512" i="1"/>
  <c r="U257" i="1"/>
  <c r="V257" i="1"/>
  <c r="U390" i="1"/>
  <c r="V390" i="1"/>
  <c r="V55" i="1"/>
  <c r="U55" i="1"/>
  <c r="U377" i="1"/>
  <c r="V377" i="1"/>
  <c r="U704" i="1"/>
  <c r="V704" i="1"/>
  <c r="U701" i="1"/>
  <c r="V701" i="1"/>
  <c r="U281" i="1"/>
  <c r="V281" i="1"/>
  <c r="U378" i="1"/>
  <c r="V378" i="1"/>
  <c r="U446" i="1"/>
  <c r="V446" i="1"/>
  <c r="U410" i="1"/>
  <c r="V410" i="1"/>
  <c r="U550" i="1"/>
  <c r="V550" i="1"/>
  <c r="U655" i="1"/>
  <c r="V655" i="1"/>
  <c r="V107" i="1"/>
  <c r="U107" i="1"/>
  <c r="V699" i="1"/>
  <c r="U699" i="1"/>
  <c r="U140" i="1"/>
  <c r="V140" i="1"/>
  <c r="U106" i="1"/>
  <c r="V106" i="1"/>
  <c r="U750" i="1"/>
  <c r="V750" i="1"/>
  <c r="V231" i="1"/>
  <c r="U231" i="1"/>
  <c r="U376" i="1"/>
  <c r="V376" i="1"/>
  <c r="V246" i="1"/>
  <c r="U246" i="1"/>
  <c r="V247" i="1"/>
  <c r="U247" i="1"/>
  <c r="V51" i="1"/>
  <c r="U51" i="1"/>
  <c r="U296" i="1"/>
  <c r="V296" i="1"/>
  <c r="V678" i="1"/>
  <c r="U678" i="1"/>
  <c r="U373" i="1"/>
  <c r="V373" i="1"/>
  <c r="U534" i="1"/>
  <c r="V534" i="1"/>
  <c r="V49" i="1"/>
  <c r="U49" i="1"/>
  <c r="U614" i="1"/>
  <c r="V614" i="1"/>
  <c r="V129" i="1"/>
  <c r="U129" i="1"/>
  <c r="V371" i="1"/>
  <c r="U371" i="1"/>
  <c r="V368" i="1"/>
  <c r="U368" i="1"/>
  <c r="U234" i="1"/>
  <c r="V234" i="1"/>
  <c r="U508" i="1"/>
  <c r="V508" i="1"/>
  <c r="U143" i="1"/>
  <c r="V143" i="1"/>
  <c r="U241" i="1"/>
  <c r="V241" i="1"/>
  <c r="V389" i="1"/>
  <c r="U389" i="1"/>
  <c r="U278" i="1"/>
  <c r="V278" i="1"/>
  <c r="U277" i="1"/>
  <c r="V277" i="1"/>
  <c r="U244" i="1"/>
  <c r="V244" i="1"/>
  <c r="U115" i="1"/>
  <c r="V115" i="1"/>
  <c r="V605" i="1"/>
  <c r="U605" i="1"/>
  <c r="V658" i="1"/>
  <c r="U658" i="1"/>
  <c r="U559" i="1"/>
  <c r="V559" i="1"/>
  <c r="U640" i="1"/>
  <c r="V640" i="1"/>
  <c r="U793" i="1"/>
  <c r="V793" i="1"/>
  <c r="U518" i="1"/>
  <c r="V518" i="1"/>
  <c r="V511" i="1"/>
  <c r="U511" i="1"/>
  <c r="V516" i="1"/>
  <c r="U516" i="1"/>
  <c r="U192" i="1"/>
  <c r="V192" i="1"/>
  <c r="V94" i="1"/>
  <c r="U94" i="1"/>
  <c r="V236" i="1"/>
  <c r="U236" i="1"/>
  <c r="V558" i="1"/>
  <c r="U558" i="1"/>
  <c r="U791" i="1"/>
  <c r="V791" i="1"/>
  <c r="U273" i="1"/>
  <c r="V273" i="1"/>
  <c r="U308" i="1"/>
  <c r="V308" i="1"/>
  <c r="U356" i="1"/>
  <c r="V356" i="1"/>
  <c r="V396" i="1"/>
  <c r="U396" i="1"/>
  <c r="U674" i="1"/>
  <c r="V674" i="1"/>
  <c r="V270" i="1"/>
  <c r="U270" i="1"/>
  <c r="U8" i="1"/>
  <c r="V8" i="1"/>
  <c r="V306" i="1"/>
  <c r="U306" i="1"/>
  <c r="U697" i="1"/>
  <c r="V697" i="1"/>
  <c r="V184" i="1"/>
  <c r="U184" i="1"/>
  <c r="V634" i="1"/>
  <c r="U634" i="1"/>
  <c r="U46" i="1"/>
  <c r="V46" i="1"/>
  <c r="V427" i="1"/>
  <c r="U427" i="1"/>
  <c r="U804" i="1"/>
  <c r="V804" i="1"/>
  <c r="V426" i="1"/>
  <c r="U426" i="1"/>
  <c r="U425" i="1"/>
  <c r="V425" i="1"/>
  <c r="U424" i="1"/>
  <c r="V424" i="1"/>
  <c r="U496" i="1"/>
  <c r="V496" i="1"/>
  <c r="U165" i="1"/>
  <c r="V165" i="1"/>
  <c r="V650" i="1"/>
  <c r="U650" i="1"/>
  <c r="V487" i="1"/>
  <c r="U487" i="1"/>
  <c r="U423" i="1"/>
  <c r="V423" i="1"/>
  <c r="V288" i="1"/>
  <c r="U288" i="1"/>
  <c r="V344" i="1"/>
  <c r="U344" i="1"/>
  <c r="V138" i="1"/>
  <c r="U138" i="1"/>
  <c r="V422" i="1"/>
  <c r="U422" i="1"/>
  <c r="U11" i="1"/>
  <c r="V11" i="1"/>
  <c r="V103" i="1"/>
  <c r="U103" i="1"/>
  <c r="U135" i="1"/>
  <c r="V135" i="1"/>
  <c r="V150" i="1"/>
  <c r="U150" i="1"/>
  <c r="U731" i="1"/>
  <c r="V731" i="1"/>
  <c r="U38" i="1"/>
  <c r="V38" i="1"/>
  <c r="U682" i="1"/>
  <c r="V682" i="1"/>
  <c r="V445" i="1"/>
  <c r="U445" i="1"/>
  <c r="V505" i="1"/>
  <c r="U505" i="1"/>
  <c r="U536" i="1"/>
  <c r="V536" i="1"/>
  <c r="U771" i="1"/>
  <c r="V771" i="1"/>
  <c r="V15" i="1"/>
  <c r="U15" i="1"/>
  <c r="V204" i="1"/>
  <c r="U204" i="1"/>
  <c r="U719" i="1"/>
  <c r="V719" i="1"/>
  <c r="V407" i="1"/>
  <c r="U407" i="1"/>
  <c r="V60" i="1"/>
  <c r="U60" i="1"/>
  <c r="V459" i="1"/>
  <c r="U459" i="1"/>
  <c r="U452" i="1"/>
  <c r="V452" i="1"/>
  <c r="U649" i="1"/>
  <c r="V649" i="1"/>
  <c r="U318" i="1"/>
  <c r="V318" i="1"/>
  <c r="V766" i="1"/>
  <c r="U766" i="1"/>
  <c r="U710" i="1"/>
  <c r="V710" i="1"/>
  <c r="U121" i="1"/>
  <c r="V121" i="1"/>
  <c r="U201" i="1"/>
  <c r="V201" i="1"/>
  <c r="U431" i="1"/>
  <c r="V431" i="1"/>
  <c r="V72" i="1"/>
  <c r="U72" i="1"/>
  <c r="U669" i="1"/>
  <c r="V669" i="1"/>
  <c r="U794" i="1"/>
  <c r="V794" i="1"/>
  <c r="U20" i="1"/>
  <c r="V20" i="1"/>
  <c r="U166" i="1"/>
  <c r="V166" i="1"/>
  <c r="U718" i="1"/>
  <c r="V718" i="1"/>
  <c r="U715" i="1"/>
  <c r="V715" i="1"/>
  <c r="U133" i="1"/>
  <c r="V133" i="1"/>
  <c r="V266" i="1"/>
  <c r="U266" i="1"/>
  <c r="V179" i="1"/>
  <c r="U179" i="1"/>
  <c r="U335" i="1"/>
  <c r="V335" i="1"/>
  <c r="U342" i="1"/>
  <c r="V342" i="1"/>
  <c r="U304" i="1"/>
  <c r="V304" i="1"/>
  <c r="U343" i="1"/>
  <c r="V343" i="1"/>
  <c r="V770" i="1"/>
  <c r="U770" i="1"/>
  <c r="U488" i="1"/>
  <c r="V488" i="1"/>
  <c r="U527" i="1"/>
  <c r="V527" i="1"/>
  <c r="V219" i="1"/>
  <c r="U219" i="1"/>
  <c r="U83" i="1"/>
  <c r="V83" i="1"/>
  <c r="U223" i="1"/>
  <c r="V223" i="1"/>
  <c r="V563" i="1"/>
  <c r="U563" i="1"/>
  <c r="U513" i="1"/>
  <c r="V513" i="1"/>
  <c r="U214" i="1"/>
  <c r="V214" i="1"/>
  <c r="V611" i="1"/>
  <c r="U611" i="1"/>
  <c r="V602" i="1"/>
  <c r="U602" i="1"/>
  <c r="U101" i="1"/>
  <c r="V101" i="1"/>
  <c r="U207" i="1"/>
  <c r="V207" i="1"/>
  <c r="V336" i="1"/>
  <c r="U336" i="1"/>
  <c r="U663" i="1"/>
  <c r="V663" i="1"/>
  <c r="U510" i="1"/>
  <c r="V510" i="1"/>
  <c r="V391" i="1"/>
  <c r="U391" i="1"/>
  <c r="V303" i="1"/>
  <c r="U303" i="1"/>
  <c r="V593" i="1"/>
  <c r="U593" i="1"/>
  <c r="V263" i="1"/>
  <c r="U263" i="1"/>
  <c r="U627" i="1"/>
  <c r="V627" i="1"/>
  <c r="V625" i="1"/>
  <c r="U625" i="1"/>
  <c r="V174" i="1"/>
  <c r="U174" i="1"/>
  <c r="U785" i="1"/>
  <c r="V785" i="1"/>
  <c r="U86" i="1"/>
  <c r="V86" i="1"/>
  <c r="U738" i="1"/>
  <c r="V738" i="1"/>
  <c r="U261" i="1"/>
  <c r="V261" i="1"/>
  <c r="U525" i="1"/>
  <c r="V525" i="1"/>
  <c r="U256" i="1"/>
  <c r="V256" i="1"/>
  <c r="V783" i="1"/>
  <c r="U783" i="1"/>
  <c r="U171" i="1"/>
  <c r="V171" i="1"/>
  <c r="U454" i="1"/>
  <c r="V454" i="1"/>
  <c r="V741" i="1"/>
  <c r="U741" i="1"/>
  <c r="U706" i="1"/>
  <c r="V706" i="1"/>
  <c r="U53" i="1"/>
  <c r="V53" i="1"/>
  <c r="U702" i="1"/>
  <c r="V702" i="1"/>
  <c r="U403" i="1"/>
  <c r="V403" i="1"/>
  <c r="V643" i="1"/>
  <c r="U643" i="1"/>
  <c r="U384" i="1"/>
  <c r="V384" i="1"/>
  <c r="V537" i="1"/>
  <c r="U537" i="1"/>
  <c r="U34" i="1"/>
  <c r="V34" i="1"/>
  <c r="V300" i="1"/>
  <c r="U300" i="1"/>
  <c r="U471" i="1"/>
  <c r="V471" i="1"/>
  <c r="V638" i="1"/>
  <c r="U638" i="1"/>
  <c r="U32" i="1"/>
  <c r="V32" i="1"/>
  <c r="U348" i="1"/>
  <c r="V348" i="1"/>
  <c r="U232" i="1"/>
  <c r="V232" i="1"/>
  <c r="U624" i="1"/>
  <c r="V624" i="1"/>
  <c r="U596" i="1"/>
  <c r="V596" i="1"/>
  <c r="V568" i="1"/>
  <c r="U568" i="1"/>
  <c r="U239" i="1"/>
  <c r="V239" i="1"/>
  <c r="V280" i="1"/>
  <c r="U280" i="1"/>
  <c r="U314" i="1"/>
  <c r="V314" i="1"/>
  <c r="V117" i="1"/>
  <c r="U117" i="1"/>
  <c r="V491" i="1"/>
  <c r="U491" i="1"/>
  <c r="V19" i="1"/>
  <c r="U19" i="1"/>
  <c r="V195" i="1"/>
  <c r="U195" i="1"/>
  <c r="V765" i="1"/>
  <c r="U765" i="1"/>
  <c r="U567" i="1"/>
  <c r="V567" i="1"/>
  <c r="V768" i="1"/>
  <c r="U768" i="1"/>
  <c r="U144" i="1"/>
  <c r="V144" i="1"/>
  <c r="U533" i="1"/>
  <c r="V533" i="1"/>
  <c r="U242" i="1"/>
  <c r="V242" i="1"/>
  <c r="U194" i="1"/>
  <c r="V194" i="1"/>
  <c r="U10" i="1"/>
  <c r="V10" i="1"/>
  <c r="U478" i="1"/>
  <c r="V478" i="1"/>
  <c r="U363" i="1"/>
  <c r="V363" i="1"/>
  <c r="U243" i="1"/>
  <c r="V243" i="1"/>
  <c r="U141" i="1"/>
  <c r="V141" i="1"/>
  <c r="U366" i="1"/>
  <c r="V366" i="1"/>
  <c r="V755" i="1"/>
  <c r="U755" i="1"/>
  <c r="U598" i="1"/>
  <c r="V598" i="1"/>
  <c r="U160" i="1"/>
  <c r="V160" i="1"/>
  <c r="U275" i="1"/>
  <c r="V275" i="1"/>
  <c r="U677" i="1"/>
  <c r="V677" i="1"/>
  <c r="U238" i="1"/>
  <c r="V238" i="1"/>
  <c r="U237" i="1"/>
  <c r="V237" i="1"/>
  <c r="U191" i="1"/>
  <c r="V191" i="1"/>
  <c r="V355" i="1"/>
  <c r="U355" i="1"/>
  <c r="U361" i="1"/>
  <c r="V361" i="1"/>
  <c r="V789" i="1"/>
  <c r="U789" i="1"/>
  <c r="U799" i="1"/>
  <c r="V799" i="1"/>
  <c r="U188" i="1"/>
  <c r="V188" i="1"/>
  <c r="V190" i="1"/>
  <c r="U190" i="1"/>
  <c r="V398" i="1"/>
  <c r="U398" i="1"/>
  <c r="U269" i="1"/>
  <c r="V269" i="1"/>
  <c r="U531" i="1"/>
  <c r="V531" i="1"/>
  <c r="U186" i="1"/>
  <c r="V186" i="1"/>
  <c r="U450" i="1"/>
  <c r="V450" i="1"/>
  <c r="U126" i="1"/>
  <c r="V126" i="1"/>
  <c r="V637" i="1"/>
  <c r="U637" i="1"/>
  <c r="U44" i="1"/>
  <c r="V44" i="1"/>
  <c r="U228" i="1"/>
  <c r="V228" i="1"/>
  <c r="U698" i="1"/>
  <c r="V698" i="1"/>
  <c r="U347" i="1"/>
  <c r="V347" i="1"/>
  <c r="U646" i="1"/>
  <c r="V646" i="1"/>
  <c r="V803" i="1"/>
  <c r="U803" i="1"/>
  <c r="V693" i="1"/>
  <c r="U693" i="1"/>
  <c r="U120" i="1"/>
  <c r="V120" i="1"/>
  <c r="U183" i="1"/>
  <c r="V183" i="1"/>
  <c r="U613" i="1"/>
  <c r="V613" i="1"/>
  <c r="U522" i="1"/>
  <c r="V522" i="1"/>
  <c r="U746" i="1"/>
  <c r="V746" i="1"/>
  <c r="U225" i="1"/>
  <c r="V225" i="1"/>
  <c r="V157" i="1"/>
  <c r="U157" i="1"/>
  <c r="V97" i="1"/>
  <c r="U97" i="1"/>
  <c r="U226" i="1"/>
  <c r="V226" i="1"/>
  <c r="U760" i="1"/>
  <c r="V760" i="1"/>
  <c r="U515" i="1"/>
  <c r="V515" i="1"/>
  <c r="U585" i="1"/>
  <c r="V585" i="1"/>
  <c r="U514" i="1"/>
  <c r="V514" i="1"/>
  <c r="V29" i="1"/>
  <c r="U29" i="1"/>
  <c r="V64" i="1"/>
  <c r="U64" i="1"/>
  <c r="U163" i="1"/>
  <c r="V163" i="1"/>
  <c r="U80" i="1"/>
  <c r="V80" i="1"/>
  <c r="U79" i="1"/>
  <c r="V79" i="1"/>
  <c r="U284" i="1"/>
  <c r="V284" i="1"/>
  <c r="V481" i="1"/>
  <c r="U481" i="1"/>
  <c r="V457" i="1"/>
  <c r="U457" i="1"/>
  <c r="V462" i="1"/>
  <c r="U462" i="1"/>
  <c r="U62" i="1"/>
  <c r="V62" i="1"/>
  <c r="U721" i="1"/>
  <c r="V721" i="1"/>
  <c r="U405" i="1"/>
  <c r="V405" i="1"/>
  <c r="V58" i="1"/>
  <c r="U58" i="1"/>
  <c r="V130" i="1"/>
  <c r="U130" i="1"/>
  <c r="V485" i="1"/>
  <c r="U485" i="1"/>
  <c r="U713" i="1"/>
  <c r="V713" i="1"/>
  <c r="U146" i="1"/>
  <c r="V146" i="1"/>
  <c r="U588" i="1"/>
  <c r="V588" i="1"/>
  <c r="V379" i="1"/>
  <c r="U379" i="1"/>
  <c r="U479" i="1"/>
  <c r="V479" i="1"/>
  <c r="U545" i="1"/>
  <c r="V545" i="1"/>
  <c r="U47" i="1"/>
  <c r="V47" i="1"/>
  <c r="U158" i="1"/>
  <c r="V158" i="1"/>
  <c r="U71" i="1"/>
  <c r="V71" i="1"/>
  <c r="V529" i="1"/>
  <c r="U529" i="1"/>
  <c r="U404" i="1"/>
  <c r="V404" i="1"/>
  <c r="U642" i="1"/>
  <c r="V642" i="1"/>
  <c r="U615" i="1"/>
  <c r="V615" i="1"/>
  <c r="U717" i="1"/>
  <c r="V717" i="1"/>
  <c r="V218" i="1"/>
  <c r="U218" i="1"/>
  <c r="V131" i="1"/>
  <c r="U131" i="1"/>
  <c r="V661" i="1"/>
  <c r="U661" i="1"/>
  <c r="U388" i="1"/>
  <c r="V388" i="1"/>
  <c r="V420" i="1"/>
  <c r="U420" i="1"/>
  <c r="V39" i="1"/>
  <c r="U39" i="1"/>
  <c r="U421" i="1"/>
  <c r="V421" i="1"/>
  <c r="U222" i="1"/>
  <c r="V222" i="1"/>
  <c r="U451" i="1"/>
  <c r="V451" i="1"/>
  <c r="V419" i="1"/>
  <c r="U419" i="1"/>
  <c r="V418" i="1"/>
  <c r="U418" i="1"/>
  <c r="U264" i="1"/>
  <c r="V264" i="1"/>
  <c r="V340" i="1"/>
  <c r="U340" i="1"/>
  <c r="U221" i="1"/>
  <c r="V221" i="1"/>
  <c r="U474" i="1"/>
  <c r="V474" i="1"/>
  <c r="U213" i="1"/>
  <c r="V213" i="1"/>
  <c r="U562" i="1"/>
  <c r="V562" i="1"/>
  <c r="U786" i="1"/>
  <c r="V786" i="1"/>
  <c r="U526" i="1"/>
  <c r="V526" i="1"/>
  <c r="U217" i="1"/>
  <c r="V217" i="1"/>
  <c r="V787" i="1"/>
  <c r="U787" i="1"/>
  <c r="U265" i="1"/>
  <c r="V265" i="1"/>
  <c r="U215" i="1"/>
  <c r="V215" i="1"/>
  <c r="V561" i="1"/>
  <c r="U561" i="1"/>
  <c r="U9" i="1"/>
  <c r="V9" i="1"/>
  <c r="U156" i="1"/>
  <c r="V156" i="1"/>
  <c r="U297" i="1"/>
  <c r="V297" i="1"/>
  <c r="U330" i="1"/>
  <c r="V330" i="1"/>
  <c r="U262" i="1"/>
  <c r="V262" i="1"/>
  <c r="V502" i="1"/>
  <c r="U502" i="1"/>
  <c r="U167" i="1"/>
  <c r="V167" i="1"/>
  <c r="U12" i="1"/>
  <c r="V12" i="1"/>
  <c r="U538" i="1"/>
  <c r="V538" i="1"/>
  <c r="V99" i="1"/>
  <c r="U99" i="1"/>
  <c r="V557" i="1"/>
  <c r="U557" i="1"/>
  <c r="U324" i="1"/>
  <c r="V324" i="1"/>
  <c r="U749" i="1"/>
  <c r="V749" i="1"/>
  <c r="V260" i="1"/>
  <c r="U260" i="1"/>
  <c r="U560" i="1"/>
  <c r="V560" i="1"/>
  <c r="V448" i="1"/>
  <c r="U448" i="1"/>
  <c r="U705" i="1"/>
  <c r="V705" i="1"/>
  <c r="V54" i="1"/>
  <c r="U54" i="1"/>
  <c r="U196" i="1"/>
  <c r="V196" i="1"/>
  <c r="V440" i="1"/>
  <c r="U440" i="1"/>
  <c r="V402" i="1"/>
  <c r="U402" i="1"/>
  <c r="U22" i="1"/>
  <c r="V22" i="1"/>
  <c r="U732" i="1"/>
  <c r="V732" i="1"/>
  <c r="U763" i="1"/>
  <c r="V763" i="1"/>
  <c r="U70" i="1"/>
  <c r="V70" i="1"/>
  <c r="V127" i="1"/>
  <c r="U127" i="1"/>
  <c r="U299" i="1"/>
  <c r="V299" i="1"/>
  <c r="U33" i="1"/>
  <c r="V33" i="1"/>
  <c r="V587" i="1"/>
  <c r="U587" i="1"/>
  <c r="U798" i="1"/>
  <c r="V798" i="1"/>
  <c r="U354" i="1"/>
  <c r="V354" i="1"/>
  <c r="V438" i="1"/>
  <c r="U438" i="1"/>
  <c r="U618" i="1"/>
  <c r="V618" i="1"/>
  <c r="U367" i="1"/>
  <c r="V367" i="1"/>
  <c r="U370" i="1"/>
  <c r="V370" i="1"/>
  <c r="V375" i="1"/>
  <c r="U375" i="1"/>
  <c r="V315" i="1"/>
  <c r="U315" i="1"/>
  <c r="V161" i="1"/>
  <c r="U161" i="1"/>
  <c r="U208" i="1"/>
  <c r="V208" i="1"/>
  <c r="V77" i="1"/>
  <c r="U77" i="1"/>
  <c r="V385" i="1"/>
  <c r="U385" i="1"/>
  <c r="V372" i="1"/>
  <c r="U372" i="1"/>
  <c r="V113" i="1"/>
  <c r="U113" i="1"/>
  <c r="U517" i="1"/>
  <c r="V517" i="1"/>
  <c r="U279" i="1"/>
  <c r="V279" i="1"/>
  <c r="U313" i="1"/>
  <c r="V313" i="1"/>
  <c r="U805" i="1"/>
  <c r="V805" i="1"/>
  <c r="U369" i="1"/>
  <c r="V369" i="1"/>
  <c r="V152" i="1"/>
  <c r="U152" i="1"/>
  <c r="U781" i="1"/>
  <c r="V781" i="1"/>
  <c r="V362" i="1"/>
  <c r="U362" i="1"/>
  <c r="U154" i="1"/>
  <c r="V154" i="1"/>
  <c r="U437" i="1"/>
  <c r="V437" i="1"/>
  <c r="V676" i="1"/>
  <c r="U676" i="1"/>
  <c r="U566" i="1"/>
  <c r="V566" i="1"/>
  <c r="U597" i="1"/>
  <c r="V597" i="1"/>
  <c r="V293" i="1"/>
  <c r="U293" i="1"/>
  <c r="U309" i="1"/>
  <c r="V309" i="1"/>
  <c r="U193" i="1"/>
  <c r="V193" i="1"/>
  <c r="V700" i="1"/>
  <c r="U700" i="1"/>
  <c r="V310" i="1"/>
  <c r="U310" i="1"/>
  <c r="V639" i="1"/>
  <c r="U639" i="1"/>
  <c r="U565" i="1"/>
  <c r="V565" i="1"/>
  <c r="U792" i="1"/>
  <c r="V792" i="1"/>
  <c r="V754" i="1"/>
  <c r="U754" i="1"/>
  <c r="U112" i="1"/>
  <c r="V112" i="1"/>
  <c r="U458" i="1"/>
  <c r="V458" i="1"/>
  <c r="U233" i="1"/>
  <c r="V233" i="1"/>
  <c r="U187" i="1"/>
  <c r="V187" i="1"/>
  <c r="U788" i="1"/>
  <c r="V788" i="1"/>
  <c r="V397" i="1"/>
  <c r="U397" i="1"/>
  <c r="U673" i="1"/>
  <c r="V673" i="1"/>
  <c r="U316" i="1"/>
  <c r="V316" i="1"/>
  <c r="V666" i="1"/>
  <c r="U666" i="1"/>
  <c r="U695" i="1"/>
  <c r="V695" i="1"/>
  <c r="V648" i="1"/>
  <c r="U648" i="1"/>
  <c r="U69" i="1"/>
  <c r="V69" i="1"/>
  <c r="U484" i="1"/>
  <c r="V484" i="1"/>
  <c r="U227" i="1"/>
  <c r="V227" i="1"/>
  <c r="U428" i="1"/>
  <c r="V428" i="1"/>
  <c r="U476" i="1"/>
  <c r="V476" i="1"/>
  <c r="U692" i="1"/>
  <c r="V692" i="1"/>
  <c r="U691" i="1"/>
  <c r="V691" i="1"/>
  <c r="U544" i="1"/>
  <c r="V544" i="1"/>
  <c r="O138" i="1" l="1"/>
  <c r="O810" i="1"/>
  <c r="O618" i="1"/>
  <c r="O126" i="1"/>
  <c r="O130" i="1"/>
  <c r="O802" i="1"/>
  <c r="O34" i="1"/>
  <c r="O349" i="1"/>
  <c r="O617" i="1"/>
  <c r="O809" i="1"/>
  <c r="O351" i="1"/>
  <c r="O376" i="1"/>
  <c r="O384" i="1"/>
  <c r="O446" i="1"/>
  <c r="O439" i="1"/>
  <c r="O731" i="1"/>
  <c r="O727" i="1"/>
  <c r="O137" i="1"/>
  <c r="O431" i="1"/>
  <c r="O248" i="1"/>
  <c r="O195" i="1"/>
  <c r="O599" i="1"/>
  <c r="O296" i="1"/>
  <c r="O449" i="1"/>
  <c r="O450" i="1"/>
  <c r="O315" i="1"/>
  <c r="O304" i="1"/>
  <c r="O624" i="1"/>
  <c r="O622" i="1"/>
  <c r="O285" i="1"/>
  <c r="O280" i="1"/>
  <c r="O748" i="1"/>
  <c r="O385" i="1"/>
  <c r="O388" i="1"/>
  <c r="O780" i="1" l="1"/>
  <c r="O45" i="1"/>
  <c r="O453" i="1"/>
  <c r="O131" i="1"/>
  <c r="O141" i="1"/>
  <c r="N416" i="1" l="1"/>
  <c r="W416" i="1" s="1"/>
  <c r="N436" i="1"/>
  <c r="W436" i="1" s="1"/>
  <c r="N553" i="1"/>
  <c r="W553" i="1" s="1"/>
  <c r="N552" i="1"/>
  <c r="W552" i="1" s="1"/>
  <c r="N435" i="1"/>
  <c r="W435" i="1" s="1"/>
  <c r="N415" i="1"/>
  <c r="W415" i="1" s="1"/>
  <c r="N495" i="1"/>
  <c r="W495" i="1" s="1"/>
  <c r="N494" i="1"/>
  <c r="W494" i="1" s="1"/>
  <c r="N493" i="1"/>
  <c r="W493" i="1" s="1"/>
  <c r="N93" i="1"/>
  <c r="W93" i="1" s="1"/>
  <c r="N524" i="1"/>
  <c r="W524" i="1" s="1"/>
  <c r="N464" i="1"/>
  <c r="W464" i="1" s="1"/>
  <c r="N463" i="1"/>
  <c r="W463" i="1" s="1"/>
  <c r="N286" i="1"/>
  <c r="W286" i="1" s="1"/>
  <c r="N289" i="1"/>
  <c r="W289" i="1" s="1"/>
  <c r="N790" i="1"/>
  <c r="W790" i="1" s="1"/>
  <c r="N784" i="1"/>
  <c r="W784" i="1" s="1"/>
  <c r="N282" i="1"/>
  <c r="W282" i="1" s="1"/>
  <c r="N268" i="1"/>
  <c r="W268" i="1" s="1"/>
  <c r="N577" i="1"/>
  <c r="W577" i="1" s="1"/>
  <c r="N490" i="1"/>
  <c r="W490" i="1" s="1"/>
  <c r="N360" i="1"/>
  <c r="W360" i="1" s="1"/>
  <c r="R490" i="1" l="1"/>
  <c r="Q490" i="1"/>
  <c r="T490" i="1" s="1"/>
  <c r="P490" i="1"/>
  <c r="R784" i="1"/>
  <c r="Q784" i="1"/>
  <c r="T784" i="1" s="1"/>
  <c r="P784" i="1"/>
  <c r="R463" i="1"/>
  <c r="Q463" i="1"/>
  <c r="T463" i="1" s="1"/>
  <c r="P463" i="1"/>
  <c r="R493" i="1"/>
  <c r="Q493" i="1"/>
  <c r="T493" i="1" s="1"/>
  <c r="P493" i="1"/>
  <c r="R435" i="1"/>
  <c r="Q435" i="1"/>
  <c r="T435" i="1" s="1"/>
  <c r="P435" i="1"/>
  <c r="R416" i="1"/>
  <c r="Q416" i="1"/>
  <c r="T416" i="1" s="1"/>
  <c r="P416" i="1"/>
  <c r="R577" i="1"/>
  <c r="Q577" i="1"/>
  <c r="T577" i="1" s="1"/>
  <c r="P577" i="1"/>
  <c r="R790" i="1"/>
  <c r="Q790" i="1"/>
  <c r="T790" i="1" s="1"/>
  <c r="P790" i="1"/>
  <c r="R464" i="1"/>
  <c r="Q464" i="1"/>
  <c r="T464" i="1" s="1"/>
  <c r="P464" i="1"/>
  <c r="R494" i="1"/>
  <c r="Q494" i="1"/>
  <c r="T494" i="1" s="1"/>
  <c r="P494" i="1"/>
  <c r="R552" i="1"/>
  <c r="Q552" i="1"/>
  <c r="T552" i="1" s="1"/>
  <c r="P552" i="1"/>
  <c r="P268" i="1"/>
  <c r="R268" i="1"/>
  <c r="Q268" i="1"/>
  <c r="T268" i="1" s="1"/>
  <c r="P289" i="1"/>
  <c r="R289" i="1"/>
  <c r="Q289" i="1"/>
  <c r="T289" i="1" s="1"/>
  <c r="P524" i="1"/>
  <c r="R524" i="1"/>
  <c r="Q524" i="1"/>
  <c r="T524" i="1" s="1"/>
  <c r="P495" i="1"/>
  <c r="R495" i="1"/>
  <c r="Q495" i="1"/>
  <c r="T495" i="1" s="1"/>
  <c r="P553" i="1"/>
  <c r="R553" i="1"/>
  <c r="Q553" i="1"/>
  <c r="T553" i="1" s="1"/>
  <c r="Q360" i="1"/>
  <c r="T360" i="1" s="1"/>
  <c r="P360" i="1"/>
  <c r="R360" i="1"/>
  <c r="Q282" i="1"/>
  <c r="T282" i="1" s="1"/>
  <c r="P282" i="1"/>
  <c r="R282" i="1"/>
  <c r="Q286" i="1"/>
  <c r="T286" i="1" s="1"/>
  <c r="P286" i="1"/>
  <c r="R286" i="1"/>
  <c r="Q93" i="1"/>
  <c r="T93" i="1" s="1"/>
  <c r="P93" i="1"/>
  <c r="R93" i="1"/>
  <c r="Q415" i="1"/>
  <c r="T415" i="1" s="1"/>
  <c r="P415" i="1"/>
  <c r="R415" i="1"/>
  <c r="Q436" i="1"/>
  <c r="T436" i="1" s="1"/>
  <c r="P436" i="1"/>
  <c r="R436" i="1"/>
  <c r="N272" i="1"/>
  <c r="W272" i="1" s="1"/>
  <c r="N654" i="1"/>
  <c r="W654" i="1" s="1"/>
  <c r="N151" i="1"/>
  <c r="W151" i="1" s="1"/>
  <c r="N75" i="1"/>
  <c r="W75" i="1" s="1"/>
  <c r="N359" i="1"/>
  <c r="W359" i="1" s="1"/>
  <c r="N74" i="1"/>
  <c r="W74" i="1" s="1"/>
  <c r="N259" i="1"/>
  <c r="W259" i="1" s="1"/>
  <c r="N328" i="1"/>
  <c r="W328" i="1" s="1"/>
  <c r="N473" i="1"/>
  <c r="W473" i="1" s="1"/>
  <c r="N595" i="1"/>
  <c r="W595" i="1" s="1"/>
  <c r="N592" i="1"/>
  <c r="W592" i="1" s="1"/>
  <c r="N742" i="1"/>
  <c r="W742" i="1" s="1"/>
  <c r="N745" i="1"/>
  <c r="W745" i="1" s="1"/>
  <c r="N394" i="1"/>
  <c r="W394" i="1" s="1"/>
  <c r="N400" i="1"/>
  <c r="W400" i="1" s="1"/>
  <c r="N660" i="1"/>
  <c r="W660" i="1" s="1"/>
  <c r="N271" i="1"/>
  <c r="W271" i="1" s="1"/>
  <c r="N393" i="1"/>
  <c r="W393" i="1" s="1"/>
  <c r="N399" i="1"/>
  <c r="W399" i="1" s="1"/>
  <c r="N358" i="1"/>
  <c r="W358" i="1" s="1"/>
  <c r="N530" i="1"/>
  <c r="W530" i="1" s="1"/>
  <c r="N170" i="1"/>
  <c r="W170" i="1" s="1"/>
  <c r="N357" i="1"/>
  <c r="W357" i="1" s="1"/>
  <c r="N327" i="1"/>
  <c r="W327" i="1" s="1"/>
  <c r="N87" i="1"/>
  <c r="W87" i="1" s="1"/>
  <c r="N591" i="1"/>
  <c r="W591" i="1" s="1"/>
  <c r="N472" i="1"/>
  <c r="W472" i="1" s="1"/>
  <c r="N590" i="1"/>
  <c r="W590" i="1" s="1"/>
  <c r="N470" i="1"/>
  <c r="W470" i="1" s="1"/>
  <c r="N756" i="1"/>
  <c r="W756" i="1" s="1"/>
  <c r="N406" i="1"/>
  <c r="W406" i="1" s="1"/>
  <c r="N205" i="1"/>
  <c r="W205" i="1" s="1"/>
  <c r="N169" i="1"/>
  <c r="W169" i="1" s="1"/>
  <c r="N395" i="1"/>
  <c r="W395" i="1" s="1"/>
  <c r="N523" i="1"/>
  <c r="W523" i="1" s="1"/>
  <c r="N532" i="1"/>
  <c r="W532" i="1" s="1"/>
  <c r="N17" i="1"/>
  <c r="W17" i="1" s="1"/>
  <c r="N769" i="1"/>
  <c r="W769" i="1" s="1"/>
  <c r="N413" i="1"/>
  <c r="W413" i="1" s="1"/>
  <c r="N776" i="1"/>
  <c r="W776" i="1" s="1"/>
  <c r="N772" i="1"/>
  <c r="W772" i="1" s="1"/>
  <c r="R413" i="1" l="1"/>
  <c r="Q413" i="1"/>
  <c r="P413" i="1"/>
  <c r="R406" i="1"/>
  <c r="Q406" i="1"/>
  <c r="T406" i="1" s="1"/>
  <c r="P406" i="1"/>
  <c r="R472" i="1"/>
  <c r="Q472" i="1"/>
  <c r="T472" i="1" s="1"/>
  <c r="P472" i="1"/>
  <c r="R399" i="1"/>
  <c r="Q399" i="1"/>
  <c r="P399" i="1"/>
  <c r="R400" i="1"/>
  <c r="Q400" i="1"/>
  <c r="T400" i="1" s="1"/>
  <c r="P400" i="1"/>
  <c r="R259" i="1"/>
  <c r="Q259" i="1"/>
  <c r="T259" i="1" s="1"/>
  <c r="P259" i="1"/>
  <c r="R151" i="1"/>
  <c r="Q151" i="1"/>
  <c r="T151" i="1" s="1"/>
  <c r="P151" i="1"/>
  <c r="R769" i="1"/>
  <c r="Q769" i="1"/>
  <c r="T769" i="1" s="1"/>
  <c r="P769" i="1"/>
  <c r="R395" i="1"/>
  <c r="Q395" i="1"/>
  <c r="T395" i="1" s="1"/>
  <c r="P395" i="1"/>
  <c r="R756" i="1"/>
  <c r="Q756" i="1"/>
  <c r="T756" i="1" s="1"/>
  <c r="P756" i="1"/>
  <c r="R591" i="1"/>
  <c r="Q591" i="1"/>
  <c r="T591" i="1" s="1"/>
  <c r="P591" i="1"/>
  <c r="R170" i="1"/>
  <c r="Q170" i="1"/>
  <c r="T170" i="1" s="1"/>
  <c r="P170" i="1"/>
  <c r="R393" i="1"/>
  <c r="Q393" i="1"/>
  <c r="T393" i="1" s="1"/>
  <c r="P393" i="1"/>
  <c r="R394" i="1"/>
  <c r="Q394" i="1"/>
  <c r="T394" i="1" s="1"/>
  <c r="P394" i="1"/>
  <c r="R595" i="1"/>
  <c r="Q595" i="1"/>
  <c r="T595" i="1" s="1"/>
  <c r="P595" i="1"/>
  <c r="R74" i="1"/>
  <c r="Q74" i="1"/>
  <c r="T74" i="1" s="1"/>
  <c r="P74" i="1"/>
  <c r="R654" i="1"/>
  <c r="Q654" i="1"/>
  <c r="T654" i="1" s="1"/>
  <c r="P654" i="1"/>
  <c r="P772" i="1"/>
  <c r="R772" i="1"/>
  <c r="Q772" i="1"/>
  <c r="T772" i="1" s="1"/>
  <c r="P17" i="1"/>
  <c r="R17" i="1"/>
  <c r="Q17" i="1"/>
  <c r="T17" i="1" s="1"/>
  <c r="P169" i="1"/>
  <c r="R169" i="1"/>
  <c r="Q169" i="1"/>
  <c r="T169" i="1" s="1"/>
  <c r="P470" i="1"/>
  <c r="R470" i="1"/>
  <c r="Q470" i="1"/>
  <c r="T470" i="1" s="1"/>
  <c r="P87" i="1"/>
  <c r="R87" i="1"/>
  <c r="Q87" i="1"/>
  <c r="T87" i="1" s="1"/>
  <c r="P530" i="1"/>
  <c r="R530" i="1"/>
  <c r="Q530" i="1"/>
  <c r="T530" i="1" s="1"/>
  <c r="P271" i="1"/>
  <c r="R271" i="1"/>
  <c r="Q271" i="1"/>
  <c r="T271" i="1" s="1"/>
  <c r="P745" i="1"/>
  <c r="R745" i="1"/>
  <c r="Q745" i="1"/>
  <c r="T745" i="1" s="1"/>
  <c r="P473" i="1"/>
  <c r="R473" i="1"/>
  <c r="Q473" i="1"/>
  <c r="T473" i="1" s="1"/>
  <c r="P359" i="1"/>
  <c r="R359" i="1"/>
  <c r="Q359" i="1"/>
  <c r="T359" i="1" s="1"/>
  <c r="P272" i="1"/>
  <c r="R272" i="1"/>
  <c r="Q272" i="1"/>
  <c r="T272" i="1" s="1"/>
  <c r="R523" i="1"/>
  <c r="Q523" i="1"/>
  <c r="T523" i="1" s="1"/>
  <c r="P523" i="1"/>
  <c r="R357" i="1"/>
  <c r="Q357" i="1"/>
  <c r="T357" i="1" s="1"/>
  <c r="P357" i="1"/>
  <c r="R592" i="1"/>
  <c r="Q592" i="1"/>
  <c r="T592" i="1" s="1"/>
  <c r="P592" i="1"/>
  <c r="Q776" i="1"/>
  <c r="T776" i="1" s="1"/>
  <c r="P776" i="1"/>
  <c r="R776" i="1"/>
  <c r="Q532" i="1"/>
  <c r="T532" i="1" s="1"/>
  <c r="P532" i="1"/>
  <c r="R532" i="1"/>
  <c r="Q205" i="1"/>
  <c r="T205" i="1" s="1"/>
  <c r="P205" i="1"/>
  <c r="R205" i="1"/>
  <c r="Q590" i="1"/>
  <c r="T590" i="1" s="1"/>
  <c r="P590" i="1"/>
  <c r="R590" i="1"/>
  <c r="Q327" i="1"/>
  <c r="T327" i="1" s="1"/>
  <c r="P327" i="1"/>
  <c r="R327" i="1"/>
  <c r="Q358" i="1"/>
  <c r="T358" i="1" s="1"/>
  <c r="P358" i="1"/>
  <c r="R358" i="1"/>
  <c r="Q660" i="1"/>
  <c r="T660" i="1" s="1"/>
  <c r="P660" i="1"/>
  <c r="R660" i="1"/>
  <c r="Q742" i="1"/>
  <c r="T742" i="1" s="1"/>
  <c r="P742" i="1"/>
  <c r="R742" i="1"/>
  <c r="Q328" i="1"/>
  <c r="T328" i="1" s="1"/>
  <c r="P328" i="1"/>
  <c r="R328" i="1"/>
  <c r="Q75" i="1"/>
  <c r="T75" i="1" s="1"/>
  <c r="P75" i="1"/>
  <c r="R75" i="1"/>
  <c r="S494" i="1"/>
  <c r="S416" i="1"/>
  <c r="S286" i="1"/>
  <c r="S495" i="1"/>
  <c r="S490" i="1"/>
  <c r="S552" i="1"/>
  <c r="S577" i="1"/>
  <c r="S463" i="1"/>
  <c r="S93" i="1"/>
  <c r="S553" i="1"/>
  <c r="S268" i="1"/>
  <c r="S790" i="1"/>
  <c r="S493" i="1"/>
  <c r="S415" i="1"/>
  <c r="S360" i="1"/>
  <c r="S289" i="1"/>
  <c r="S784" i="1"/>
  <c r="S464" i="1"/>
  <c r="S435" i="1"/>
  <c r="S436" i="1"/>
  <c r="S282" i="1"/>
  <c r="S524" i="1"/>
  <c r="U790" i="1"/>
  <c r="V790" i="1"/>
  <c r="U493" i="1"/>
  <c r="V493" i="1"/>
  <c r="U415" i="1"/>
  <c r="V415" i="1"/>
  <c r="U360" i="1"/>
  <c r="V360" i="1"/>
  <c r="U289" i="1"/>
  <c r="V289" i="1"/>
  <c r="U464" i="1"/>
  <c r="V464" i="1"/>
  <c r="U435" i="1"/>
  <c r="V435" i="1"/>
  <c r="U436" i="1"/>
  <c r="V436" i="1"/>
  <c r="U282" i="1"/>
  <c r="V282" i="1"/>
  <c r="U524" i="1"/>
  <c r="V524" i="1"/>
  <c r="U494" i="1"/>
  <c r="V494" i="1"/>
  <c r="U416" i="1"/>
  <c r="V416" i="1"/>
  <c r="U784" i="1"/>
  <c r="V784" i="1"/>
  <c r="U286" i="1"/>
  <c r="V286" i="1"/>
  <c r="U495" i="1"/>
  <c r="V495" i="1"/>
  <c r="U490" i="1"/>
  <c r="V490" i="1"/>
  <c r="U552" i="1"/>
  <c r="V552" i="1"/>
  <c r="U577" i="1"/>
  <c r="V577" i="1"/>
  <c r="U463" i="1"/>
  <c r="V463" i="1"/>
  <c r="U93" i="1"/>
  <c r="V93" i="1"/>
  <c r="U553" i="1"/>
  <c r="V553" i="1"/>
  <c r="U268" i="1"/>
  <c r="V268" i="1"/>
  <c r="T413" i="1"/>
  <c r="T399" i="1"/>
  <c r="X772" i="1"/>
  <c r="X17" i="1"/>
  <c r="X169" i="1"/>
  <c r="X470" i="1"/>
  <c r="X87" i="1"/>
  <c r="X530" i="1"/>
  <c r="X271" i="1"/>
  <c r="X745" i="1"/>
  <c r="X473" i="1"/>
  <c r="X359" i="1"/>
  <c r="X272" i="1"/>
  <c r="X776" i="1"/>
  <c r="X532" i="1"/>
  <c r="X205" i="1"/>
  <c r="X590" i="1"/>
  <c r="X327" i="1"/>
  <c r="X358" i="1"/>
  <c r="X660" i="1"/>
  <c r="X742" i="1"/>
  <c r="X328" i="1"/>
  <c r="X75" i="1"/>
  <c r="X413" i="1"/>
  <c r="X523" i="1"/>
  <c r="X406" i="1"/>
  <c r="X472" i="1"/>
  <c r="X357" i="1"/>
  <c r="X399" i="1"/>
  <c r="X400" i="1"/>
  <c r="X592" i="1"/>
  <c r="X259" i="1"/>
  <c r="X151" i="1"/>
  <c r="X769" i="1"/>
  <c r="X395" i="1"/>
  <c r="X756" i="1"/>
  <c r="X591" i="1"/>
  <c r="X170" i="1"/>
  <c r="X393" i="1"/>
  <c r="X394" i="1"/>
  <c r="X595" i="1"/>
  <c r="X74" i="1"/>
  <c r="X654" i="1"/>
  <c r="X750" i="1"/>
  <c r="X16" i="1"/>
  <c r="X12" i="1"/>
  <c r="X326" i="1"/>
  <c r="X441" i="1"/>
  <c r="X424" i="1"/>
  <c r="X258" i="1"/>
  <c r="X257" i="1"/>
  <c r="X356" i="1"/>
  <c r="X348" i="1"/>
  <c r="X607" i="1"/>
  <c r="X8" i="1"/>
  <c r="X6" i="1"/>
  <c r="X674" i="1"/>
  <c r="X661" i="1"/>
  <c r="X691" i="1"/>
  <c r="X398" i="1"/>
  <c r="X392" i="1"/>
  <c r="X325" i="1"/>
  <c r="X633" i="1"/>
  <c r="X529" i="1"/>
  <c r="X531" i="1"/>
  <c r="X537" i="1"/>
  <c r="X496" i="1"/>
  <c r="X187" i="1"/>
  <c r="X168" i="1"/>
  <c r="X455" i="1"/>
  <c r="X798" i="1"/>
  <c r="X31" i="1"/>
  <c r="X397" i="1"/>
  <c r="X391" i="1"/>
  <c r="S523" i="1" l="1"/>
  <c r="S654" i="1"/>
  <c r="S393" i="1"/>
  <c r="S592" i="1"/>
  <c r="S328" i="1"/>
  <c r="S327" i="1"/>
  <c r="S473" i="1"/>
  <c r="S87" i="1"/>
  <c r="S772" i="1"/>
  <c r="S394" i="1"/>
  <c r="S756" i="1"/>
  <c r="S259" i="1"/>
  <c r="S357" i="1"/>
  <c r="S75" i="1"/>
  <c r="S358" i="1"/>
  <c r="S532" i="1"/>
  <c r="S359" i="1"/>
  <c r="S530" i="1"/>
  <c r="S17" i="1"/>
  <c r="S595" i="1"/>
  <c r="S591" i="1"/>
  <c r="S151" i="1"/>
  <c r="S399" i="1"/>
  <c r="S413" i="1"/>
  <c r="S660" i="1"/>
  <c r="S205" i="1"/>
  <c r="S745" i="1"/>
  <c r="S470" i="1"/>
  <c r="S395" i="1"/>
  <c r="S472" i="1"/>
  <c r="S776" i="1"/>
  <c r="S272" i="1"/>
  <c r="S271" i="1"/>
  <c r="S169" i="1"/>
  <c r="S74" i="1"/>
  <c r="S170" i="1"/>
  <c r="S769" i="1"/>
  <c r="S400" i="1"/>
  <c r="S406" i="1"/>
  <c r="S742" i="1"/>
  <c r="S590" i="1"/>
  <c r="U359" i="1"/>
  <c r="V359" i="1"/>
  <c r="U169" i="1"/>
  <c r="V169" i="1"/>
  <c r="U595" i="1"/>
  <c r="V595" i="1"/>
  <c r="U170" i="1"/>
  <c r="V170" i="1"/>
  <c r="U769" i="1"/>
  <c r="V769" i="1"/>
  <c r="U151" i="1"/>
  <c r="V151" i="1"/>
  <c r="U399" i="1"/>
  <c r="V399" i="1"/>
  <c r="U406" i="1"/>
  <c r="V406" i="1"/>
  <c r="U660" i="1"/>
  <c r="V660" i="1"/>
  <c r="U590" i="1"/>
  <c r="V590" i="1"/>
  <c r="U523" i="1"/>
  <c r="V523" i="1"/>
  <c r="U272" i="1"/>
  <c r="V272" i="1"/>
  <c r="U271" i="1"/>
  <c r="V271" i="1"/>
  <c r="U470" i="1"/>
  <c r="V470" i="1"/>
  <c r="U74" i="1"/>
  <c r="V74" i="1"/>
  <c r="U395" i="1"/>
  <c r="V395" i="1"/>
  <c r="U400" i="1"/>
  <c r="V400" i="1"/>
  <c r="U472" i="1"/>
  <c r="V472" i="1"/>
  <c r="U742" i="1"/>
  <c r="V742" i="1"/>
  <c r="U327" i="1"/>
  <c r="V327" i="1"/>
  <c r="U776" i="1"/>
  <c r="V776" i="1"/>
  <c r="U745" i="1"/>
  <c r="V745" i="1"/>
  <c r="U87" i="1"/>
  <c r="V87" i="1"/>
  <c r="U772" i="1"/>
  <c r="V772" i="1"/>
  <c r="U654" i="1"/>
  <c r="V654" i="1"/>
  <c r="U393" i="1"/>
  <c r="V393" i="1"/>
  <c r="U756" i="1"/>
  <c r="V756" i="1"/>
  <c r="U592" i="1"/>
  <c r="V592" i="1"/>
  <c r="U357" i="1"/>
  <c r="V357" i="1"/>
  <c r="U328" i="1"/>
  <c r="V328" i="1"/>
  <c r="U532" i="1"/>
  <c r="V532" i="1"/>
  <c r="U473" i="1"/>
  <c r="V473" i="1"/>
  <c r="U530" i="1"/>
  <c r="V530" i="1"/>
  <c r="U17" i="1"/>
  <c r="V17" i="1"/>
  <c r="U394" i="1"/>
  <c r="V394" i="1"/>
  <c r="U591" i="1"/>
  <c r="V591" i="1"/>
  <c r="U259" i="1"/>
  <c r="V259" i="1"/>
  <c r="U413" i="1"/>
  <c r="V413" i="1"/>
  <c r="U75" i="1"/>
  <c r="V75" i="1"/>
  <c r="U358" i="1"/>
  <c r="V358" i="1"/>
  <c r="U205" i="1"/>
  <c r="V205" i="1"/>
  <c r="V811" i="1" l="1"/>
</calcChain>
</file>

<file path=xl/sharedStrings.xml><?xml version="1.0" encoding="utf-8"?>
<sst xmlns="http://schemas.openxmlformats.org/spreadsheetml/2006/main" count="7902" uniqueCount="2582">
  <si>
    <t>Invoice Date</t>
  </si>
  <si>
    <t>Invoice No.</t>
  </si>
  <si>
    <t>Credit Note No.</t>
  </si>
  <si>
    <t>Client  Code</t>
  </si>
  <si>
    <t>Passenger</t>
  </si>
  <si>
    <t>Sectors From - To</t>
  </si>
  <si>
    <t>A L</t>
  </si>
  <si>
    <t>Ticket No</t>
  </si>
  <si>
    <t>Travel Date</t>
  </si>
  <si>
    <t>Ticket Fare</t>
  </si>
  <si>
    <t>Airport &amp; Servic Tax</t>
  </si>
  <si>
    <t>GROSS TOTAL</t>
  </si>
  <si>
    <t>C N AMNT</t>
  </si>
  <si>
    <t>Total Payable</t>
  </si>
  <si>
    <t>01/04/2013</t>
  </si>
  <si>
    <t>AI0000092</t>
  </si>
  <si>
    <t>INTERNAL</t>
  </si>
  <si>
    <t>5893513384841</t>
  </si>
  <si>
    <t>04-APR-13</t>
  </si>
  <si>
    <t>6EMQMDAN2</t>
  </si>
  <si>
    <t>02/04/2013</t>
  </si>
  <si>
    <t>AI0000145</t>
  </si>
  <si>
    <t>Upadhyay   Aditi  Ms.</t>
  </si>
  <si>
    <t>0983513384851</t>
  </si>
  <si>
    <t>03-APR-13</t>
  </si>
  <si>
    <t>6EVQD9LR2</t>
  </si>
  <si>
    <t>05-APR-13</t>
  </si>
  <si>
    <t>AI0000187</t>
  </si>
  <si>
    <t>Somaiya   Jigna  Ms.</t>
  </si>
  <si>
    <t>775ZHS3CR2</t>
  </si>
  <si>
    <t>06-APR-13</t>
  </si>
  <si>
    <t>6EFQNEDT1</t>
  </si>
  <si>
    <t>03/04/2013</t>
  </si>
  <si>
    <t>AI0000413</t>
  </si>
  <si>
    <t>Das   Ramakant  Mr.</t>
  </si>
  <si>
    <t>104I6BYMF2</t>
  </si>
  <si>
    <t>775HHN3AP1</t>
  </si>
  <si>
    <t>AI0000415</t>
  </si>
  <si>
    <t>6EIQLJBS1</t>
  </si>
  <si>
    <t>RA0000001</t>
  </si>
  <si>
    <t>Sushant  Kumar Mr.</t>
  </si>
  <si>
    <t/>
  </si>
  <si>
    <t>668099412</t>
  </si>
  <si>
    <t>17-APR-13</t>
  </si>
  <si>
    <t>RR0000001</t>
  </si>
  <si>
    <t>668117397</t>
  </si>
  <si>
    <t>18-APR-13</t>
  </si>
  <si>
    <t>AI0000499</t>
  </si>
  <si>
    <t>775AHGGDQ</t>
  </si>
  <si>
    <t>05/04/2013</t>
  </si>
  <si>
    <t>RA0000003</t>
  </si>
  <si>
    <t>668568781</t>
  </si>
  <si>
    <t>06/04/2013</t>
  </si>
  <si>
    <t>RA0000004</t>
  </si>
  <si>
    <t>A Sheikh Imtiyaz Mr.</t>
  </si>
  <si>
    <t>669287559</t>
  </si>
  <si>
    <t>24-APR-13</t>
  </si>
  <si>
    <t>669291089</t>
  </si>
  <si>
    <t>26-APR-13</t>
  </si>
  <si>
    <t>08/04/2013</t>
  </si>
  <si>
    <t>AI0001213</t>
  </si>
  <si>
    <t>6EVR2SLP</t>
  </si>
  <si>
    <t>09-APR-13</t>
  </si>
  <si>
    <t>AI0001386</t>
  </si>
  <si>
    <t>6EHQPVCW1</t>
  </si>
  <si>
    <t>10-APR-13</t>
  </si>
  <si>
    <t>AI0001442</t>
  </si>
  <si>
    <t>Atish  Mukherjee Mr.</t>
  </si>
  <si>
    <t>6EFR1UDW</t>
  </si>
  <si>
    <t>09/04/2013</t>
  </si>
  <si>
    <t>RA0000005</t>
  </si>
  <si>
    <t>Lijo  Thomas Mr.</t>
  </si>
  <si>
    <t>671194217</t>
  </si>
  <si>
    <t>671198182</t>
  </si>
  <si>
    <t>11-APR-13</t>
  </si>
  <si>
    <t>RA0000006</t>
  </si>
  <si>
    <t>Kushal Pal Singh Mr.</t>
  </si>
  <si>
    <t>671206162</t>
  </si>
  <si>
    <t>RA0000007</t>
  </si>
  <si>
    <t>Sharanjit  Singh Mr.</t>
  </si>
  <si>
    <t>670706911</t>
  </si>
  <si>
    <t>29-APR-13</t>
  </si>
  <si>
    <t>AI0001525</t>
  </si>
  <si>
    <t>0983513857273</t>
  </si>
  <si>
    <t>12-APR-13</t>
  </si>
  <si>
    <t>AI0002983</t>
  </si>
  <si>
    <t>AR00000388</t>
  </si>
  <si>
    <t>775JHQUAW</t>
  </si>
  <si>
    <t>10/04/2013</t>
  </si>
  <si>
    <t>AI0001564</t>
  </si>
  <si>
    <t>5893513821057</t>
  </si>
  <si>
    <t>AI0002274</t>
  </si>
  <si>
    <t>0983513857484</t>
  </si>
  <si>
    <t>0983513857485</t>
  </si>
  <si>
    <t>15-APR-13</t>
  </si>
  <si>
    <t>12/04/2013</t>
  </si>
  <si>
    <t>AI0001702</t>
  </si>
  <si>
    <t>0983513821090</t>
  </si>
  <si>
    <t>16-APR-13</t>
  </si>
  <si>
    <t>6EDR65AM1</t>
  </si>
  <si>
    <t>AI0001739</t>
  </si>
  <si>
    <t>6EZRZTLP</t>
  </si>
  <si>
    <t>13/04/2013</t>
  </si>
  <si>
    <t>RA0000008</t>
  </si>
  <si>
    <t>S D Mahaprabhu Mr.</t>
  </si>
  <si>
    <t>672953634</t>
  </si>
  <si>
    <t>672959369</t>
  </si>
  <si>
    <t>25-APR-13</t>
  </si>
  <si>
    <t>15/04/2013</t>
  </si>
  <si>
    <t>AI0002098</t>
  </si>
  <si>
    <t>Narasimha   Deepika  Ms.</t>
  </si>
  <si>
    <t>104Q6ZYOB2</t>
  </si>
  <si>
    <t>104Q6ZYOB1</t>
  </si>
  <si>
    <t>Roy Choudhury   Amrita  Ms.</t>
  </si>
  <si>
    <t>104Q6ZYOB3</t>
  </si>
  <si>
    <t>AI0002276</t>
  </si>
  <si>
    <t>0983514005695</t>
  </si>
  <si>
    <t>0983514005696</t>
  </si>
  <si>
    <t>AI0002361</t>
  </si>
  <si>
    <t>6EGR79DV</t>
  </si>
  <si>
    <t>19-APR-13</t>
  </si>
  <si>
    <t>17/04/2013</t>
  </si>
  <si>
    <t>AI0002425</t>
  </si>
  <si>
    <t>0983513821199</t>
  </si>
  <si>
    <t>775TIYTAM2</t>
  </si>
  <si>
    <t>AI0002450</t>
  </si>
  <si>
    <t>5893513821203</t>
  </si>
  <si>
    <t>19/04/2013</t>
  </si>
  <si>
    <t>AI0003216</t>
  </si>
  <si>
    <t>0983972579031</t>
  </si>
  <si>
    <t>AI0003250</t>
  </si>
  <si>
    <t>6EARN6LX</t>
  </si>
  <si>
    <t>23-APR-13</t>
  </si>
  <si>
    <t>22/04/2013</t>
  </si>
  <si>
    <t>AI0003540</t>
  </si>
  <si>
    <t>5893972579069</t>
  </si>
  <si>
    <t>04-MAY-13</t>
  </si>
  <si>
    <t>AI0003543</t>
  </si>
  <si>
    <t>5893972579070</t>
  </si>
  <si>
    <t>AI0003589</t>
  </si>
  <si>
    <t>775CCTE8R</t>
  </si>
  <si>
    <t>23/04/2013</t>
  </si>
  <si>
    <t>AI0003664</t>
  </si>
  <si>
    <t>5893972579088</t>
  </si>
  <si>
    <t>28-APR-13</t>
  </si>
  <si>
    <t>AI0003668</t>
  </si>
  <si>
    <t>5893972579089</t>
  </si>
  <si>
    <t>AI0003754</t>
  </si>
  <si>
    <t>5893972916916</t>
  </si>
  <si>
    <t>AI0003755</t>
  </si>
  <si>
    <t>5893972916917</t>
  </si>
  <si>
    <t>AI0003766</t>
  </si>
  <si>
    <t>Tamhankar   Chetan  Mr.</t>
  </si>
  <si>
    <t>104UJBHRB2</t>
  </si>
  <si>
    <t>0983972579098</t>
  </si>
  <si>
    <t>AI0003767</t>
  </si>
  <si>
    <t>AR0000578</t>
  </si>
  <si>
    <t>Sivaraman   Nirupama  Ms.</t>
  </si>
  <si>
    <t>6EBRVHDW2</t>
  </si>
  <si>
    <t>27-APR-13</t>
  </si>
  <si>
    <t>775H76I8G1</t>
  </si>
  <si>
    <t>24/04/2013</t>
  </si>
  <si>
    <t>AI0003774</t>
  </si>
  <si>
    <t>775B4IT2M1</t>
  </si>
  <si>
    <t>03-MAY-13</t>
  </si>
  <si>
    <t>AI0003781</t>
  </si>
  <si>
    <t>5893972579103</t>
  </si>
  <si>
    <t>5893972579104</t>
  </si>
  <si>
    <t>25/04/2013</t>
  </si>
  <si>
    <t>AI0004131</t>
  </si>
  <si>
    <t>0983972579137</t>
  </si>
  <si>
    <t>26/04/2013</t>
  </si>
  <si>
    <t>AI0004304</t>
  </si>
  <si>
    <t>AR0000604</t>
  </si>
  <si>
    <t>6EZS6IAM</t>
  </si>
  <si>
    <t>30-APR-13</t>
  </si>
  <si>
    <t>29/04/2013</t>
  </si>
  <si>
    <t>AI0004455</t>
  </si>
  <si>
    <t>6ELS8EBT</t>
  </si>
  <si>
    <t>02-MAY-13</t>
  </si>
  <si>
    <t>AI0004477</t>
  </si>
  <si>
    <t>5893972579177</t>
  </si>
  <si>
    <t>6EKS64CS1</t>
  </si>
  <si>
    <t>01-MAY-13</t>
  </si>
  <si>
    <t>AI0004503</t>
  </si>
  <si>
    <t>5893972579186</t>
  </si>
  <si>
    <t>5893972579187</t>
  </si>
  <si>
    <t>AI0004557</t>
  </si>
  <si>
    <t>5893972579189</t>
  </si>
  <si>
    <t>5893972579190</t>
  </si>
  <si>
    <t>30/04/2013</t>
  </si>
  <si>
    <t>AI0004779</t>
  </si>
  <si>
    <t>5893972579209</t>
  </si>
  <si>
    <t>AI0004780</t>
  </si>
  <si>
    <t>Sanjay  Virmani Mr.</t>
  </si>
  <si>
    <t>6EUS2RCV</t>
  </si>
  <si>
    <t>AI0004782</t>
  </si>
  <si>
    <t>6EDSGFER</t>
  </si>
  <si>
    <t>02/05/2013</t>
  </si>
  <si>
    <t>AI0004860</t>
  </si>
  <si>
    <t>6EUS87DQ2</t>
  </si>
  <si>
    <t>5893972579229</t>
  </si>
  <si>
    <t>AI0004890</t>
  </si>
  <si>
    <t>6EYRUWAQ</t>
  </si>
  <si>
    <t>06-MAY-13</t>
  </si>
  <si>
    <t>Varun  Bhargav Mr.</t>
  </si>
  <si>
    <t>AI0004911</t>
  </si>
  <si>
    <t>5893972579239</t>
  </si>
  <si>
    <t>AI0004917</t>
  </si>
  <si>
    <t>5893972579240</t>
  </si>
  <si>
    <t>5893972579241</t>
  </si>
  <si>
    <t>AI0004921</t>
  </si>
  <si>
    <t>Lal   Sameer  Mr.</t>
  </si>
  <si>
    <t>6EVS5BBM1</t>
  </si>
  <si>
    <t>AI0004926</t>
  </si>
  <si>
    <t>6EFSDSAW1</t>
  </si>
  <si>
    <t>07-MAY-13</t>
  </si>
  <si>
    <t>AI0004937</t>
  </si>
  <si>
    <t>6EXS1CAR1</t>
  </si>
  <si>
    <t>08-MAY-13</t>
  </si>
  <si>
    <t>AI0004939</t>
  </si>
  <si>
    <t>6ERS2FLP1</t>
  </si>
  <si>
    <t>AI0004992</t>
  </si>
  <si>
    <t>6EHSEKDM</t>
  </si>
  <si>
    <t>03/05/2013</t>
  </si>
  <si>
    <t>AI0004956</t>
  </si>
  <si>
    <t>5893973429753</t>
  </si>
  <si>
    <t>AI0005032</t>
  </si>
  <si>
    <t>0983973429780</t>
  </si>
  <si>
    <t>5893973429779</t>
  </si>
  <si>
    <t>AI0005116</t>
  </si>
  <si>
    <t>6EPSCHCT</t>
  </si>
  <si>
    <t>06/05/2013</t>
  </si>
  <si>
    <t>AI0005385</t>
  </si>
  <si>
    <t>5893973429849</t>
  </si>
  <si>
    <t>5893973429850</t>
  </si>
  <si>
    <t>08/05/2013</t>
  </si>
  <si>
    <t>AI0005713</t>
  </si>
  <si>
    <t>Abhay  Goenka Mr.</t>
  </si>
  <si>
    <t>6EXSJ7BP</t>
  </si>
  <si>
    <t>17-MAY-13</t>
  </si>
  <si>
    <t>AI0005714</t>
  </si>
  <si>
    <t>6EMSHSBZ</t>
  </si>
  <si>
    <t>20-MAY-13</t>
  </si>
  <si>
    <t>Rikki  Goenka Ms.</t>
  </si>
  <si>
    <t>09/05/2013</t>
  </si>
  <si>
    <t>AI0005995</t>
  </si>
  <si>
    <t>6EASGGDN</t>
  </si>
  <si>
    <t>10/05/2013</t>
  </si>
  <si>
    <t>AI0005928</t>
  </si>
  <si>
    <t>0983973429919</t>
  </si>
  <si>
    <t>AI0005979</t>
  </si>
  <si>
    <t>AR0000833</t>
  </si>
  <si>
    <t>5893973429933</t>
  </si>
  <si>
    <t>11-MAY-13</t>
  </si>
  <si>
    <t>AI0006094</t>
  </si>
  <si>
    <t>6EKSJBLV</t>
  </si>
  <si>
    <t>13/05/2013</t>
  </si>
  <si>
    <t>AI0006274</t>
  </si>
  <si>
    <t>5893973429965</t>
  </si>
  <si>
    <t>19-MAY-13</t>
  </si>
  <si>
    <t>AI0006469</t>
  </si>
  <si>
    <t>6EJSN4AM</t>
  </si>
  <si>
    <t>14/05/2013</t>
  </si>
  <si>
    <t>AI0006445</t>
  </si>
  <si>
    <t>5893973429996</t>
  </si>
  <si>
    <t>AI0006531</t>
  </si>
  <si>
    <t>775F4EYUC1</t>
  </si>
  <si>
    <t>15-MAY-13</t>
  </si>
  <si>
    <t>6EVTZBBW2</t>
  </si>
  <si>
    <t>16-MAY-13</t>
  </si>
  <si>
    <t>15/05/2013</t>
  </si>
  <si>
    <t>AI0006762</t>
  </si>
  <si>
    <t>6EUSPGAN</t>
  </si>
  <si>
    <t>16/05/2013</t>
  </si>
  <si>
    <t>AI0006991</t>
  </si>
  <si>
    <t>6EFT33AM</t>
  </si>
  <si>
    <t>AI0006995</t>
  </si>
  <si>
    <t>6ECSM2EN</t>
  </si>
  <si>
    <t>23-MAY-13</t>
  </si>
  <si>
    <t>AI0006997</t>
  </si>
  <si>
    <t>Gopal  Chunangad Mr.</t>
  </si>
  <si>
    <t>6EXT6DBM</t>
  </si>
  <si>
    <t>AI0007000</t>
  </si>
  <si>
    <t>Sudhir  Bhatt Mr.</t>
  </si>
  <si>
    <t>6EXT6DBM1</t>
  </si>
  <si>
    <t>AI0007006</t>
  </si>
  <si>
    <t>775H6U9PJ</t>
  </si>
  <si>
    <t>AI0007092</t>
  </si>
  <si>
    <t>6EXT6VBM2</t>
  </si>
  <si>
    <t>22-MAY-13</t>
  </si>
  <si>
    <t>775C65ERZ1</t>
  </si>
  <si>
    <t>AI0007116</t>
  </si>
  <si>
    <t>AR0001014</t>
  </si>
  <si>
    <t>6EWSV2DV</t>
  </si>
  <si>
    <t>20/05/2013</t>
  </si>
  <si>
    <t>AI0007412</t>
  </si>
  <si>
    <t>5893973926372</t>
  </si>
  <si>
    <t>24-MAY-13</t>
  </si>
  <si>
    <t>AI0007413</t>
  </si>
  <si>
    <t>6ENSUDDW1</t>
  </si>
  <si>
    <t>02-JUN-13</t>
  </si>
  <si>
    <t>AI0007497</t>
  </si>
  <si>
    <t>0983974025444</t>
  </si>
  <si>
    <t>AI0007507</t>
  </si>
  <si>
    <t>5893974025477</t>
  </si>
  <si>
    <t>21/05/2013</t>
  </si>
  <si>
    <t>AI0007615</t>
  </si>
  <si>
    <t>5893974228267</t>
  </si>
  <si>
    <t>AI0007616</t>
  </si>
  <si>
    <t>5893974228268</t>
  </si>
  <si>
    <t>AI0007617</t>
  </si>
  <si>
    <t>5893974228269</t>
  </si>
  <si>
    <t>AI0007618</t>
  </si>
  <si>
    <t>5893974228270</t>
  </si>
  <si>
    <t>22/05/2013</t>
  </si>
  <si>
    <t>AI0007970</t>
  </si>
  <si>
    <t>6EOT96AN</t>
  </si>
  <si>
    <t>28-MAY-13</t>
  </si>
  <si>
    <t>23/05/2013</t>
  </si>
  <si>
    <t>AI0007875</t>
  </si>
  <si>
    <t>5893973926434</t>
  </si>
  <si>
    <t>27-MAY-13</t>
  </si>
  <si>
    <t>AR0001160</t>
  </si>
  <si>
    <t>5893973926435</t>
  </si>
  <si>
    <t>AI0008057</t>
  </si>
  <si>
    <t>5893973926485</t>
  </si>
  <si>
    <t>25/05/2013</t>
  </si>
  <si>
    <t>AI0008258</t>
  </si>
  <si>
    <t>6ECTLJDV1</t>
  </si>
  <si>
    <t>27/05/2013</t>
  </si>
  <si>
    <t>AI0008355</t>
  </si>
  <si>
    <t>104X9QMRQ1</t>
  </si>
  <si>
    <t>28/05/2013</t>
  </si>
  <si>
    <t>AI0008682</t>
  </si>
  <si>
    <t>AR0001187</t>
  </si>
  <si>
    <t>5893974508552</t>
  </si>
  <si>
    <t>31-MAY-13</t>
  </si>
  <si>
    <t>AI0008683</t>
  </si>
  <si>
    <t>AR0001186</t>
  </si>
  <si>
    <t>5893974508553</t>
  </si>
  <si>
    <t>01-JUN-13</t>
  </si>
  <si>
    <t>29/05/2013</t>
  </si>
  <si>
    <t>AI0008776</t>
  </si>
  <si>
    <t>5893974400087</t>
  </si>
  <si>
    <t>29-MAY-13</t>
  </si>
  <si>
    <t>AI0008918</t>
  </si>
  <si>
    <t>Singh   Sharanjit  Mr.</t>
  </si>
  <si>
    <t>6EATLSBN1</t>
  </si>
  <si>
    <t>30/05/2013</t>
  </si>
  <si>
    <t>AI0008979</t>
  </si>
  <si>
    <t>5893974400134</t>
  </si>
  <si>
    <t>07-JUN-13</t>
  </si>
  <si>
    <t>5893974400135</t>
  </si>
  <si>
    <t>08-JUN-13</t>
  </si>
  <si>
    <t>AI0009026</t>
  </si>
  <si>
    <t>5893974400146</t>
  </si>
  <si>
    <t>6EMT68LN2</t>
  </si>
  <si>
    <t>31/05/2013</t>
  </si>
  <si>
    <t>AI0009201</t>
  </si>
  <si>
    <t>5893974400176</t>
  </si>
  <si>
    <t>03-JUN-13</t>
  </si>
  <si>
    <t>6EBTP2DM2</t>
  </si>
  <si>
    <t>04-JUN-13</t>
  </si>
  <si>
    <t>AI0009203</t>
  </si>
  <si>
    <t>5893974400177</t>
  </si>
  <si>
    <t>AI0009204</t>
  </si>
  <si>
    <t>5893974400178</t>
  </si>
  <si>
    <t>AI0009225</t>
  </si>
  <si>
    <t>5893974400181</t>
  </si>
  <si>
    <t>AI0009387</t>
  </si>
  <si>
    <t>AR0001253</t>
  </si>
  <si>
    <t>Anand  Kiran Mr.</t>
  </si>
  <si>
    <t>6EMTTKCN</t>
  </si>
  <si>
    <t>AI0009388</t>
  </si>
  <si>
    <t>6ESTPPAQ</t>
  </si>
  <si>
    <t>AI0009389</t>
  </si>
  <si>
    <t>6EZTW6ER</t>
  </si>
  <si>
    <t>AI0009429</t>
  </si>
  <si>
    <t>Bhaskar  Rajakumar Mr.</t>
  </si>
  <si>
    <t>6EWTLIDV</t>
  </si>
  <si>
    <t>03/06/2013</t>
  </si>
  <si>
    <t>AI0009452</t>
  </si>
  <si>
    <t>0983974400223</t>
  </si>
  <si>
    <t>05/06/2013</t>
  </si>
  <si>
    <t>AI0009892</t>
  </si>
  <si>
    <t>775PYJMRA1</t>
  </si>
  <si>
    <t>06-JUN-13</t>
  </si>
  <si>
    <t>AI0009898</t>
  </si>
  <si>
    <t>Prabhakar   Karthik  Mr.</t>
  </si>
  <si>
    <t>775W645TP1</t>
  </si>
  <si>
    <t>RA0000065</t>
  </si>
  <si>
    <t>696669478</t>
  </si>
  <si>
    <t>05-JUN-13</t>
  </si>
  <si>
    <t>696685594</t>
  </si>
  <si>
    <t>06/06/2013</t>
  </si>
  <si>
    <t>AI0010084</t>
  </si>
  <si>
    <t>0983974847596</t>
  </si>
  <si>
    <t>10-JUN-13</t>
  </si>
  <si>
    <t>0983974847597</t>
  </si>
  <si>
    <t>11-JUN-13</t>
  </si>
  <si>
    <t>AI0010086</t>
  </si>
  <si>
    <t>6EJTPECW2</t>
  </si>
  <si>
    <t>0983974847598</t>
  </si>
  <si>
    <t>10/06/2013</t>
  </si>
  <si>
    <t>AI0010575</t>
  </si>
  <si>
    <t>John   Kiran  Mr.</t>
  </si>
  <si>
    <t>5893974847681</t>
  </si>
  <si>
    <t>5893974847682</t>
  </si>
  <si>
    <t>AI0010576</t>
  </si>
  <si>
    <t>5893974847683</t>
  </si>
  <si>
    <t>AI0010613</t>
  </si>
  <si>
    <t>6ELTU7AR</t>
  </si>
  <si>
    <t>16-JUN-13</t>
  </si>
  <si>
    <t>12/06/2013</t>
  </si>
  <si>
    <t>AI0011025</t>
  </si>
  <si>
    <t>Kuthiala   Manni  Ms.</t>
  </si>
  <si>
    <t>6EEUC7CX2</t>
  </si>
  <si>
    <t>15-JUN-13</t>
  </si>
  <si>
    <t>AR0001566</t>
  </si>
  <si>
    <t>5893975225760</t>
  </si>
  <si>
    <t>13/06/2013</t>
  </si>
  <si>
    <t>AI0011152</t>
  </si>
  <si>
    <t>775D82NKT1</t>
  </si>
  <si>
    <t>AI0011167</t>
  </si>
  <si>
    <t>5893975225774</t>
  </si>
  <si>
    <t>17-JUN-13</t>
  </si>
  <si>
    <t>AI0011177</t>
  </si>
  <si>
    <t>AR0001587</t>
  </si>
  <si>
    <t>6EPUB7BR</t>
  </si>
  <si>
    <t>14/06/2013</t>
  </si>
  <si>
    <t>AI0011694</t>
  </si>
  <si>
    <t>Nayak   Bharath  Mr.</t>
  </si>
  <si>
    <t>775J8Q34Q2</t>
  </si>
  <si>
    <t>AI0011327</t>
  </si>
  <si>
    <t>6EIU5FCX1</t>
  </si>
  <si>
    <t>AI0011352</t>
  </si>
  <si>
    <t>6ERUYBBR</t>
  </si>
  <si>
    <t>AI0011453</t>
  </si>
  <si>
    <t>5893975268688</t>
  </si>
  <si>
    <t>18/06/2013</t>
  </si>
  <si>
    <t>AI0011854</t>
  </si>
  <si>
    <t>5893975353892</t>
  </si>
  <si>
    <t>19-JUN-13</t>
  </si>
  <si>
    <t>19/06/2013</t>
  </si>
  <si>
    <t>AI0012059</t>
  </si>
  <si>
    <t>Loka   Aparna  Ms.</t>
  </si>
  <si>
    <t>0983975225928</t>
  </si>
  <si>
    <t>23-JUN-13</t>
  </si>
  <si>
    <t>20/06/2013</t>
  </si>
  <si>
    <t>AI0012139</t>
  </si>
  <si>
    <t>Pardeshi   Yogesh  Mr.</t>
  </si>
  <si>
    <t>5893975225938</t>
  </si>
  <si>
    <t>22-JUN-13</t>
  </si>
  <si>
    <t>775XDBQVX1</t>
  </si>
  <si>
    <t>AI0012240</t>
  </si>
  <si>
    <t>5893975550331</t>
  </si>
  <si>
    <t>24-JUN-13</t>
  </si>
  <si>
    <t>AI0012241</t>
  </si>
  <si>
    <t>5893975550332</t>
  </si>
  <si>
    <t>25-JUN-13</t>
  </si>
  <si>
    <t>AI0012294</t>
  </si>
  <si>
    <t>0983975550359</t>
  </si>
  <si>
    <t>AI0012295</t>
  </si>
  <si>
    <t>Goenka   Sarat  Mr .</t>
  </si>
  <si>
    <t>0983975550360</t>
  </si>
  <si>
    <t>21/06/2013</t>
  </si>
  <si>
    <t>AI0012484</t>
  </si>
  <si>
    <t>Mittal   Punita  Ms.</t>
  </si>
  <si>
    <t>0983975225982</t>
  </si>
  <si>
    <t>6EPUF7CM2</t>
  </si>
  <si>
    <t>24/06/2013</t>
  </si>
  <si>
    <t>AI0012644</t>
  </si>
  <si>
    <t>0983975712755</t>
  </si>
  <si>
    <t>26-JUN-13</t>
  </si>
  <si>
    <t>AI0012653</t>
  </si>
  <si>
    <t>6EPUNGER</t>
  </si>
  <si>
    <t>30-JUN-13</t>
  </si>
  <si>
    <t>25/06/2013</t>
  </si>
  <si>
    <t>AI0012792</t>
  </si>
  <si>
    <t>Baweja   Gaurav  Mr.</t>
  </si>
  <si>
    <t>775D7FKXW2</t>
  </si>
  <si>
    <t>28-JUN-13</t>
  </si>
  <si>
    <t>5893975712796</t>
  </si>
  <si>
    <t>26/06/2013</t>
  </si>
  <si>
    <t>AI0012978</t>
  </si>
  <si>
    <t>6EHUTUBM1</t>
  </si>
  <si>
    <t>27/06/2013</t>
  </si>
  <si>
    <t>AI0013059</t>
  </si>
  <si>
    <t>6EIUV8AS1</t>
  </si>
  <si>
    <t>28/06/2013</t>
  </si>
  <si>
    <t>AI0013302</t>
  </si>
  <si>
    <t>6EDV73CP</t>
  </si>
  <si>
    <t>03-JUL-13</t>
  </si>
  <si>
    <t>AI0013335</t>
  </si>
  <si>
    <t>Kumar   Nikhil  Mr.</t>
  </si>
  <si>
    <t>775N7H1SJ1</t>
  </si>
  <si>
    <t>02-JUL-13</t>
  </si>
  <si>
    <t>30/06/2013</t>
  </si>
  <si>
    <t>AI0013394</t>
  </si>
  <si>
    <t>0983975712875</t>
  </si>
  <si>
    <t>01-JUL-13</t>
  </si>
  <si>
    <t>01/07/2013</t>
  </si>
  <si>
    <t>AI0013574</t>
  </si>
  <si>
    <t>6ECV54BZ1</t>
  </si>
  <si>
    <t>AI0013623</t>
  </si>
  <si>
    <t>Wei  Hanlin Mr.</t>
  </si>
  <si>
    <t>7813983481538</t>
  </si>
  <si>
    <t>AI0013630</t>
  </si>
  <si>
    <t>Lin  Weihan Mr.</t>
  </si>
  <si>
    <t>0143975856396</t>
  </si>
  <si>
    <t>0143975856397</t>
  </si>
  <si>
    <t>04/07/2013</t>
  </si>
  <si>
    <t>AI0014114</t>
  </si>
  <si>
    <t>Shetty   Swetha S  Ms.</t>
  </si>
  <si>
    <t>0983976120041</t>
  </si>
  <si>
    <t>6EY26QLQ2</t>
  </si>
  <si>
    <t>AI0014117</t>
  </si>
  <si>
    <t>Lingala   Vineet  Mr.</t>
  </si>
  <si>
    <t>0983976120038</t>
  </si>
  <si>
    <t>6EAZMEAX2</t>
  </si>
  <si>
    <t>AI0014353</t>
  </si>
  <si>
    <t>6ED2WRDM</t>
  </si>
  <si>
    <t>AI0014355</t>
  </si>
  <si>
    <t>6EH761LR</t>
  </si>
  <si>
    <t>05/07/2013</t>
  </si>
  <si>
    <t>AI0014298</t>
  </si>
  <si>
    <t>7813983552112</t>
  </si>
  <si>
    <t>08/07/2013</t>
  </si>
  <si>
    <t>AI0014507</t>
  </si>
  <si>
    <t>6ETZ5FMB1</t>
  </si>
  <si>
    <t>AI0014572</t>
  </si>
  <si>
    <t>5893976187170</t>
  </si>
  <si>
    <t>AI0014573</t>
  </si>
  <si>
    <t>5893976187169</t>
  </si>
  <si>
    <t>AI0014591</t>
  </si>
  <si>
    <t>5893976120125</t>
  </si>
  <si>
    <t>AI0014699</t>
  </si>
  <si>
    <t>6EZZ5SMX</t>
  </si>
  <si>
    <t>09/07/2013</t>
  </si>
  <si>
    <t>AI0014740</t>
  </si>
  <si>
    <t>0983976120150</t>
  </si>
  <si>
    <t>10/07/2013</t>
  </si>
  <si>
    <t>AI0014879</t>
  </si>
  <si>
    <t>6ECZ7KNR1</t>
  </si>
  <si>
    <t>AI0014885</t>
  </si>
  <si>
    <t>6EIZ84SN1</t>
  </si>
  <si>
    <t>AI0014902</t>
  </si>
  <si>
    <t>6EQZ74PR</t>
  </si>
  <si>
    <t>AI0015024</t>
  </si>
  <si>
    <t>Bhargav   Varun  Mr.</t>
  </si>
  <si>
    <t>6ENZ7GTV2</t>
  </si>
  <si>
    <t>6ENZ7GTV1</t>
  </si>
  <si>
    <t>AI0015081</t>
  </si>
  <si>
    <t>Saurabh  Jain Mr.</t>
  </si>
  <si>
    <t>6EXZ82ND</t>
  </si>
  <si>
    <t>11/07/2013</t>
  </si>
  <si>
    <t>AI0015117</t>
  </si>
  <si>
    <t>775E2NJNV</t>
  </si>
  <si>
    <t>AI0015179</t>
  </si>
  <si>
    <t>0983976120208</t>
  </si>
  <si>
    <t>12/07/2013</t>
  </si>
  <si>
    <t>AI0015354</t>
  </si>
  <si>
    <t>0983976529015</t>
  </si>
  <si>
    <t>6EGZ9LPC2</t>
  </si>
  <si>
    <t>AI0015355</t>
  </si>
  <si>
    <t>6EFZYGTH</t>
  </si>
  <si>
    <t>16/07/2013</t>
  </si>
  <si>
    <t>AI0015847</t>
  </si>
  <si>
    <t>0983976529110</t>
  </si>
  <si>
    <t>25-JUL-13</t>
  </si>
  <si>
    <t>0983976529111</t>
  </si>
  <si>
    <t>17/07/2013</t>
  </si>
  <si>
    <t>AI0015913</t>
  </si>
  <si>
    <t>5893976529126</t>
  </si>
  <si>
    <t>18-JUL-13</t>
  </si>
  <si>
    <t>AI0015978</t>
  </si>
  <si>
    <t>5893976529139</t>
  </si>
  <si>
    <t>24-JUL-13</t>
  </si>
  <si>
    <t>AI0015982</t>
  </si>
  <si>
    <t>5893976529140</t>
  </si>
  <si>
    <t>18/07/2013</t>
  </si>
  <si>
    <t>AI0016073</t>
  </si>
  <si>
    <t>0983976529150</t>
  </si>
  <si>
    <t>21-JUL-13</t>
  </si>
  <si>
    <t>AI0016145</t>
  </si>
  <si>
    <t>6EXZF2PD</t>
  </si>
  <si>
    <t>19/07/2013</t>
  </si>
  <si>
    <t>AI0016398</t>
  </si>
  <si>
    <t>5893976529196</t>
  </si>
  <si>
    <t>20-JUL-13</t>
  </si>
  <si>
    <t>22/07/2013</t>
  </si>
  <si>
    <t>AI0016524</t>
  </si>
  <si>
    <t>6ELZHSSS1</t>
  </si>
  <si>
    <t>AI0016535</t>
  </si>
  <si>
    <t>AR0002579</t>
  </si>
  <si>
    <t>5893976767739</t>
  </si>
  <si>
    <t>23/07/2013</t>
  </si>
  <si>
    <t>AI0016749</t>
  </si>
  <si>
    <t>6EPZJ1TB1</t>
  </si>
  <si>
    <t>AR0002551</t>
  </si>
  <si>
    <t>5894144546008</t>
  </si>
  <si>
    <t>AI0016758</t>
  </si>
  <si>
    <t>5894144546013</t>
  </si>
  <si>
    <t>29-JUL-13</t>
  </si>
  <si>
    <t>AI0016801</t>
  </si>
  <si>
    <t>0984144546019</t>
  </si>
  <si>
    <t>0984144546020</t>
  </si>
  <si>
    <t>AI0016924</t>
  </si>
  <si>
    <t>AR0002445</t>
  </si>
  <si>
    <t>Daliparthi   Krishna  Mr.</t>
  </si>
  <si>
    <t>6EAZKZRT1</t>
  </si>
  <si>
    <t>AI0016925</t>
  </si>
  <si>
    <t>Patil   Bhaskar R  Mr.</t>
  </si>
  <si>
    <t>6EOZJ9RC1</t>
  </si>
  <si>
    <t>24/07/2013</t>
  </si>
  <si>
    <t>AI0016937</t>
  </si>
  <si>
    <t>5894144546054</t>
  </si>
  <si>
    <t>AI0016959</t>
  </si>
  <si>
    <t>AR0002607</t>
  </si>
  <si>
    <t>775Y8VCXW1</t>
  </si>
  <si>
    <t>30-JUL-13</t>
  </si>
  <si>
    <t>AI0016961</t>
  </si>
  <si>
    <t>775S9VI3A1</t>
  </si>
  <si>
    <t>31-JUL-13</t>
  </si>
  <si>
    <t>AI0017068</t>
  </si>
  <si>
    <t>6EAZJEMT1</t>
  </si>
  <si>
    <t>25/07/2013</t>
  </si>
  <si>
    <t>AI0017210</t>
  </si>
  <si>
    <t>5894144551206</t>
  </si>
  <si>
    <t>26/07/2013</t>
  </si>
  <si>
    <t>AI0017242</t>
  </si>
  <si>
    <t>6EVZWETM1</t>
  </si>
  <si>
    <t>28-JUL-13</t>
  </si>
  <si>
    <t>AI0017264</t>
  </si>
  <si>
    <t>775CYSZ3X1</t>
  </si>
  <si>
    <t>AI0017265</t>
  </si>
  <si>
    <t>0984144546096</t>
  </si>
  <si>
    <t>AI0017294</t>
  </si>
  <si>
    <t>775A8PF6A1</t>
  </si>
  <si>
    <t>AR0002556</t>
  </si>
  <si>
    <t>0984144546108</t>
  </si>
  <si>
    <t>AI0017317</t>
  </si>
  <si>
    <t>5894144551249</t>
  </si>
  <si>
    <t>AI0017332</t>
  </si>
  <si>
    <t>0984144546117</t>
  </si>
  <si>
    <t>6ENZL1PV2</t>
  </si>
  <si>
    <t>AI0017363</t>
  </si>
  <si>
    <t>6EAZWNSA1</t>
  </si>
  <si>
    <t>AI0017396</t>
  </si>
  <si>
    <t>5894144546137</t>
  </si>
  <si>
    <t>5894144546138</t>
  </si>
  <si>
    <t>29/07/2013</t>
  </si>
  <si>
    <t>AI0017473</t>
  </si>
  <si>
    <t>6EFZNZSS1</t>
  </si>
  <si>
    <t>AI0017517</t>
  </si>
  <si>
    <t>1046BJ0AR1</t>
  </si>
  <si>
    <t>30/07/2013</t>
  </si>
  <si>
    <t>AI0017681</t>
  </si>
  <si>
    <t>6EXZWBPM1</t>
  </si>
  <si>
    <t>AI0017803</t>
  </si>
  <si>
    <t>AR0002544</t>
  </si>
  <si>
    <t>6ESZP8NN</t>
  </si>
  <si>
    <t>AI0017812</t>
  </si>
  <si>
    <t>6EFZQ1SP1</t>
  </si>
  <si>
    <t>AI0017868</t>
  </si>
  <si>
    <t>0984144897505</t>
  </si>
  <si>
    <t>AI0017869</t>
  </si>
  <si>
    <t>775T4CEQF1</t>
  </si>
  <si>
    <t>01/08/2013</t>
  </si>
  <si>
    <t>AI0018091</t>
  </si>
  <si>
    <t>5894144897555</t>
  </si>
  <si>
    <t>08-AUG-13</t>
  </si>
  <si>
    <t>AI0018174</t>
  </si>
  <si>
    <t>5894144900911</t>
  </si>
  <si>
    <t>05-AUG-13</t>
  </si>
  <si>
    <t>AI0018175</t>
  </si>
  <si>
    <t>5894144900912</t>
  </si>
  <si>
    <t>AI0018177</t>
  </si>
  <si>
    <t>5894144897566</t>
  </si>
  <si>
    <t>12-AUG-13</t>
  </si>
  <si>
    <t>0984144897567</t>
  </si>
  <si>
    <t>AI0018522</t>
  </si>
  <si>
    <t>6184144934344</t>
  </si>
  <si>
    <t>03-AUG-13</t>
  </si>
  <si>
    <t>02/08/2013</t>
  </si>
  <si>
    <t>AI0018521</t>
  </si>
  <si>
    <t>6184145062027</t>
  </si>
  <si>
    <t>04/08/2013</t>
  </si>
  <si>
    <t>AI0018500</t>
  </si>
  <si>
    <t>5894144897703</t>
  </si>
  <si>
    <t>05/08/2013</t>
  </si>
  <si>
    <t>AI0018526</t>
  </si>
  <si>
    <t>10464KU88</t>
  </si>
  <si>
    <t>AI0018537</t>
  </si>
  <si>
    <t>6ESZUNPW1</t>
  </si>
  <si>
    <t>AI0018642</t>
  </si>
  <si>
    <t>0984144897744</t>
  </si>
  <si>
    <t>AI0019832</t>
  </si>
  <si>
    <t>5894144897717</t>
  </si>
  <si>
    <t>06/08/2013</t>
  </si>
  <si>
    <t>AI0018730</t>
  </si>
  <si>
    <t>5894145081092</t>
  </si>
  <si>
    <t>11-AUG-13</t>
  </si>
  <si>
    <t>AI0018791</t>
  </si>
  <si>
    <t>5894145233282</t>
  </si>
  <si>
    <t>AI0018914</t>
  </si>
  <si>
    <t>Katare  Snehalshivaling Mr.</t>
  </si>
  <si>
    <t>6184145223157</t>
  </si>
  <si>
    <t>07-AUG-13</t>
  </si>
  <si>
    <t>07/08/2013</t>
  </si>
  <si>
    <t>AI0018953</t>
  </si>
  <si>
    <t>6EZ11EPB1</t>
  </si>
  <si>
    <t>VI0001681</t>
  </si>
  <si>
    <t>Business</t>
  </si>
  <si>
    <t>Switzerland</t>
  </si>
  <si>
    <t>AI0019081</t>
  </si>
  <si>
    <t>Munjal   Asheena  Ms .</t>
  </si>
  <si>
    <t>1764145330321</t>
  </si>
  <si>
    <t>17-AUG-13</t>
  </si>
  <si>
    <t>1764145330320</t>
  </si>
  <si>
    <t>10-AUG-13</t>
  </si>
  <si>
    <t>08/08/2013</t>
  </si>
  <si>
    <t>AI0019159</t>
  </si>
  <si>
    <t>AR0002764</t>
  </si>
  <si>
    <t>6EH12NTX</t>
  </si>
  <si>
    <t>AI0019182</t>
  </si>
  <si>
    <t>775U5ELPC1</t>
  </si>
  <si>
    <t>AI0019204</t>
  </si>
  <si>
    <t>Raman   Vikramadith  Mr .</t>
  </si>
  <si>
    <t>0574145349882</t>
  </si>
  <si>
    <t>13-AUG-13</t>
  </si>
  <si>
    <t>0574145349883</t>
  </si>
  <si>
    <t>12-OCT-13</t>
  </si>
  <si>
    <t>AI0019241</t>
  </si>
  <si>
    <t>5894145233345</t>
  </si>
  <si>
    <t>AI0019242</t>
  </si>
  <si>
    <t>V P   Karthik  Mr.</t>
  </si>
  <si>
    <t>0984145233346</t>
  </si>
  <si>
    <t>6EO11TSG2</t>
  </si>
  <si>
    <t>AI0019243</t>
  </si>
  <si>
    <t>0984145233347</t>
  </si>
  <si>
    <t>AI0019244</t>
  </si>
  <si>
    <t>5894145233348</t>
  </si>
  <si>
    <t>AI0019361</t>
  </si>
  <si>
    <t>6EF13JPH</t>
  </si>
  <si>
    <t>AI0019406</t>
  </si>
  <si>
    <t>6184145349924</t>
  </si>
  <si>
    <t>10/08/2013</t>
  </si>
  <si>
    <t>AI0019363</t>
  </si>
  <si>
    <t>AR0002765</t>
  </si>
  <si>
    <t>6ER15VNH</t>
  </si>
  <si>
    <t>12/08/2013</t>
  </si>
  <si>
    <t>AI0019397</t>
  </si>
  <si>
    <t>0984145233394</t>
  </si>
  <si>
    <t>13/08/2013</t>
  </si>
  <si>
    <t>AI0019577</t>
  </si>
  <si>
    <t>5894145233426</t>
  </si>
  <si>
    <t>14-AUG-13</t>
  </si>
  <si>
    <t>AI0019606</t>
  </si>
  <si>
    <t>6EX16SMH</t>
  </si>
  <si>
    <t>15-AUG-13</t>
  </si>
  <si>
    <t>AI0019649</t>
  </si>
  <si>
    <t>5894145426143</t>
  </si>
  <si>
    <t>AI0019650</t>
  </si>
  <si>
    <t>5894145426144</t>
  </si>
  <si>
    <t>16/08/2013</t>
  </si>
  <si>
    <t>AI0020110</t>
  </si>
  <si>
    <t>Krishna  Daliparthi Mr.</t>
  </si>
  <si>
    <t>6EB18CTX</t>
  </si>
  <si>
    <t>19/08/2013</t>
  </si>
  <si>
    <t>AI0020348</t>
  </si>
  <si>
    <t>5894145729080</t>
  </si>
  <si>
    <t>21-AUG-13</t>
  </si>
  <si>
    <t>AI0020392</t>
  </si>
  <si>
    <t>0984145809046</t>
  </si>
  <si>
    <t>20-AUG-13</t>
  </si>
  <si>
    <t>AI0020687</t>
  </si>
  <si>
    <t>Sanjay  Parikh Dr.</t>
  </si>
  <si>
    <t>6EX1CDPD</t>
  </si>
  <si>
    <t>23-AUG-13</t>
  </si>
  <si>
    <t>AI0020737</t>
  </si>
  <si>
    <t>AR0002969</t>
  </si>
  <si>
    <t>6EL1E6SF</t>
  </si>
  <si>
    <t>AI0020738</t>
  </si>
  <si>
    <t>6EP1EGMP</t>
  </si>
  <si>
    <t>22-AUG-13</t>
  </si>
  <si>
    <t>20/08/2013</t>
  </si>
  <si>
    <t>AI0020557</t>
  </si>
  <si>
    <t>5894145809109</t>
  </si>
  <si>
    <t>AI0020558</t>
  </si>
  <si>
    <t>5894145809110</t>
  </si>
  <si>
    <t>AI0020739</t>
  </si>
  <si>
    <t>6EM1C9TE</t>
  </si>
  <si>
    <t>21/08/2013</t>
  </si>
  <si>
    <t>AI0020692</t>
  </si>
  <si>
    <t>5894145729184</t>
  </si>
  <si>
    <t>23/08/2013</t>
  </si>
  <si>
    <t>AI0020985</t>
  </si>
  <si>
    <t>AR0003083</t>
  </si>
  <si>
    <t>6EQ1GSSN1</t>
  </si>
  <si>
    <t>08-SEP-13</t>
  </si>
  <si>
    <t>AI0021089</t>
  </si>
  <si>
    <t>0984146108766</t>
  </si>
  <si>
    <t>27-AUG-13</t>
  </si>
  <si>
    <t>0984146108767</t>
  </si>
  <si>
    <t>29-AUG-13</t>
  </si>
  <si>
    <t>27/08/2013</t>
  </si>
  <si>
    <t>AI0021399</t>
  </si>
  <si>
    <t>5894146108824</t>
  </si>
  <si>
    <t>5894146108825</t>
  </si>
  <si>
    <t>30-AUG-13</t>
  </si>
  <si>
    <t>AI0021436</t>
  </si>
  <si>
    <t>6EP1L8TS1</t>
  </si>
  <si>
    <t>28-AUG-13</t>
  </si>
  <si>
    <t>AI0021437</t>
  </si>
  <si>
    <t>6EB1KKNF1</t>
  </si>
  <si>
    <t>AI0021625</t>
  </si>
  <si>
    <t>5894146113179</t>
  </si>
  <si>
    <t>AI0021639</t>
  </si>
  <si>
    <t>5894146113175</t>
  </si>
  <si>
    <t>5894146113176</t>
  </si>
  <si>
    <t>AI0021816</t>
  </si>
  <si>
    <t>6EP1MNPD</t>
  </si>
  <si>
    <t>AI0021825</t>
  </si>
  <si>
    <t>0984146113213</t>
  </si>
  <si>
    <t>28/08/2013</t>
  </si>
  <si>
    <t>AI0021640</t>
  </si>
  <si>
    <t>5894146108864</t>
  </si>
  <si>
    <t>AI0021817</t>
  </si>
  <si>
    <t>5894146108879</t>
  </si>
  <si>
    <t>29/08/2013</t>
  </si>
  <si>
    <t>AI0021857</t>
  </si>
  <si>
    <t>0984146108882</t>
  </si>
  <si>
    <t>AI0022072</t>
  </si>
  <si>
    <t>6EO1MUPL1</t>
  </si>
  <si>
    <t>AI0022073</t>
  </si>
  <si>
    <t>6EF1LRTF1</t>
  </si>
  <si>
    <t>AI0022099</t>
  </si>
  <si>
    <t>775W66D2M</t>
  </si>
  <si>
    <t>AI0022109</t>
  </si>
  <si>
    <t>6EQ1LCPW</t>
  </si>
  <si>
    <t>30/08/2013</t>
  </si>
  <si>
    <t>AI0022108</t>
  </si>
  <si>
    <t>6EV1N4PH</t>
  </si>
  <si>
    <t>01-SEP-13</t>
  </si>
  <si>
    <t>AI0022183</t>
  </si>
  <si>
    <t>5894146108945</t>
  </si>
  <si>
    <t>09-SEP-13</t>
  </si>
  <si>
    <t>AI0022247</t>
  </si>
  <si>
    <t>Dixit   Nitesh  Mr.</t>
  </si>
  <si>
    <t>0984146108960</t>
  </si>
  <si>
    <t>05-SEP-13</t>
  </si>
  <si>
    <t>775A1YRYL1</t>
  </si>
  <si>
    <t>AI0022260</t>
  </si>
  <si>
    <t>6EL1N6NV</t>
  </si>
  <si>
    <t>31-AUG-13</t>
  </si>
  <si>
    <t>03/09/2013</t>
  </si>
  <si>
    <t>AI0022737</t>
  </si>
  <si>
    <t>0984146422744</t>
  </si>
  <si>
    <t>06-SEP-13</t>
  </si>
  <si>
    <t>04/09/2013</t>
  </si>
  <si>
    <t>AI0022904</t>
  </si>
  <si>
    <t>5894146577603</t>
  </si>
  <si>
    <t>AI0022905</t>
  </si>
  <si>
    <t>5894146577604</t>
  </si>
  <si>
    <t>05/09/2013</t>
  </si>
  <si>
    <t>AI0022969</t>
  </si>
  <si>
    <t>Virmani   Sanjay  Mr.</t>
  </si>
  <si>
    <t>5894146516099</t>
  </si>
  <si>
    <t>AI0022974</t>
  </si>
  <si>
    <t>AR0003259</t>
  </si>
  <si>
    <t>6EP1S4TB1</t>
  </si>
  <si>
    <t>5894146516100</t>
  </si>
  <si>
    <t>AI0023029</t>
  </si>
  <si>
    <t>6EM1S1NT</t>
  </si>
  <si>
    <t>07-SEP-13</t>
  </si>
  <si>
    <t>06/09/2013</t>
  </si>
  <si>
    <t>AI0023205</t>
  </si>
  <si>
    <t>6EZ1TFND</t>
  </si>
  <si>
    <t>AI0023293</t>
  </si>
  <si>
    <t>6EO1TYRN</t>
  </si>
  <si>
    <t>10-SEP-13</t>
  </si>
  <si>
    <t>AI0023295</t>
  </si>
  <si>
    <t>Jeyaraj  Sundaram Mr.</t>
  </si>
  <si>
    <t>6EO1TYRN1</t>
  </si>
  <si>
    <t>AI0023380</t>
  </si>
  <si>
    <t>6EH1UURM</t>
  </si>
  <si>
    <t>11-SEP-13</t>
  </si>
  <si>
    <t>10/09/2013</t>
  </si>
  <si>
    <t>AI0023504</t>
  </si>
  <si>
    <t>5894146516224</t>
  </si>
  <si>
    <t>12-SEP-13</t>
  </si>
  <si>
    <t>AI0023599</t>
  </si>
  <si>
    <t>5894146516231</t>
  </si>
  <si>
    <t>11/09/2013</t>
  </si>
  <si>
    <t>AI0023778</t>
  </si>
  <si>
    <t>Thyagarajan   Venkatraman  Mr.</t>
  </si>
  <si>
    <t>5894146953008</t>
  </si>
  <si>
    <t>15-OCT-13</t>
  </si>
  <si>
    <t>AI0023816</t>
  </si>
  <si>
    <t>AR0003368</t>
  </si>
  <si>
    <t>6EX23ZNX1</t>
  </si>
  <si>
    <t>17-SEP-13</t>
  </si>
  <si>
    <t>AI0023822</t>
  </si>
  <si>
    <t>Venkatraman  Thyagarajan Mr.</t>
  </si>
  <si>
    <t>6ES239MA</t>
  </si>
  <si>
    <t>16-OCT-13</t>
  </si>
  <si>
    <t>AI0023923</t>
  </si>
  <si>
    <t>AR0003391</t>
  </si>
  <si>
    <t>6ED22PMH</t>
  </si>
  <si>
    <t>15-SEP-13</t>
  </si>
  <si>
    <t>12/09/2013</t>
  </si>
  <si>
    <t>AI0023982</t>
  </si>
  <si>
    <t>5894146953045</t>
  </si>
  <si>
    <t>AI0023986</t>
  </si>
  <si>
    <t>Mitra   Sohini  Ms.</t>
  </si>
  <si>
    <t>0984146953049</t>
  </si>
  <si>
    <t>18-SEP-13</t>
  </si>
  <si>
    <t>0984146953050</t>
  </si>
  <si>
    <t>AI0023990</t>
  </si>
  <si>
    <t>0984146953051</t>
  </si>
  <si>
    <t>19-SEP-13</t>
  </si>
  <si>
    <t>AI0023994</t>
  </si>
  <si>
    <t>AR0003539</t>
  </si>
  <si>
    <t>0984146953052</t>
  </si>
  <si>
    <t>21-SEP-13</t>
  </si>
  <si>
    <t>0984146953053</t>
  </si>
  <si>
    <t>AI0023996</t>
  </si>
  <si>
    <t>775J2QWSI1</t>
  </si>
  <si>
    <t>22-SEP-13</t>
  </si>
  <si>
    <t>AI0024028</t>
  </si>
  <si>
    <t>AR0003440</t>
  </si>
  <si>
    <t>6EX24RSS</t>
  </si>
  <si>
    <t>AI0024061</t>
  </si>
  <si>
    <t>5894146982110</t>
  </si>
  <si>
    <t>AI0024079</t>
  </si>
  <si>
    <t>6EP24ZMM</t>
  </si>
  <si>
    <t>20-SEP-13</t>
  </si>
  <si>
    <t>AI0024116</t>
  </si>
  <si>
    <t>5894146982108</t>
  </si>
  <si>
    <t>13/09/2013</t>
  </si>
  <si>
    <t>AI0024172</t>
  </si>
  <si>
    <t>AR0003458</t>
  </si>
  <si>
    <t>6EP25LPF1</t>
  </si>
  <si>
    <t>AI0024219</t>
  </si>
  <si>
    <t>0984146982182</t>
  </si>
  <si>
    <t>13-SEP-13</t>
  </si>
  <si>
    <t>16/09/2013</t>
  </si>
  <si>
    <t>AI0024434</t>
  </si>
  <si>
    <t>AR0003438</t>
  </si>
  <si>
    <t>6EK271MW</t>
  </si>
  <si>
    <t>AI0024437</t>
  </si>
  <si>
    <t>AR0003437</t>
  </si>
  <si>
    <t>Rahul  Sharma Mr.</t>
  </si>
  <si>
    <t>6EH227PH</t>
  </si>
  <si>
    <t>AI0024603</t>
  </si>
  <si>
    <t>5894147072970</t>
  </si>
  <si>
    <t>AI0024633</t>
  </si>
  <si>
    <t>6EF24UPP</t>
  </si>
  <si>
    <t>16-SEP-13</t>
  </si>
  <si>
    <t>AI0024636</t>
  </si>
  <si>
    <t>AR0003439</t>
  </si>
  <si>
    <t>6EU286NW</t>
  </si>
  <si>
    <t>17/09/2013</t>
  </si>
  <si>
    <t>AI0024656</t>
  </si>
  <si>
    <t>6EF26BPB</t>
  </si>
  <si>
    <t>AI0024674</t>
  </si>
  <si>
    <t>6EY24SSC</t>
  </si>
  <si>
    <t>AI0024865</t>
  </si>
  <si>
    <t>0984146953167</t>
  </si>
  <si>
    <t>0984146953168</t>
  </si>
  <si>
    <t>AI0024866</t>
  </si>
  <si>
    <t>AR0003656</t>
  </si>
  <si>
    <t>0984146953169</t>
  </si>
  <si>
    <t>AI0024937</t>
  </si>
  <si>
    <t>6ES24KTA</t>
  </si>
  <si>
    <t>AI0024938</t>
  </si>
  <si>
    <t>Nikita  Garg Ms.</t>
  </si>
  <si>
    <t>6EG28QPN</t>
  </si>
  <si>
    <t>18/09/2013</t>
  </si>
  <si>
    <t>AI0024949</t>
  </si>
  <si>
    <t>0984146953189</t>
  </si>
  <si>
    <t>AI0024958</t>
  </si>
  <si>
    <t>6EO28HME</t>
  </si>
  <si>
    <t>20/09/2013</t>
  </si>
  <si>
    <t>AI0025267</t>
  </si>
  <si>
    <t>6EU28KRG1</t>
  </si>
  <si>
    <t>AI0025293</t>
  </si>
  <si>
    <t>AR0003606</t>
  </si>
  <si>
    <t>6EM26SPE</t>
  </si>
  <si>
    <t>02-OCT-13</t>
  </si>
  <si>
    <t>AI0025294</t>
  </si>
  <si>
    <t>AR0003605</t>
  </si>
  <si>
    <t>6EM2B1RN</t>
  </si>
  <si>
    <t>AI0025315</t>
  </si>
  <si>
    <t>AR0003591</t>
  </si>
  <si>
    <t>5894147356505</t>
  </si>
  <si>
    <t>23-SEP-13</t>
  </si>
  <si>
    <t>6ET28KPX2</t>
  </si>
  <si>
    <t>21/09/2013</t>
  </si>
  <si>
    <t>AI0025613</t>
  </si>
  <si>
    <t>5894147397514</t>
  </si>
  <si>
    <t>22/09/2013</t>
  </si>
  <si>
    <t>AI0025603</t>
  </si>
  <si>
    <t>6EG2CJRN</t>
  </si>
  <si>
    <t>23/09/2013</t>
  </si>
  <si>
    <t>AI0025662</t>
  </si>
  <si>
    <t>104F6IJS2</t>
  </si>
  <si>
    <t>AI0025667</t>
  </si>
  <si>
    <t>Parikh   Sanjay  Dr .</t>
  </si>
  <si>
    <t>5894147397539</t>
  </si>
  <si>
    <t>25-SEP-13</t>
  </si>
  <si>
    <t>AI0025668</t>
  </si>
  <si>
    <t>6EK2BFTG</t>
  </si>
  <si>
    <t>24/09/2013</t>
  </si>
  <si>
    <t>AI0025809</t>
  </si>
  <si>
    <t>5894147356560</t>
  </si>
  <si>
    <t>06-OCT-13</t>
  </si>
  <si>
    <t>775X9ZP8T3</t>
  </si>
  <si>
    <t>Roy   Sudeshna  Ms.</t>
  </si>
  <si>
    <t>5894147356561</t>
  </si>
  <si>
    <t>775X9ZP8T4</t>
  </si>
  <si>
    <t>AI0026113</t>
  </si>
  <si>
    <t>AR0003780</t>
  </si>
  <si>
    <t>6EN2CJTF</t>
  </si>
  <si>
    <t>01-OCT-13</t>
  </si>
  <si>
    <t>25/09/2013</t>
  </si>
  <si>
    <t>AI0026526</t>
  </si>
  <si>
    <t>1254147397696</t>
  </si>
  <si>
    <t>28-SEP-13</t>
  </si>
  <si>
    <t>26/09/2013</t>
  </si>
  <si>
    <t>AI0026335</t>
  </si>
  <si>
    <t>6EO2E3TL</t>
  </si>
  <si>
    <t>29-SEP-13</t>
  </si>
  <si>
    <t>AI0026395</t>
  </si>
  <si>
    <t>Prabhu   Suhas  Mr.</t>
  </si>
  <si>
    <t>104XCIXHO1</t>
  </si>
  <si>
    <t>03-OCT-13</t>
  </si>
  <si>
    <t>AI0026397</t>
  </si>
  <si>
    <t>5894147356667</t>
  </si>
  <si>
    <t>27/09/2013</t>
  </si>
  <si>
    <t>AI0026550</t>
  </si>
  <si>
    <t>5894147356681</t>
  </si>
  <si>
    <t>5894147356682</t>
  </si>
  <si>
    <t>AI0026568</t>
  </si>
  <si>
    <t>5894147356683</t>
  </si>
  <si>
    <t>AI0026581</t>
  </si>
  <si>
    <t>6EV2H7TM</t>
  </si>
  <si>
    <t>28/09/2013</t>
  </si>
  <si>
    <t>AI0026796</t>
  </si>
  <si>
    <t>5894147646153</t>
  </si>
  <si>
    <t>30-SEP-13</t>
  </si>
  <si>
    <t>AI0026797</t>
  </si>
  <si>
    <t>Rao   Chithra  Ms .</t>
  </si>
  <si>
    <t>5894147646154</t>
  </si>
  <si>
    <t>AI0026798</t>
  </si>
  <si>
    <t>5894147646155</t>
  </si>
  <si>
    <t>AI0026799</t>
  </si>
  <si>
    <t>5894147646156</t>
  </si>
  <si>
    <t>30/09/2013</t>
  </si>
  <si>
    <t>AI0026875</t>
  </si>
  <si>
    <t>6EM2H3NA</t>
  </si>
  <si>
    <t>AI0026978</t>
  </si>
  <si>
    <t>Abir  Banerjee Mr.</t>
  </si>
  <si>
    <t>6EO2IIPR</t>
  </si>
  <si>
    <t>Aparna  Jha Ms.</t>
  </si>
  <si>
    <t>AI0026980</t>
  </si>
  <si>
    <t>6ED2HQMH</t>
  </si>
  <si>
    <t>03/10/2013</t>
  </si>
  <si>
    <t>AI0027345</t>
  </si>
  <si>
    <t>5894147816557</t>
  </si>
  <si>
    <t>04-OCT-13</t>
  </si>
  <si>
    <t>775U78W7J2</t>
  </si>
  <si>
    <t>08-OCT-13</t>
  </si>
  <si>
    <t>AI0027352</t>
  </si>
  <si>
    <t>0984147851267</t>
  </si>
  <si>
    <t>AI0027406</t>
  </si>
  <si>
    <t>5894147756426</t>
  </si>
  <si>
    <t>AI0027522</t>
  </si>
  <si>
    <t>6EP2HKRM</t>
  </si>
  <si>
    <t>Rohan  Seth Mr.</t>
  </si>
  <si>
    <t>04/10/2013</t>
  </si>
  <si>
    <t>AI0027448</t>
  </si>
  <si>
    <t>0571817541041</t>
  </si>
  <si>
    <t>18-OCT-13</t>
  </si>
  <si>
    <t>AI0027614</t>
  </si>
  <si>
    <t>0984147816597</t>
  </si>
  <si>
    <t>09-OCT-13</t>
  </si>
  <si>
    <t>05/10/2013</t>
  </si>
  <si>
    <t>AI0027715</t>
  </si>
  <si>
    <t>Nayakcannanore  Aravind Mr.</t>
  </si>
  <si>
    <t>1254147887837</t>
  </si>
  <si>
    <t>07/10/2013</t>
  </si>
  <si>
    <t>AI0027828</t>
  </si>
  <si>
    <t>Chunangad   Gopal  Mr.</t>
  </si>
  <si>
    <t>5894147816631</t>
  </si>
  <si>
    <t>AI0027835</t>
  </si>
  <si>
    <t>0984147816632</t>
  </si>
  <si>
    <t>AI0027879</t>
  </si>
  <si>
    <t>Dharmalingam  Subramaniam Mr.</t>
  </si>
  <si>
    <t>0984148005264</t>
  </si>
  <si>
    <t>AI0027915</t>
  </si>
  <si>
    <t>5894147816654</t>
  </si>
  <si>
    <t>10-OCT-13</t>
  </si>
  <si>
    <t>AI0027932</t>
  </si>
  <si>
    <t>AR0004183</t>
  </si>
  <si>
    <t>0984147816662</t>
  </si>
  <si>
    <t>19-OCT-13</t>
  </si>
  <si>
    <t>0984147816661</t>
  </si>
  <si>
    <t>14-OCT-13</t>
  </si>
  <si>
    <t>AI0028005</t>
  </si>
  <si>
    <t>AR0003967</t>
  </si>
  <si>
    <t>6EK2MZRT</t>
  </si>
  <si>
    <t>08/10/2013</t>
  </si>
  <si>
    <t>AI0028047</t>
  </si>
  <si>
    <t>0984147816675</t>
  </si>
  <si>
    <t>5894147816676</t>
  </si>
  <si>
    <t>AI0028147</t>
  </si>
  <si>
    <t>5894147816685</t>
  </si>
  <si>
    <t>AI0028197</t>
  </si>
  <si>
    <t>5894148057052</t>
  </si>
  <si>
    <t>11-OCT-13</t>
  </si>
  <si>
    <t>09/10/2013</t>
  </si>
  <si>
    <t>AI0028193</t>
  </si>
  <si>
    <t>775WYEVXD2</t>
  </si>
  <si>
    <t>0984147816696</t>
  </si>
  <si>
    <t>AI0028251</t>
  </si>
  <si>
    <t>5894148057108</t>
  </si>
  <si>
    <t>AI0028321</t>
  </si>
  <si>
    <t>0984148057139</t>
  </si>
  <si>
    <t>AI0028413</t>
  </si>
  <si>
    <t>Konduru  Muralidharraju Mr.</t>
  </si>
  <si>
    <t>2204148109047</t>
  </si>
  <si>
    <t>10/10/2013</t>
  </si>
  <si>
    <t>AI0028362</t>
  </si>
  <si>
    <t>0984147816719</t>
  </si>
  <si>
    <t>AI0028516</t>
  </si>
  <si>
    <t>5894147816734</t>
  </si>
  <si>
    <t>21-OCT-13</t>
  </si>
  <si>
    <t>Keshri   Vaibhav  Mr.</t>
  </si>
  <si>
    <t>104HJE7LJ3</t>
  </si>
  <si>
    <t>26-OCT-13</t>
  </si>
  <si>
    <t>5894147816733</t>
  </si>
  <si>
    <t>104HJE7LJ4</t>
  </si>
  <si>
    <t>AI0028517</t>
  </si>
  <si>
    <t>5894147816735</t>
  </si>
  <si>
    <t>AI0028530</t>
  </si>
  <si>
    <t>0984148159275</t>
  </si>
  <si>
    <t>AI0028531</t>
  </si>
  <si>
    <t>0984148159276</t>
  </si>
  <si>
    <t>27-OCT-13</t>
  </si>
  <si>
    <t>AI0028574</t>
  </si>
  <si>
    <t>Monjoy  Majumdar Mr.</t>
  </si>
  <si>
    <t>2204148159277</t>
  </si>
  <si>
    <t>AI0028576</t>
  </si>
  <si>
    <t>1254148159269</t>
  </si>
  <si>
    <t>11/10/2013</t>
  </si>
  <si>
    <t>AI0028621</t>
  </si>
  <si>
    <t>5894148187016</t>
  </si>
  <si>
    <t>AI0028647</t>
  </si>
  <si>
    <t>AR0004122</t>
  </si>
  <si>
    <t>6ER2PCTX</t>
  </si>
  <si>
    <t>12/10/2013</t>
  </si>
  <si>
    <t>AI0028861</t>
  </si>
  <si>
    <t>0144148159426</t>
  </si>
  <si>
    <t>AI0028863</t>
  </si>
  <si>
    <t>Duranceau  Sofieanh Ms.</t>
  </si>
  <si>
    <t>0144148159427</t>
  </si>
  <si>
    <t>15/10/2013</t>
  </si>
  <si>
    <t>AI0029070</t>
  </si>
  <si>
    <t>6EY2QUMN</t>
  </si>
  <si>
    <t>17/10/2013</t>
  </si>
  <si>
    <t>AI0029257</t>
  </si>
  <si>
    <t>0984148187145</t>
  </si>
  <si>
    <t>19-10-13</t>
  </si>
  <si>
    <t>AI0029276</t>
  </si>
  <si>
    <t>5894148187152</t>
  </si>
  <si>
    <t>AI0029283</t>
  </si>
  <si>
    <t>AR0004778</t>
  </si>
  <si>
    <t>0984148187153</t>
  </si>
  <si>
    <t>21-10-13</t>
  </si>
  <si>
    <t>AI0029286</t>
  </si>
  <si>
    <t>0984148187154</t>
  </si>
  <si>
    <t>AI0029324</t>
  </si>
  <si>
    <t>775QEJJHR</t>
  </si>
  <si>
    <t>AI0030218</t>
  </si>
  <si>
    <t>Raviraj  Devadas Mr.</t>
  </si>
  <si>
    <t>0984338816758</t>
  </si>
  <si>
    <t>18/10/2013</t>
  </si>
  <si>
    <t>AI0029384</t>
  </si>
  <si>
    <t>5894148187161</t>
  </si>
  <si>
    <t>AI0029447</t>
  </si>
  <si>
    <t>6ER2U4RF</t>
  </si>
  <si>
    <t>20-10-13</t>
  </si>
  <si>
    <t>AI0029537</t>
  </si>
  <si>
    <t>5894338816967</t>
  </si>
  <si>
    <t>03-11-13</t>
  </si>
  <si>
    <t>AI0029583</t>
  </si>
  <si>
    <t>AR0004214/4242</t>
  </si>
  <si>
    <t>775Q2T4VY</t>
  </si>
  <si>
    <t>AI0029704</t>
  </si>
  <si>
    <t>2204338816966</t>
  </si>
  <si>
    <t>02-11-13</t>
  </si>
  <si>
    <t>19/10/2013</t>
  </si>
  <si>
    <t>AI0029703</t>
  </si>
  <si>
    <t>Gantotti   Sandeep  Mr .</t>
  </si>
  <si>
    <t>1254338816971</t>
  </si>
  <si>
    <t>22-10-13</t>
  </si>
  <si>
    <t>21/10/2013</t>
  </si>
  <si>
    <t>AI0029848</t>
  </si>
  <si>
    <t>5894338903368</t>
  </si>
  <si>
    <t>AI0029930</t>
  </si>
  <si>
    <t>1604338903397</t>
  </si>
  <si>
    <t>25-10-13</t>
  </si>
  <si>
    <t>AI0029931</t>
  </si>
  <si>
    <t>1604338903398</t>
  </si>
  <si>
    <t>22/10/2013</t>
  </si>
  <si>
    <t>AI0029984</t>
  </si>
  <si>
    <t>AR0004500</t>
  </si>
  <si>
    <t>0984339005500</t>
  </si>
  <si>
    <t>AI0030031</t>
  </si>
  <si>
    <t>5894339005511</t>
  </si>
  <si>
    <t>30-10-13</t>
  </si>
  <si>
    <t>AI0030063</t>
  </si>
  <si>
    <t>6EJ2URRV</t>
  </si>
  <si>
    <t>24-10-13</t>
  </si>
  <si>
    <t>AI0030102</t>
  </si>
  <si>
    <t>0984338909111</t>
  </si>
  <si>
    <t>23/10/2013</t>
  </si>
  <si>
    <t>AI0030412</t>
  </si>
  <si>
    <t>Rajakumar   Bhaskar  Dr .</t>
  </si>
  <si>
    <t>1764339031036/7</t>
  </si>
  <si>
    <t>14-11-13</t>
  </si>
  <si>
    <t>24/10/2013</t>
  </si>
  <si>
    <t>AI0030316</t>
  </si>
  <si>
    <t>775K4HSGC</t>
  </si>
  <si>
    <t>AI0030391</t>
  </si>
  <si>
    <t>5894339005550</t>
  </si>
  <si>
    <t>01-11-13</t>
  </si>
  <si>
    <t>AI0030399</t>
  </si>
  <si>
    <t>AR0004402</t>
  </si>
  <si>
    <t>5894339005552</t>
  </si>
  <si>
    <t>26-10-13</t>
  </si>
  <si>
    <t>AI0030414</t>
  </si>
  <si>
    <t>1604339031132/3</t>
  </si>
  <si>
    <t>25/10/2013</t>
  </si>
  <si>
    <t>AI0030418</t>
  </si>
  <si>
    <t>5894339005553</t>
  </si>
  <si>
    <t>28-10-13</t>
  </si>
  <si>
    <t>5894339005554</t>
  </si>
  <si>
    <t>29-10-13</t>
  </si>
  <si>
    <t>AI0030443</t>
  </si>
  <si>
    <t>5894339005561</t>
  </si>
  <si>
    <t>AI0030446</t>
  </si>
  <si>
    <t>0984339005562</t>
  </si>
  <si>
    <t>AI0030471</t>
  </si>
  <si>
    <t>0984339005563</t>
  </si>
  <si>
    <t>31-10-13</t>
  </si>
  <si>
    <t>AI0030589</t>
  </si>
  <si>
    <t>1041N5E9Y1</t>
  </si>
  <si>
    <t>27-10-13</t>
  </si>
  <si>
    <t>AI0030592</t>
  </si>
  <si>
    <t>Sudeshna  Roy Ms.</t>
  </si>
  <si>
    <t>6EK34HMG</t>
  </si>
  <si>
    <t>26/10/2013</t>
  </si>
  <si>
    <t>AI0030625</t>
  </si>
  <si>
    <t>5894339005589</t>
  </si>
  <si>
    <t>28/10/2013</t>
  </si>
  <si>
    <t>AI0030694</t>
  </si>
  <si>
    <t>0984339005604</t>
  </si>
  <si>
    <t>0984339005605</t>
  </si>
  <si>
    <t>07-11-13</t>
  </si>
  <si>
    <t>30/10/2013</t>
  </si>
  <si>
    <t>AI0031078</t>
  </si>
  <si>
    <t>AR0004463</t>
  </si>
  <si>
    <t>6EB34ESM</t>
  </si>
  <si>
    <t>05-11-13</t>
  </si>
  <si>
    <t>AI0031185</t>
  </si>
  <si>
    <t>6EM383TA1</t>
  </si>
  <si>
    <t>AI0031186</t>
  </si>
  <si>
    <t>0984339005645</t>
  </si>
  <si>
    <t>31/10/2013</t>
  </si>
  <si>
    <t>AI0031243</t>
  </si>
  <si>
    <t>5894339005662</t>
  </si>
  <si>
    <t>6EX37SSH2</t>
  </si>
  <si>
    <t>AI0031258</t>
  </si>
  <si>
    <t>Kumar  N Kiran  Mr .</t>
  </si>
  <si>
    <t>5894339294338</t>
  </si>
  <si>
    <t>AI0031259</t>
  </si>
  <si>
    <t>Kumar   Punita  Ms .</t>
  </si>
  <si>
    <t>5894339294339</t>
  </si>
  <si>
    <t>01/11/2013</t>
  </si>
  <si>
    <t>AI0031450</t>
  </si>
  <si>
    <t>AR0004575</t>
  </si>
  <si>
    <t>5894339294452</t>
  </si>
  <si>
    <t>01-NOV-13</t>
  </si>
  <si>
    <t>03/11/2013</t>
  </si>
  <si>
    <t>AI0031442</t>
  </si>
  <si>
    <t>6EX35RPS</t>
  </si>
  <si>
    <t>04-NOV-13</t>
  </si>
  <si>
    <t>04/11/2013</t>
  </si>
  <si>
    <t>AI0031462</t>
  </si>
  <si>
    <t>5894339005679</t>
  </si>
  <si>
    <t>05-NOV-13</t>
  </si>
  <si>
    <t>5894339005680</t>
  </si>
  <si>
    <t>05/11/2013</t>
  </si>
  <si>
    <t>AI0031630</t>
  </si>
  <si>
    <t>Perasher   Rohit  Mr.</t>
  </si>
  <si>
    <t>1040MFDR71</t>
  </si>
  <si>
    <t>13-NOV-13</t>
  </si>
  <si>
    <t>06/11/2013</t>
  </si>
  <si>
    <t>AI0031717</t>
  </si>
  <si>
    <t>5894339005720</t>
  </si>
  <si>
    <t>10-NOV-13</t>
  </si>
  <si>
    <t>5894339005721</t>
  </si>
  <si>
    <t>22-NOV-13</t>
  </si>
  <si>
    <t>AI0031767</t>
  </si>
  <si>
    <t>104URR5LY1</t>
  </si>
  <si>
    <t>AI0031831</t>
  </si>
  <si>
    <t>5894339005731</t>
  </si>
  <si>
    <t>07-NOV-13</t>
  </si>
  <si>
    <t>07/11/2013</t>
  </si>
  <si>
    <t>AI0031914</t>
  </si>
  <si>
    <t>0984339005743</t>
  </si>
  <si>
    <t>11-NOV-13</t>
  </si>
  <si>
    <t>0984339005744</t>
  </si>
  <si>
    <t>AI0031970</t>
  </si>
  <si>
    <t>AR0004616</t>
  </si>
  <si>
    <t>6EU3BZRT</t>
  </si>
  <si>
    <t>09-NOV-13</t>
  </si>
  <si>
    <t>AI0032038</t>
  </si>
  <si>
    <t>AR0004664</t>
  </si>
  <si>
    <t>0984339562762</t>
  </si>
  <si>
    <t>AI0032079</t>
  </si>
  <si>
    <t>6EB39IPM</t>
  </si>
  <si>
    <t>12-NOV-13</t>
  </si>
  <si>
    <t>08/11/2013</t>
  </si>
  <si>
    <t>AI0032255</t>
  </si>
  <si>
    <t>5894339562792</t>
  </si>
  <si>
    <t>5894339562793</t>
  </si>
  <si>
    <t>AI0032276</t>
  </si>
  <si>
    <t>AR0005030</t>
  </si>
  <si>
    <t>0984339562795</t>
  </si>
  <si>
    <t>09/11/2013</t>
  </si>
  <si>
    <t>AI0032323</t>
  </si>
  <si>
    <t>6EP3C8RV</t>
  </si>
  <si>
    <t>11/11/2013</t>
  </si>
  <si>
    <t>AI0032634</t>
  </si>
  <si>
    <t>AR0004969</t>
  </si>
  <si>
    <t>5894339562846</t>
  </si>
  <si>
    <t>AR0004968</t>
  </si>
  <si>
    <t>5894339562845</t>
  </si>
  <si>
    <t>AI0032710</t>
  </si>
  <si>
    <t>AR0004756</t>
  </si>
  <si>
    <t>775K1GV5Y1</t>
  </si>
  <si>
    <t>AI0032728</t>
  </si>
  <si>
    <t>6EX3FHNB</t>
  </si>
  <si>
    <t>14-NOV-13</t>
  </si>
  <si>
    <t>AI0032740</t>
  </si>
  <si>
    <t>5894339562862</t>
  </si>
  <si>
    <t>AI0032756</t>
  </si>
  <si>
    <t>6ES3GVMA</t>
  </si>
  <si>
    <t>AI0032758</t>
  </si>
  <si>
    <t>6EK3FGMA</t>
  </si>
  <si>
    <t>12/11/2013</t>
  </si>
  <si>
    <t>AI0032790</t>
  </si>
  <si>
    <t>5894339562874</t>
  </si>
  <si>
    <t>15-NOV-13</t>
  </si>
  <si>
    <t>AI0032823</t>
  </si>
  <si>
    <t>6EC3IGMA</t>
  </si>
  <si>
    <t>AI0032824</t>
  </si>
  <si>
    <t>6EG3G4TR</t>
  </si>
  <si>
    <t>AI0032825</t>
  </si>
  <si>
    <t>AR0004828</t>
  </si>
  <si>
    <t>6EX3GJSD</t>
  </si>
  <si>
    <t>16-NOV-13</t>
  </si>
  <si>
    <t>AI0032870</t>
  </si>
  <si>
    <t>5894339562887</t>
  </si>
  <si>
    <t>0984339562888</t>
  </si>
  <si>
    <t>AI0033149</t>
  </si>
  <si>
    <t>Prasanth  John Mr.</t>
  </si>
  <si>
    <t>6EC3G5TC</t>
  </si>
  <si>
    <t>14/11/2013</t>
  </si>
  <si>
    <t>AI0033289</t>
  </si>
  <si>
    <t>5894339562942</t>
  </si>
  <si>
    <t>21-NOV-13</t>
  </si>
  <si>
    <t>AI0033332</t>
  </si>
  <si>
    <t>6EI3IFTA</t>
  </si>
  <si>
    <t>19-NOV-13</t>
  </si>
  <si>
    <t>AI0033342</t>
  </si>
  <si>
    <t>6ED3ECTD</t>
  </si>
  <si>
    <t>AI0033343</t>
  </si>
  <si>
    <t>6EE3FGTW</t>
  </si>
  <si>
    <t>15/11/2013</t>
  </si>
  <si>
    <t>AI0033466</t>
  </si>
  <si>
    <t>6EU3LETG</t>
  </si>
  <si>
    <t>AI0033508</t>
  </si>
  <si>
    <t>Bhatt N   Sudhir  Mr.</t>
  </si>
  <si>
    <t>5894339562964</t>
  </si>
  <si>
    <t>0984339562965</t>
  </si>
  <si>
    <t>18/11/2013</t>
  </si>
  <si>
    <t>AI0033992</t>
  </si>
  <si>
    <t>5894339907846</t>
  </si>
  <si>
    <t>AI0034070</t>
  </si>
  <si>
    <t>AR0004967</t>
  </si>
  <si>
    <t>6EM9SL2N</t>
  </si>
  <si>
    <t>20/11/2013</t>
  </si>
  <si>
    <t>AI0034246</t>
  </si>
  <si>
    <t>5894339996085</t>
  </si>
  <si>
    <t>5894339996086</t>
  </si>
  <si>
    <t>AI0034353</t>
  </si>
  <si>
    <t>5894340072593</t>
  </si>
  <si>
    <t>21/11/2013</t>
  </si>
  <si>
    <t>AI0034331</t>
  </si>
  <si>
    <t>Kothari   Varun  Mr.</t>
  </si>
  <si>
    <t>5894339996091</t>
  </si>
  <si>
    <t>25-NOV-13</t>
  </si>
  <si>
    <t>775Y4GZUV1</t>
  </si>
  <si>
    <t>AI0034485</t>
  </si>
  <si>
    <t>5894339996111</t>
  </si>
  <si>
    <t>24-NOV-13</t>
  </si>
  <si>
    <t>AI0034487</t>
  </si>
  <si>
    <t>5894339996112</t>
  </si>
  <si>
    <t>AI0034564</t>
  </si>
  <si>
    <t>5894340177000</t>
  </si>
  <si>
    <t>26-NOV-13</t>
  </si>
  <si>
    <t>22/11/2013</t>
  </si>
  <si>
    <t>AI0034624</t>
  </si>
  <si>
    <t>0984339996119</t>
  </si>
  <si>
    <t>5894339996120</t>
  </si>
  <si>
    <t>AI0034778</t>
  </si>
  <si>
    <t>6EV92D4D</t>
  </si>
  <si>
    <t>AI0034780</t>
  </si>
  <si>
    <t>5894339996116</t>
  </si>
  <si>
    <t>AI0034833</t>
  </si>
  <si>
    <t>6EO6V5RZ</t>
  </si>
  <si>
    <t>AI0034835</t>
  </si>
  <si>
    <t>6EBCWSFE</t>
  </si>
  <si>
    <t>29-NOV-13</t>
  </si>
  <si>
    <t>25/11/2013</t>
  </si>
  <si>
    <t>AI0034902</t>
  </si>
  <si>
    <t>5894339996161</t>
  </si>
  <si>
    <t>26/11/2013</t>
  </si>
  <si>
    <t>AI0035207</t>
  </si>
  <si>
    <t>5894340320799</t>
  </si>
  <si>
    <t>01-DEC-13</t>
  </si>
  <si>
    <t>28/11/2013</t>
  </si>
  <si>
    <t>AI0035488</t>
  </si>
  <si>
    <t>5894340320965</t>
  </si>
  <si>
    <t>02-DEC-13</t>
  </si>
  <si>
    <t>AI0035557</t>
  </si>
  <si>
    <t>6EYEEZ7R</t>
  </si>
  <si>
    <t>04-DEC-13</t>
  </si>
  <si>
    <t>Surabhi  Koushik Ms.</t>
  </si>
  <si>
    <t>AI0035607</t>
  </si>
  <si>
    <t>Shailendra  Dhondiyal Mr.</t>
  </si>
  <si>
    <t>775G7TVHG</t>
  </si>
  <si>
    <t>AI0035737</t>
  </si>
  <si>
    <t>6EPC8K6H</t>
  </si>
  <si>
    <t>29/11/2013</t>
  </si>
  <si>
    <t>AI0035618</t>
  </si>
  <si>
    <t>6EFDL48B</t>
  </si>
  <si>
    <t>05-DEC-13</t>
  </si>
  <si>
    <t>AI0035621</t>
  </si>
  <si>
    <t>6EPCLZ2U</t>
  </si>
  <si>
    <t>03-DEC-13</t>
  </si>
  <si>
    <t>AI0035738</t>
  </si>
  <si>
    <t>Maheep  Sharan Mr.</t>
  </si>
  <si>
    <t>6EM7YEQJ</t>
  </si>
  <si>
    <t>30-NOV-13</t>
  </si>
  <si>
    <t>AI0035741</t>
  </si>
  <si>
    <t>5894340476762</t>
  </si>
  <si>
    <t>02/12/2013</t>
  </si>
  <si>
    <t>AI0035843</t>
  </si>
  <si>
    <t>1764340465137</t>
  </si>
  <si>
    <t>09-DEC-13</t>
  </si>
  <si>
    <t>AI0036017</t>
  </si>
  <si>
    <t>AR0005557</t>
  </si>
  <si>
    <t>5894340465225</t>
  </si>
  <si>
    <t>AI0036056</t>
  </si>
  <si>
    <t>AR0005541</t>
  </si>
  <si>
    <t>6EX2WBHY</t>
  </si>
  <si>
    <t>19-DEC-13</t>
  </si>
  <si>
    <t>AI0036057</t>
  </si>
  <si>
    <t>6EXB6STA</t>
  </si>
  <si>
    <t>18-DEC-13</t>
  </si>
  <si>
    <t>AI0036058</t>
  </si>
  <si>
    <t>AR0005543</t>
  </si>
  <si>
    <t>6ES4SS6P</t>
  </si>
  <si>
    <t>AI0036242</t>
  </si>
  <si>
    <t>2324340465220</t>
  </si>
  <si>
    <t>AI0036368</t>
  </si>
  <si>
    <t>Venuka  Khandelwal Ms.</t>
  </si>
  <si>
    <t>6EC1TBKI</t>
  </si>
  <si>
    <t>06-DEC-13</t>
  </si>
  <si>
    <t>03/12/2013</t>
  </si>
  <si>
    <t>AI0036203</t>
  </si>
  <si>
    <t>5894340476850</t>
  </si>
  <si>
    <t>AI0036244</t>
  </si>
  <si>
    <t>2174340624760</t>
  </si>
  <si>
    <t>10-DEC-13</t>
  </si>
  <si>
    <t>AI0036260</t>
  </si>
  <si>
    <t>5894340476860</t>
  </si>
  <si>
    <t>AI0036297</t>
  </si>
  <si>
    <t>Sethi   Anurag  Mr.</t>
  </si>
  <si>
    <t>5894340476872</t>
  </si>
  <si>
    <t>1040025682</t>
  </si>
  <si>
    <t>AI0036499</t>
  </si>
  <si>
    <t>1254340624826</t>
  </si>
  <si>
    <t>11-JAN-14</t>
  </si>
  <si>
    <t>04/12/2013</t>
  </si>
  <si>
    <t>AI0036374</t>
  </si>
  <si>
    <t>775JZE9VB</t>
  </si>
  <si>
    <t>AI0036498</t>
  </si>
  <si>
    <t>0824340624893</t>
  </si>
  <si>
    <t>15-DEC-13</t>
  </si>
  <si>
    <t>DE</t>
  </si>
  <si>
    <t>881EM3LIT7</t>
  </si>
  <si>
    <t>13-DEC-13</t>
  </si>
  <si>
    <t>0984340655368</t>
  </si>
  <si>
    <t>0984340655369</t>
  </si>
  <si>
    <t>24-DEC-13</t>
  </si>
  <si>
    <t>AI0036502</t>
  </si>
  <si>
    <t>1604340624898</t>
  </si>
  <si>
    <t>05/12/2013</t>
  </si>
  <si>
    <t>AI0036535</t>
  </si>
  <si>
    <t>0984340476912</t>
  </si>
  <si>
    <t>0984340476913</t>
  </si>
  <si>
    <t>07-DEC-13</t>
  </si>
  <si>
    <t>VI0003091</t>
  </si>
  <si>
    <t xml:space="preserve">Towards Dubai Visa Charges </t>
  </si>
  <si>
    <t>Dubai</t>
  </si>
  <si>
    <t>06/12/2013</t>
  </si>
  <si>
    <t>AI0036703</t>
  </si>
  <si>
    <t>5894340476938</t>
  </si>
  <si>
    <t>AI0036723</t>
  </si>
  <si>
    <t>104ZDBL6Z1</t>
  </si>
  <si>
    <t>AI0036770</t>
  </si>
  <si>
    <t>2324340765299</t>
  </si>
  <si>
    <t>11-DEC-13</t>
  </si>
  <si>
    <t>07/12/2013</t>
  </si>
  <si>
    <t>AI0036974</t>
  </si>
  <si>
    <t>0984340765379</t>
  </si>
  <si>
    <t>12-DEC-13</t>
  </si>
  <si>
    <t>09/12/2013</t>
  </si>
  <si>
    <t>AI0037330</t>
  </si>
  <si>
    <t>Punita  Mittal Ms.</t>
  </si>
  <si>
    <t>6E1312098843</t>
  </si>
  <si>
    <t>10/12/2013</t>
  </si>
  <si>
    <t>AI0037186</t>
  </si>
  <si>
    <t>1764340894513</t>
  </si>
  <si>
    <t>AI0037212</t>
  </si>
  <si>
    <t>Taharali  Wajiha Mrs.</t>
  </si>
  <si>
    <t>1764340894532</t>
  </si>
  <si>
    <t>AI0037236</t>
  </si>
  <si>
    <t>5894340476999</t>
  </si>
  <si>
    <t>VI0003143</t>
  </si>
  <si>
    <t>AI0037350</t>
  </si>
  <si>
    <t>5894340894579</t>
  </si>
  <si>
    <t>11/12/2013</t>
  </si>
  <si>
    <t>AI0037351</t>
  </si>
  <si>
    <t>6184340925076</t>
  </si>
  <si>
    <t>16-DEC-13</t>
  </si>
  <si>
    <t>AI0037357</t>
  </si>
  <si>
    <t>0984340930031</t>
  </si>
  <si>
    <t>104OJPROO1</t>
  </si>
  <si>
    <t>AI0037565</t>
  </si>
  <si>
    <t>6EC2RFHF</t>
  </si>
  <si>
    <t>12/12/2013</t>
  </si>
  <si>
    <t>AI0037584</t>
  </si>
  <si>
    <t>5894340894712</t>
  </si>
  <si>
    <t>AI0037585</t>
  </si>
  <si>
    <t>5894340894713</t>
  </si>
  <si>
    <t>AI0037586</t>
  </si>
  <si>
    <t>5894340894714</t>
  </si>
  <si>
    <t>VI0003176</t>
  </si>
  <si>
    <t xml:space="preserve">Canada Visa Charges </t>
  </si>
  <si>
    <t>Canada</t>
  </si>
  <si>
    <t>VI0003185</t>
  </si>
  <si>
    <t xml:space="preserve">Malaysia Visa Charges </t>
  </si>
  <si>
    <t>Malaysia</t>
  </si>
  <si>
    <t>13/12/2013</t>
  </si>
  <si>
    <t>AI0037709</t>
  </si>
  <si>
    <t>1046T47LV1</t>
  </si>
  <si>
    <t>AI0037716</t>
  </si>
  <si>
    <t>6EQDVB9R</t>
  </si>
  <si>
    <t>17-DEC-13</t>
  </si>
  <si>
    <t>AI0037788</t>
  </si>
  <si>
    <t>104H5ZL4Y1</t>
  </si>
  <si>
    <t>AI0037803</t>
  </si>
  <si>
    <t>5894341035318</t>
  </si>
  <si>
    <t>AI0037804</t>
  </si>
  <si>
    <t>5894341035319</t>
  </si>
  <si>
    <t>16/12/2013</t>
  </si>
  <si>
    <t>AI0038099</t>
  </si>
  <si>
    <t>AR0005632</t>
  </si>
  <si>
    <t>5894340930140</t>
  </si>
  <si>
    <t>20-DEC-13</t>
  </si>
  <si>
    <t>5894340930141</t>
  </si>
  <si>
    <t>17/12/2013</t>
  </si>
  <si>
    <t>AI0038205</t>
  </si>
  <si>
    <t>AR0005604</t>
  </si>
  <si>
    <t>6EE9DU3N</t>
  </si>
  <si>
    <t>AI0038206</t>
  </si>
  <si>
    <t>AR0005544</t>
  </si>
  <si>
    <t>6EEYGJWN</t>
  </si>
  <si>
    <t>AI0038297</t>
  </si>
  <si>
    <t>AR0005728</t>
  </si>
  <si>
    <t>0984340930172</t>
  </si>
  <si>
    <t>0984340930173</t>
  </si>
  <si>
    <t>AI0038321</t>
  </si>
  <si>
    <t>5894341198520</t>
  </si>
  <si>
    <t>18/12/2013</t>
  </si>
  <si>
    <t>AI0038339</t>
  </si>
  <si>
    <t>5894340930189</t>
  </si>
  <si>
    <t>AI0038405</t>
  </si>
  <si>
    <t>0984340930194</t>
  </si>
  <si>
    <t>AI0038465</t>
  </si>
  <si>
    <t>0984341198626</t>
  </si>
  <si>
    <t>AI0038468</t>
  </si>
  <si>
    <t>0984341198627</t>
  </si>
  <si>
    <t>22-DEC-13</t>
  </si>
  <si>
    <t>19/12/2013</t>
  </si>
  <si>
    <t>AI0038561</t>
  </si>
  <si>
    <t>5894340930215</t>
  </si>
  <si>
    <t>20/12/2013</t>
  </si>
  <si>
    <t>AI0038672</t>
  </si>
  <si>
    <t>AR0005894</t>
  </si>
  <si>
    <t>0984341198698</t>
  </si>
  <si>
    <t>AI0038678</t>
  </si>
  <si>
    <t>775Z7848Z</t>
  </si>
  <si>
    <t>AI0038797</t>
  </si>
  <si>
    <t>AR0005900</t>
  </si>
  <si>
    <t>5894341198732</t>
  </si>
  <si>
    <t>23-DEC-13</t>
  </si>
  <si>
    <t>5894341198733</t>
  </si>
  <si>
    <t>25-DEC-13</t>
  </si>
  <si>
    <t>23/12/2013</t>
  </si>
  <si>
    <t>AI0038956</t>
  </si>
  <si>
    <t>5894341343085</t>
  </si>
  <si>
    <t>AI0038899</t>
  </si>
  <si>
    <t>Tanvi  Srivastava Ms.</t>
  </si>
  <si>
    <t>6EJDY93R</t>
  </si>
  <si>
    <t>24/12/2013</t>
  </si>
  <si>
    <t>AI0039115</t>
  </si>
  <si>
    <t>0984341343171</t>
  </si>
  <si>
    <t>26-DEC-13</t>
  </si>
  <si>
    <t>AI0039206</t>
  </si>
  <si>
    <t>5894341343192</t>
  </si>
  <si>
    <t>02-JAN-14</t>
  </si>
  <si>
    <t>AI0039207</t>
  </si>
  <si>
    <t>6E1312248487</t>
  </si>
  <si>
    <t>29-DEC-13</t>
  </si>
  <si>
    <t>25/12/2013</t>
  </si>
  <si>
    <t>AI0039145</t>
  </si>
  <si>
    <t>5894341325854</t>
  </si>
  <si>
    <t>26/12/2013</t>
  </si>
  <si>
    <t>AI0039257</t>
  </si>
  <si>
    <t>0984341518510</t>
  </si>
  <si>
    <t>27-DEC-13</t>
  </si>
  <si>
    <t>28/12/2013</t>
  </si>
  <si>
    <t>AI0039456</t>
  </si>
  <si>
    <t>5894341518565</t>
  </si>
  <si>
    <t>06-JAN-14</t>
  </si>
  <si>
    <t>30/12/2013</t>
  </si>
  <si>
    <t>AI0039590</t>
  </si>
  <si>
    <t>5894341518620</t>
  </si>
  <si>
    <t>02/01/2014</t>
  </si>
  <si>
    <t>AI0040002</t>
  </si>
  <si>
    <t>0984341518740</t>
  </si>
  <si>
    <t>15-JAN-14</t>
  </si>
  <si>
    <t>06/01/2014</t>
  </si>
  <si>
    <t>AI0040383</t>
  </si>
  <si>
    <t>0984341697628</t>
  </si>
  <si>
    <t>07-JAN-14</t>
  </si>
  <si>
    <t>08/01/2014</t>
  </si>
  <si>
    <t>AI0040612</t>
  </si>
  <si>
    <t>5894341697669</t>
  </si>
  <si>
    <t>5894341697668</t>
  </si>
  <si>
    <t>10-JAN-14</t>
  </si>
  <si>
    <t>AI0040754</t>
  </si>
  <si>
    <t>5894341697684</t>
  </si>
  <si>
    <t>09-JAN-14</t>
  </si>
  <si>
    <t>5894341697683</t>
  </si>
  <si>
    <t>AI0040783</t>
  </si>
  <si>
    <t>5894341890570</t>
  </si>
  <si>
    <t>AI0040784</t>
  </si>
  <si>
    <t>5894341890559</t>
  </si>
  <si>
    <t>AI0040785</t>
  </si>
  <si>
    <t>5894341890560</t>
  </si>
  <si>
    <t>AI0040892</t>
  </si>
  <si>
    <t>Aditi  Upadhyay Mr.</t>
  </si>
  <si>
    <t>6EJ1SYYL</t>
  </si>
  <si>
    <t>13-JAN-14</t>
  </si>
  <si>
    <t>11/01/2014</t>
  </si>
  <si>
    <t>AI0041224</t>
  </si>
  <si>
    <t>6EW55F3P</t>
  </si>
  <si>
    <t>12-JAN-14</t>
  </si>
  <si>
    <t>12/01/2014</t>
  </si>
  <si>
    <t>AI0041247</t>
  </si>
  <si>
    <t>0984342108761</t>
  </si>
  <si>
    <t>14-JAN-14</t>
  </si>
  <si>
    <t>13/01/2014</t>
  </si>
  <si>
    <t>AI0041256</t>
  </si>
  <si>
    <t>5894342108763</t>
  </si>
  <si>
    <t>14/01/2014</t>
  </si>
  <si>
    <t>AI0041487</t>
  </si>
  <si>
    <t>5894342108828</t>
  </si>
  <si>
    <t>AI0041789</t>
  </si>
  <si>
    <t>AR0006233</t>
  </si>
  <si>
    <t>6ES7R9RJ</t>
  </si>
  <si>
    <t>17-JAN-14</t>
  </si>
  <si>
    <t>16/01/2014</t>
  </si>
  <si>
    <t>AI0041753</t>
  </si>
  <si>
    <t>1604342242882</t>
  </si>
  <si>
    <t>22-JAN-14</t>
  </si>
  <si>
    <t>AI0041798</t>
  </si>
  <si>
    <t>Banerjee   Abir  Mr.</t>
  </si>
  <si>
    <t>5894342108891</t>
  </si>
  <si>
    <t>VI0003503</t>
  </si>
  <si>
    <t>Amitkumar  Aggarwal Mr.</t>
  </si>
  <si>
    <t>China Visa Charges</t>
  </si>
  <si>
    <t>China</t>
  </si>
  <si>
    <t>VI0003504</t>
  </si>
  <si>
    <t>Switzerland Visa Charges</t>
  </si>
  <si>
    <t>VI0003505</t>
  </si>
  <si>
    <t>AI0041838</t>
  </si>
  <si>
    <t>Kiran  John Mr.</t>
  </si>
  <si>
    <t>6EE1WGNY</t>
  </si>
  <si>
    <t>AI0041839</t>
  </si>
  <si>
    <t>Arthideiva  Sigamani Ms.</t>
  </si>
  <si>
    <t>6EE1WGNY1</t>
  </si>
  <si>
    <t>AI0042220</t>
  </si>
  <si>
    <t>6EA24GTI</t>
  </si>
  <si>
    <t>AI0042226</t>
  </si>
  <si>
    <t>5894342108882</t>
  </si>
  <si>
    <t>17/01/2014</t>
  </si>
  <si>
    <t>AI0041932</t>
  </si>
  <si>
    <t>5894342108909</t>
  </si>
  <si>
    <t>20-JAN-14</t>
  </si>
  <si>
    <t>AI0041994</t>
  </si>
  <si>
    <t>1254342081204</t>
  </si>
  <si>
    <t>26-JAN-14</t>
  </si>
  <si>
    <t>VI0003518</t>
  </si>
  <si>
    <t>Hirehal  Shafiullatahira Mr.</t>
  </si>
  <si>
    <t>AI0042068</t>
  </si>
  <si>
    <t>6EG4KKFP</t>
  </si>
  <si>
    <t>AI0042086</t>
  </si>
  <si>
    <t>1604342242972</t>
  </si>
  <si>
    <t>21-JAN-14</t>
  </si>
  <si>
    <t>AI0042096</t>
  </si>
  <si>
    <t>5894342242974</t>
  </si>
  <si>
    <t>19/01/2014</t>
  </si>
  <si>
    <t>AI0042325</t>
  </si>
  <si>
    <t>5894342346791</t>
  </si>
  <si>
    <t>20/01/2014</t>
  </si>
  <si>
    <t>AI0042232</t>
  </si>
  <si>
    <t>6184342313229</t>
  </si>
  <si>
    <t>AI0042274</t>
  </si>
  <si>
    <t>6EQ4T7HC</t>
  </si>
  <si>
    <t>AI0042283</t>
  </si>
  <si>
    <t>6EO565VC</t>
  </si>
  <si>
    <t>23-JAN-14</t>
  </si>
  <si>
    <t>AI0042289</t>
  </si>
  <si>
    <t>388FMNOZHLOJP</t>
  </si>
  <si>
    <t>AI0042363</t>
  </si>
  <si>
    <t>N  Kirankumar Mr.</t>
  </si>
  <si>
    <t>6EJ679QM</t>
  </si>
  <si>
    <t>AI0042454</t>
  </si>
  <si>
    <t>6EI8V4KD</t>
  </si>
  <si>
    <t>21/01/2014</t>
  </si>
  <si>
    <t>AI0042048</t>
  </si>
  <si>
    <t>6ETD1B2U</t>
  </si>
  <si>
    <t>25-01-14</t>
  </si>
  <si>
    <t>AI0042414</t>
  </si>
  <si>
    <t>5894342108985</t>
  </si>
  <si>
    <t>22-01-14</t>
  </si>
  <si>
    <t>AI0042421</t>
  </si>
  <si>
    <t>5894342108986</t>
  </si>
  <si>
    <t>AI0042426</t>
  </si>
  <si>
    <t>5894342108987</t>
  </si>
  <si>
    <t>23-01-14</t>
  </si>
  <si>
    <t>AI0042651</t>
  </si>
  <si>
    <t>6EP3BR8F</t>
  </si>
  <si>
    <t>21-02-14</t>
  </si>
  <si>
    <t>AI0042734</t>
  </si>
  <si>
    <t>EY</t>
  </si>
  <si>
    <t>6074342399707</t>
  </si>
  <si>
    <t>AI0042735</t>
  </si>
  <si>
    <t>6074342399706</t>
  </si>
  <si>
    <t>22/01/2014</t>
  </si>
  <si>
    <t>AI0042603</t>
  </si>
  <si>
    <t>AR0006270</t>
  </si>
  <si>
    <t>5894342458271</t>
  </si>
  <si>
    <t>24-01-14</t>
  </si>
  <si>
    <t>AI0042608</t>
  </si>
  <si>
    <t>Bandyopadhyay   Anantadeb  Mr.</t>
  </si>
  <si>
    <t>5894342458274</t>
  </si>
  <si>
    <t>06-02-14</t>
  </si>
  <si>
    <t>Shaikh   Arfa  Ms.</t>
  </si>
  <si>
    <t>5894342458275</t>
  </si>
  <si>
    <t>AI0042791</t>
  </si>
  <si>
    <t>1764342505684</t>
  </si>
  <si>
    <t>26-01-14</t>
  </si>
  <si>
    <t>AI0042736</t>
  </si>
  <si>
    <t>6184342505657</t>
  </si>
  <si>
    <t>03-02-14</t>
  </si>
  <si>
    <t>AI0042740</t>
  </si>
  <si>
    <t>Masahiro  Onuma Mr.</t>
  </si>
  <si>
    <t>6182405153323</t>
  </si>
  <si>
    <t>10-02-14</t>
  </si>
  <si>
    <t>23/01/2014</t>
  </si>
  <si>
    <t>AI0043076</t>
  </si>
  <si>
    <t>1764342625833</t>
  </si>
  <si>
    <t>24/01/2014</t>
  </si>
  <si>
    <t>AI0043326</t>
  </si>
  <si>
    <t>AR0006523</t>
  </si>
  <si>
    <t>0984342556968</t>
  </si>
  <si>
    <t>30-01-14</t>
  </si>
  <si>
    <t>AI0043330</t>
  </si>
  <si>
    <t>6184342625982</t>
  </si>
  <si>
    <t>04-02-14</t>
  </si>
  <si>
    <t>27/01/2014</t>
  </si>
  <si>
    <t>AI0043359</t>
  </si>
  <si>
    <t>AR0006337</t>
  </si>
  <si>
    <t>104YSYU551</t>
  </si>
  <si>
    <t>29-01-14</t>
  </si>
  <si>
    <t>104YSYU552</t>
  </si>
  <si>
    <t>104YSYU553</t>
  </si>
  <si>
    <t>AI0043364</t>
  </si>
  <si>
    <t>104Z9QPZP1</t>
  </si>
  <si>
    <t>AI0043442</t>
  </si>
  <si>
    <t>5894342746831</t>
  </si>
  <si>
    <t>28-01-14</t>
  </si>
  <si>
    <t>AI0043443</t>
  </si>
  <si>
    <t>5894342746832</t>
  </si>
  <si>
    <t>28/01/2014</t>
  </si>
  <si>
    <t>AI0043529</t>
  </si>
  <si>
    <t>5894342458420</t>
  </si>
  <si>
    <t>AI0043572</t>
  </si>
  <si>
    <t>5894342458432</t>
  </si>
  <si>
    <t>31-01-14</t>
  </si>
  <si>
    <t>AI0043595</t>
  </si>
  <si>
    <t>6EQ71J9J</t>
  </si>
  <si>
    <t>AI0043609</t>
  </si>
  <si>
    <t>5894342458436</t>
  </si>
  <si>
    <t>AI0043707</t>
  </si>
  <si>
    <t>5894342458471</t>
  </si>
  <si>
    <t>AI0043708</t>
  </si>
  <si>
    <t>5894342458472</t>
  </si>
  <si>
    <t>AI0043720</t>
  </si>
  <si>
    <t>0984342458475</t>
  </si>
  <si>
    <t>AI0043724</t>
  </si>
  <si>
    <t>6ES4EZSF</t>
  </si>
  <si>
    <t>AI0043725</t>
  </si>
  <si>
    <t>AR0006432</t>
  </si>
  <si>
    <t>6EVB9PFN</t>
  </si>
  <si>
    <t>AI0043740</t>
  </si>
  <si>
    <t>Suhas  Prabhu Mr.</t>
  </si>
  <si>
    <t>6EG46L5P</t>
  </si>
  <si>
    <t>AI0043741</t>
  </si>
  <si>
    <t>6EA779TW</t>
  </si>
  <si>
    <t>AI0043742</t>
  </si>
  <si>
    <t>6EG7H7PW</t>
  </si>
  <si>
    <t>VI0003637</t>
  </si>
  <si>
    <t>Anandkirannijegal Mr.</t>
  </si>
  <si>
    <t>Switzerland Visa</t>
  </si>
  <si>
    <t>AI0043828</t>
  </si>
  <si>
    <t>6184342903867</t>
  </si>
  <si>
    <t>AI0043830</t>
  </si>
  <si>
    <t>AR0006637</t>
  </si>
  <si>
    <t>Prafula Chandra  Anand  Mr.</t>
  </si>
  <si>
    <t>7244342848172</t>
  </si>
  <si>
    <t>29/01/2014</t>
  </si>
  <si>
    <t>AI0043775</t>
  </si>
  <si>
    <t>5894342458491</t>
  </si>
  <si>
    <t>5894342458490</t>
  </si>
  <si>
    <t>AI0043840</t>
  </si>
  <si>
    <t>5894342956280</t>
  </si>
  <si>
    <t>AI0043853</t>
  </si>
  <si>
    <t>5894342956252</t>
  </si>
  <si>
    <t>AI0043879</t>
  </si>
  <si>
    <t>6EX2I4ML</t>
  </si>
  <si>
    <t>AI0043880</t>
  </si>
  <si>
    <t>6EK8DE2D</t>
  </si>
  <si>
    <t>AI0043881</t>
  </si>
  <si>
    <t>6EXEZWYH</t>
  </si>
  <si>
    <t>AI0043883</t>
  </si>
  <si>
    <t>6EW3W54F</t>
  </si>
  <si>
    <t>AI0044657</t>
  </si>
  <si>
    <t>Sandeep  Gantotti Mr.</t>
  </si>
  <si>
    <t>388FMNOZR9B24</t>
  </si>
  <si>
    <t>30/01/2014</t>
  </si>
  <si>
    <t>AI0044071</t>
  </si>
  <si>
    <t>6EFE6TVR</t>
  </si>
  <si>
    <t>AI0044072</t>
  </si>
  <si>
    <t>AR0006562</t>
  </si>
  <si>
    <t>6EY5VFXC</t>
  </si>
  <si>
    <t>05-02-14</t>
  </si>
  <si>
    <t>AI0044075</t>
  </si>
  <si>
    <t>6EL83WWW</t>
  </si>
  <si>
    <t>AI0044076</t>
  </si>
  <si>
    <t>6EVDMN2E</t>
  </si>
  <si>
    <t>AI0044077</t>
  </si>
  <si>
    <t>Karthik  Enumulla Mr.</t>
  </si>
  <si>
    <t>6EI27ZSY</t>
  </si>
  <si>
    <t>AI0044172</t>
  </si>
  <si>
    <t>1174342956464</t>
  </si>
  <si>
    <t>18-02-14</t>
  </si>
  <si>
    <t>AI0044174</t>
  </si>
  <si>
    <t>1254342637970/1</t>
  </si>
  <si>
    <t>11-02-14</t>
  </si>
  <si>
    <t>AI0044547</t>
  </si>
  <si>
    <t>AR0006636</t>
  </si>
  <si>
    <t>1764342983626</t>
  </si>
  <si>
    <t>31/01/2014</t>
  </si>
  <si>
    <t>VI0003688</t>
  </si>
  <si>
    <t>S  Rohan Mr.</t>
  </si>
  <si>
    <t>Malaysia Visa</t>
  </si>
  <si>
    <t>AI0044548</t>
  </si>
  <si>
    <t>0984343030661</t>
  </si>
  <si>
    <t>AI0044549</t>
  </si>
  <si>
    <t>1254343077906</t>
  </si>
  <si>
    <t>AI0044550</t>
  </si>
  <si>
    <t>1174343027206</t>
  </si>
  <si>
    <t>AI0044551</t>
  </si>
  <si>
    <t>2324343027042</t>
  </si>
  <si>
    <t>AI0044552</t>
  </si>
  <si>
    <t>2324343027043</t>
  </si>
  <si>
    <t>AI0044605</t>
  </si>
  <si>
    <t>7244342896325</t>
  </si>
  <si>
    <t>14-02-14</t>
  </si>
  <si>
    <t>VI0003703</t>
  </si>
  <si>
    <t>China Visa</t>
  </si>
  <si>
    <t>VI0003704</t>
  </si>
  <si>
    <t>VI0003705</t>
  </si>
  <si>
    <t>01/02/2014</t>
  </si>
  <si>
    <t>AI0044604</t>
  </si>
  <si>
    <t>0984342969598</t>
  </si>
  <si>
    <t>AI0044678</t>
  </si>
  <si>
    <t>6ES81CUJ</t>
  </si>
  <si>
    <t>03/02/2014</t>
  </si>
  <si>
    <t>AI0044620</t>
  </si>
  <si>
    <t>5894342969605</t>
  </si>
  <si>
    <t>AI0044762</t>
  </si>
  <si>
    <t>5894342969621</t>
  </si>
  <si>
    <t>AI0044789</t>
  </si>
  <si>
    <t>Sharma  Rahul Mr.</t>
  </si>
  <si>
    <t>6ECCEC4E</t>
  </si>
  <si>
    <t>04/02/2014</t>
  </si>
  <si>
    <t>AI0044843</t>
  </si>
  <si>
    <t>5894342969627</t>
  </si>
  <si>
    <t>AI0045025</t>
  </si>
  <si>
    <t>6EO9CHHD</t>
  </si>
  <si>
    <t>05/02/2014</t>
  </si>
  <si>
    <t>AI0045205</t>
  </si>
  <si>
    <t>5894342969666</t>
  </si>
  <si>
    <t>07-02-14</t>
  </si>
  <si>
    <t>AI0045226</t>
  </si>
  <si>
    <t>AR0006647</t>
  </si>
  <si>
    <t>6EW4N42C</t>
  </si>
  <si>
    <t>06/02/2014</t>
  </si>
  <si>
    <t>AI0045259</t>
  </si>
  <si>
    <t>AR0006701</t>
  </si>
  <si>
    <t>5894342969681</t>
  </si>
  <si>
    <t>AI0045322</t>
  </si>
  <si>
    <t>AR0006667</t>
  </si>
  <si>
    <t>6ENBT8KK</t>
  </si>
  <si>
    <t>AI0045397</t>
  </si>
  <si>
    <t>5894342969705</t>
  </si>
  <si>
    <t>07/02/2014</t>
  </si>
  <si>
    <t>AI0045587</t>
  </si>
  <si>
    <t>5894342969742</t>
  </si>
  <si>
    <t>12-02-14</t>
  </si>
  <si>
    <t>AI0045590</t>
  </si>
  <si>
    <t>5894342969743</t>
  </si>
  <si>
    <t>13-02-14</t>
  </si>
  <si>
    <t>AI0045786</t>
  </si>
  <si>
    <t>6EUDY47U</t>
  </si>
  <si>
    <t>08/02/2014</t>
  </si>
  <si>
    <t>AI0045642</t>
  </si>
  <si>
    <t>6EZBL2XA</t>
  </si>
  <si>
    <t>09-02-14</t>
  </si>
  <si>
    <t>10/02/2014</t>
  </si>
  <si>
    <t>AI0045842</t>
  </si>
  <si>
    <t>Kirti  Maheshwari Ms.</t>
  </si>
  <si>
    <t>6EU9KNST</t>
  </si>
  <si>
    <t>17-02-14</t>
  </si>
  <si>
    <t>AI0045863</t>
  </si>
  <si>
    <t>6ECYYMQN</t>
  </si>
  <si>
    <t>11/02/2014</t>
  </si>
  <si>
    <t>AI0045992</t>
  </si>
  <si>
    <t>5894343391085</t>
  </si>
  <si>
    <t>12/02/2014</t>
  </si>
  <si>
    <t>AI0046043</t>
  </si>
  <si>
    <t>5894343391091</t>
  </si>
  <si>
    <t>15-02-14</t>
  </si>
  <si>
    <t>AI0046070</t>
  </si>
  <si>
    <t>6EH391VV</t>
  </si>
  <si>
    <t>AI0046086</t>
  </si>
  <si>
    <t>6ERDG53E</t>
  </si>
  <si>
    <t>AI0046131</t>
  </si>
  <si>
    <t>5894343391096</t>
  </si>
  <si>
    <t>AI0046139</t>
  </si>
  <si>
    <t>AR0006822</t>
  </si>
  <si>
    <t>6ELC1U3H</t>
  </si>
  <si>
    <t>AI0046140</t>
  </si>
  <si>
    <t>AR0006823</t>
  </si>
  <si>
    <t>6EO9NPSD</t>
  </si>
  <si>
    <t>AI0046141</t>
  </si>
  <si>
    <t>AR0006849</t>
  </si>
  <si>
    <t>6EV7RCGJ</t>
  </si>
  <si>
    <t>AI0046215</t>
  </si>
  <si>
    <t>5894343391106</t>
  </si>
  <si>
    <t>AI0046239</t>
  </si>
  <si>
    <t>5894343391107</t>
  </si>
  <si>
    <t>13/02/2014</t>
  </si>
  <si>
    <t>AI0046299</t>
  </si>
  <si>
    <t>6EA6NR2G</t>
  </si>
  <si>
    <t>16-02-14</t>
  </si>
  <si>
    <t>AI0046375</t>
  </si>
  <si>
    <t>5894814804431</t>
  </si>
  <si>
    <t>AI0046376</t>
  </si>
  <si>
    <t>Seth   Rohan  Mr .</t>
  </si>
  <si>
    <t>5894814804432</t>
  </si>
  <si>
    <t>14/02/2014</t>
  </si>
  <si>
    <t>AI0046458</t>
  </si>
  <si>
    <t>5894343391150</t>
  </si>
  <si>
    <t>AI0046488</t>
  </si>
  <si>
    <t>6ED1TH2V</t>
  </si>
  <si>
    <t>AI0046489</t>
  </si>
  <si>
    <t>6EX1P22L</t>
  </si>
  <si>
    <t>AI0046490</t>
  </si>
  <si>
    <t>6EHYR8VN</t>
  </si>
  <si>
    <t>23-02-14</t>
  </si>
  <si>
    <t>17/02/2014</t>
  </si>
  <si>
    <t>AI0046845</t>
  </si>
  <si>
    <t>Ghai   Viveksheel  Mr.</t>
  </si>
  <si>
    <t>0984343391212</t>
  </si>
  <si>
    <t>28-FEB-14</t>
  </si>
  <si>
    <t>5894343391211</t>
  </si>
  <si>
    <t>24-FEB-14</t>
  </si>
  <si>
    <t>AI0046872</t>
  </si>
  <si>
    <t>6EZ37PMY</t>
  </si>
  <si>
    <t>21-FEB-14</t>
  </si>
  <si>
    <t>18/02/2014</t>
  </si>
  <si>
    <t>AI0047028</t>
  </si>
  <si>
    <t>6EC52Y8M</t>
  </si>
  <si>
    <t>19-FEB-14</t>
  </si>
  <si>
    <t>AI0047029</t>
  </si>
  <si>
    <t>6EC9HCXQ</t>
  </si>
  <si>
    <t>25-FEB-14</t>
  </si>
  <si>
    <t>19/02/2014</t>
  </si>
  <si>
    <t>AI0047133</t>
  </si>
  <si>
    <t>0984343391246</t>
  </si>
  <si>
    <t>AI0047134</t>
  </si>
  <si>
    <t>AR0006946</t>
  </si>
  <si>
    <t>6EFBN15H</t>
  </si>
  <si>
    <t>AI0047196</t>
  </si>
  <si>
    <t>0984815144023</t>
  </si>
  <si>
    <t>0984815144024</t>
  </si>
  <si>
    <t>23-FEB-14</t>
  </si>
  <si>
    <t>AI0047266</t>
  </si>
  <si>
    <t>Indraneel  Biswas Mr.</t>
  </si>
  <si>
    <t>6EC5NNNM</t>
  </si>
  <si>
    <t>20-FEB-14</t>
  </si>
  <si>
    <t>20/02/2014</t>
  </si>
  <si>
    <t>AI0047207</t>
  </si>
  <si>
    <t>Hursikesh  Patnaik Mr.</t>
  </si>
  <si>
    <t>6EF4898P</t>
  </si>
  <si>
    <t>21/02/2014</t>
  </si>
  <si>
    <t>AI0047475</t>
  </si>
  <si>
    <t>5894815122212</t>
  </si>
  <si>
    <t>22/02/2014</t>
  </si>
  <si>
    <t>AI0047693</t>
  </si>
  <si>
    <t>AR0007020</t>
  </si>
  <si>
    <t>Rajesh  Nair Mr.</t>
  </si>
  <si>
    <t>6EODYT4E</t>
  </si>
  <si>
    <t>03-APR-14</t>
  </si>
  <si>
    <t>23/02/2014</t>
  </si>
  <si>
    <t>AI0047694</t>
  </si>
  <si>
    <t>6ERCPEMX</t>
  </si>
  <si>
    <t>24/02/2014</t>
  </si>
  <si>
    <t>AI0047733</t>
  </si>
  <si>
    <t>6ERC6GJK</t>
  </si>
  <si>
    <t>AI0047765</t>
  </si>
  <si>
    <t>6EA7PDTG</t>
  </si>
  <si>
    <t>26-FEB-14</t>
  </si>
  <si>
    <t>AI0047793</t>
  </si>
  <si>
    <t>5894815144124</t>
  </si>
  <si>
    <t>AI0047812</t>
  </si>
  <si>
    <t>6EY8KU9G</t>
  </si>
  <si>
    <t>AI0047813</t>
  </si>
  <si>
    <t>6EQ6F5GM</t>
  </si>
  <si>
    <t>AI0047843</t>
  </si>
  <si>
    <t>5894815243372</t>
  </si>
  <si>
    <t>27-FEB-14</t>
  </si>
  <si>
    <t>25/02/2014</t>
  </si>
  <si>
    <t>AI0047874</t>
  </si>
  <si>
    <t>5894815144141</t>
  </si>
  <si>
    <t>AI0047877</t>
  </si>
  <si>
    <t>5894815144142</t>
  </si>
  <si>
    <t>AI0047878</t>
  </si>
  <si>
    <t>5894815144143</t>
  </si>
  <si>
    <t>AI0048208</t>
  </si>
  <si>
    <t>6EZ3HS5V</t>
  </si>
  <si>
    <t>AI0048211</t>
  </si>
  <si>
    <t>AR0007078</t>
  </si>
  <si>
    <t>Yogesh  Pardeshi Mr.</t>
  </si>
  <si>
    <t>6ETBP8XN</t>
  </si>
  <si>
    <t>AI0048212</t>
  </si>
  <si>
    <t>Rupesh  Bajpai Mr.</t>
  </si>
  <si>
    <t>6EVZWBWR</t>
  </si>
  <si>
    <t>26/02/2014</t>
  </si>
  <si>
    <t>AI0048301</t>
  </si>
  <si>
    <t>5894815144201</t>
  </si>
  <si>
    <t>AI0048428</t>
  </si>
  <si>
    <t>6EHYNDQN</t>
  </si>
  <si>
    <t>AI0048457</t>
  </si>
  <si>
    <t>5894815144203</t>
  </si>
  <si>
    <t>AI0048458</t>
  </si>
  <si>
    <t>6EG9WL3N</t>
  </si>
  <si>
    <t>27/02/2014</t>
  </si>
  <si>
    <t>AI0048550</t>
  </si>
  <si>
    <t>6EQ8RWRG</t>
  </si>
  <si>
    <t>AI0048625</t>
  </si>
  <si>
    <t>6EMD7G4E</t>
  </si>
  <si>
    <t>28/02/2014</t>
  </si>
  <si>
    <t>AI0048583</t>
  </si>
  <si>
    <t>5894815563003</t>
  </si>
  <si>
    <t>02-MAR-14</t>
  </si>
  <si>
    <t>Row Labels</t>
  </si>
  <si>
    <t>Grand Total</t>
  </si>
  <si>
    <t>BLR - BOM</t>
  </si>
  <si>
    <t>BOM - BLR</t>
  </si>
  <si>
    <t>BLR - BOM - BLR</t>
  </si>
  <si>
    <t>AMD - BOM - BLR</t>
  </si>
  <si>
    <t>BLR - DXB - BLR</t>
  </si>
  <si>
    <t>BLR - HKG - PVG - HKG - BLR</t>
  </si>
  <si>
    <t>BLR - BOM - DXB - IXE - BLR</t>
  </si>
  <si>
    <t>BLR - BOM - HKG - BOM - BLR</t>
  </si>
  <si>
    <t>BLR - HYD</t>
  </si>
  <si>
    <t>AMD - BOM</t>
  </si>
  <si>
    <t>AMD - BLR</t>
  </si>
  <si>
    <t>BLR - PNQ</t>
  </si>
  <si>
    <t>PNQ - BLR</t>
  </si>
  <si>
    <t>BLR - DEL</t>
  </si>
  <si>
    <t>IXC - BOM</t>
  </si>
  <si>
    <t>DEL - BLR</t>
  </si>
  <si>
    <t>YYZ - YUL</t>
  </si>
  <si>
    <t>BOM - DEL</t>
  </si>
  <si>
    <t>HYD - BLR</t>
  </si>
  <si>
    <t>DEL - BOM</t>
  </si>
  <si>
    <t>BLR - AMD</t>
  </si>
  <si>
    <t>BLR - KUL - BLR</t>
  </si>
  <si>
    <t>CCU - BLR</t>
  </si>
  <si>
    <t>BLR - LHR - EWR - LHR - BLR</t>
  </si>
  <si>
    <t>BLR - DEL - BLR</t>
  </si>
  <si>
    <t>BLR - LKO</t>
  </si>
  <si>
    <t>BLR - BOM - DEL</t>
  </si>
  <si>
    <t>BLR - LHR - ORD - LHR - BLR</t>
  </si>
  <si>
    <t>BLR - FRA - BLR</t>
  </si>
  <si>
    <t>ZRH - TXL - MUC</t>
  </si>
  <si>
    <t>ICN - PVG</t>
  </si>
  <si>
    <t>IXC - BLR</t>
  </si>
  <si>
    <t>IXC - DEL</t>
  </si>
  <si>
    <t>IAH - DXB - BLR</t>
  </si>
  <si>
    <t>LHR - ZRH - CPH - LHR</t>
  </si>
  <si>
    <t>IXC - HYD</t>
  </si>
  <si>
    <t>BLR - IXC - BLR</t>
  </si>
  <si>
    <t>BLR - MAA</t>
  </si>
  <si>
    <t>BLR - PAT</t>
  </si>
  <si>
    <t>BOM - BLR - BOM</t>
  </si>
  <si>
    <t>DEL - CJB</t>
  </si>
  <si>
    <t>BOM - HYD</t>
  </si>
  <si>
    <t>BLR - BOM - JDH</t>
  </si>
  <si>
    <t>BLR - SIN</t>
  </si>
  <si>
    <t>BLR - SIN - BLR</t>
  </si>
  <si>
    <t>BLR - DXB</t>
  </si>
  <si>
    <t>BLR - BKK - SYD - BKK - BLR</t>
  </si>
  <si>
    <t>BLR - BOM - EWR - BOM - BLR</t>
  </si>
  <si>
    <t>BLR - MAA - SIN - MAA - BLR</t>
  </si>
  <si>
    <t>BLR - BOM - NYC - BOM - BLR</t>
  </si>
  <si>
    <t>BLR - GOI</t>
  </si>
  <si>
    <t>BLR - CCU</t>
  </si>
  <si>
    <t>YUL - YVR - ICN - PVG - YYZ</t>
  </si>
  <si>
    <t>ZRH - DXB - HYD - DEL - DXB</t>
  </si>
  <si>
    <t>YUL - YYZ - NRT - YYZ - YUL</t>
  </si>
  <si>
    <t>ZRH - TXL - MUC - TXL - ZRH</t>
  </si>
  <si>
    <t>ZRH - MUC - GVA</t>
  </si>
  <si>
    <t>HYD - BOM</t>
  </si>
  <si>
    <t>BOM - AMD</t>
  </si>
  <si>
    <t>BRU - LHR</t>
  </si>
  <si>
    <t>LON - DEL</t>
  </si>
  <si>
    <t>HYD - DEL</t>
  </si>
  <si>
    <t>GOI - BLR</t>
  </si>
  <si>
    <t>DEL - ZRH - BOM - BLR</t>
  </si>
  <si>
    <t>DEL - LHR - DEL</t>
  </si>
  <si>
    <t>DEL - HYD</t>
  </si>
  <si>
    <t>DEL - LON - BSL - BRU - LON</t>
  </si>
  <si>
    <t>DXB - FRA</t>
  </si>
  <si>
    <t>FRA - BLR</t>
  </si>
  <si>
    <t>EWR - LHR - BLR</t>
  </si>
  <si>
    <t>FRA - BOM - DEL - FRA</t>
  </si>
  <si>
    <t>GVA - CPH</t>
  </si>
  <si>
    <t>BOM - CDG - YUL - JFK - CDG</t>
  </si>
  <si>
    <t>BOM - IXE</t>
  </si>
  <si>
    <t>BLR - HYD - BLR</t>
  </si>
  <si>
    <t>SIN - BLR</t>
  </si>
  <si>
    <t>DEL - BLR - DEL</t>
  </si>
  <si>
    <t>DXB - BLR</t>
  </si>
  <si>
    <t>DEL - BOM - DEL</t>
  </si>
  <si>
    <t>DEL - PNQ</t>
  </si>
  <si>
    <t>MAA - BLR</t>
  </si>
  <si>
    <t>BLR - SIN - SYD - SIN - BLR</t>
  </si>
  <si>
    <t>BRU - LHR - BRU</t>
  </si>
  <si>
    <t>MON - NYC - PAR - BLR</t>
  </si>
  <si>
    <t>CDG - BLR</t>
  </si>
  <si>
    <t>BLR - DXB - DFW - EWR - JFK - DXB - BLR</t>
  </si>
  <si>
    <t>BOM - GOI</t>
  </si>
  <si>
    <t>MAA - HKG - PEK - PVG - HKG - BLR</t>
  </si>
  <si>
    <t>HYD - BLR - HYD</t>
  </si>
  <si>
    <t>HYD - DXB - LHR - DXB - BLR</t>
  </si>
  <si>
    <t>HYD - LON - NCL - LON - HYD</t>
  </si>
  <si>
    <t>HYD - LON - ZRH - CPH - LON - HYD</t>
  </si>
  <si>
    <t>NYC - BOM - BLR</t>
  </si>
  <si>
    <t>NRT - SIN - BLR - SIN - NRT</t>
  </si>
  <si>
    <t>MAA - BOM</t>
  </si>
  <si>
    <t>CCU - BOM</t>
  </si>
  <si>
    <t>BSL - BRU</t>
  </si>
  <si>
    <t>CCU - BOM - BLR</t>
  </si>
  <si>
    <t>LKO - DEL</t>
  </si>
  <si>
    <t>DEL - DXB - ZRH - DXB - BLR</t>
  </si>
  <si>
    <t>BLR - LKO - BLR</t>
  </si>
  <si>
    <t>BOM - HKG - BLR</t>
  </si>
  <si>
    <t>BOM - ZRH - DEL - LKO</t>
  </si>
  <si>
    <t>BLR - AMD - BLR</t>
  </si>
  <si>
    <t>BLR - IXC</t>
  </si>
  <si>
    <t>COK - AMD</t>
  </si>
  <si>
    <t>BLR.Cy.Jn - Chennai.Central</t>
  </si>
  <si>
    <t>Chennai.Central - BLR.Cy.Jn</t>
  </si>
  <si>
    <t>Count of Sectors From - To</t>
  </si>
  <si>
    <t>Sectors</t>
  </si>
  <si>
    <t>Count</t>
  </si>
  <si>
    <t>Sum of 
Gross Amount</t>
  </si>
  <si>
    <t>Min
Range</t>
  </si>
  <si>
    <t>Max
Range</t>
  </si>
  <si>
    <t>Amount</t>
  </si>
  <si>
    <t>Loss</t>
  </si>
  <si>
    <t>Below Range(C)</t>
  </si>
  <si>
    <t>In 
Range(C)</t>
  </si>
  <si>
    <t>Above Range(C)</t>
  </si>
  <si>
    <t>Below Range(A)</t>
  </si>
  <si>
    <t>In 
Range(A)</t>
  </si>
  <si>
    <t>Above Range(A)</t>
  </si>
  <si>
    <t>Sum of Below Range(C)</t>
  </si>
  <si>
    <t>Sum of In 
Range(C)</t>
  </si>
  <si>
    <t>Sum of Above Range(C)</t>
  </si>
  <si>
    <t>Sum of Below Range(A)</t>
  </si>
  <si>
    <t>Sum of In 
Range(A)</t>
  </si>
  <si>
    <t>Sum of Above Range(A)</t>
  </si>
  <si>
    <t>Sum of Loss</t>
  </si>
  <si>
    <t>Count of Range</t>
  </si>
  <si>
    <t>Below</t>
  </si>
  <si>
    <t xml:space="preserve">In </t>
  </si>
  <si>
    <t>Above</t>
  </si>
  <si>
    <t>Sum of Amount</t>
  </si>
  <si>
    <t>Sum of 
Loss</t>
  </si>
  <si>
    <t>No. of 
Trips</t>
  </si>
  <si>
    <t>Poission</t>
  </si>
  <si>
    <t>Gross Total Payable</t>
  </si>
  <si>
    <t>Sum of Gross Total Payable</t>
  </si>
  <si>
    <t>(blank)</t>
  </si>
  <si>
    <t>Advani Pradip Mr.</t>
  </si>
  <si>
    <t>Ahmad Tajdar Mr .</t>
  </si>
  <si>
    <t>Amit Srivastava Mr.</t>
  </si>
  <si>
    <t>Arumugam Harsha Mr.</t>
  </si>
  <si>
    <t>Barai Samapti Ms.</t>
  </si>
  <si>
    <t>Bellani Vishal Mr .</t>
  </si>
  <si>
    <t>Bhalla Ratti Ms .</t>
  </si>
  <si>
    <t>Sridhar V Mr.</t>
  </si>
  <si>
    <t>Bina Patil Mr.</t>
  </si>
  <si>
    <t>Byrisetty Sunita Ms.</t>
  </si>
  <si>
    <t>Chaudhari Vivek Mr .</t>
  </si>
  <si>
    <t>Daga Kapil Mr .</t>
  </si>
  <si>
    <t>Dattani Shyam Mr.</t>
  </si>
  <si>
    <t>Garg Nikita Ms .</t>
  </si>
  <si>
    <t>Gaurav Kapoor Mr.</t>
  </si>
  <si>
    <t>Ghai Vivek Mr.</t>
  </si>
  <si>
    <t>Gidwani Shakun Ms .</t>
  </si>
  <si>
    <t>Gupta Manish Mr .</t>
  </si>
  <si>
    <t>Srihari S Mr .</t>
  </si>
  <si>
    <t>Singh Damanbir Mr .</t>
  </si>
  <si>
    <t>Singh Hardeep Mr .</t>
  </si>
  <si>
    <t>Devadas Raviraj Mr.</t>
  </si>
  <si>
    <t>Jain Saurabh Dr .</t>
  </si>
  <si>
    <t>Kiran Anand Mr .</t>
  </si>
  <si>
    <t>Mukherjee Atish Mr .</t>
  </si>
  <si>
    <t>Name of the Passanger</t>
  </si>
  <si>
    <t>S.No.</t>
  </si>
  <si>
    <t>Median</t>
  </si>
  <si>
    <t xml:space="preserve">Sum of In </t>
  </si>
  <si>
    <t>Travel Above the Range</t>
  </si>
  <si>
    <t>Travel Within the Range</t>
  </si>
  <si>
    <t>Travel Below the Range</t>
  </si>
  <si>
    <t>%</t>
  </si>
  <si>
    <t>Total No. 
of Trips</t>
  </si>
  <si>
    <t>6E - Indigo</t>
  </si>
  <si>
    <t>9W - Jet Airways</t>
  </si>
  <si>
    <t>AF - Air France</t>
  </si>
  <si>
    <t>AC -Air Canada</t>
  </si>
  <si>
    <t>AI - Air India</t>
  </si>
  <si>
    <t>BA - British Airways</t>
  </si>
  <si>
    <t>EK -  EMIRATES AIR</t>
  </si>
  <si>
    <t>CX -  CATHAY PACIFIC AIRWAYS</t>
  </si>
  <si>
    <t>G8 - Go Air</t>
  </si>
  <si>
    <t>LH - Lufthansa</t>
  </si>
  <si>
    <t>LX - Swissair</t>
  </si>
  <si>
    <t>MH - Malaysia Airlines</t>
  </si>
  <si>
    <t>MU - China Eastern Airlines</t>
  </si>
  <si>
    <t>SG - Singapore Airlines</t>
  </si>
  <si>
    <t>SK - Scandinavian Airlines</t>
  </si>
  <si>
    <t>SN - Brussels Airlines</t>
  </si>
  <si>
    <t>SQ - Singapore Airlines</t>
  </si>
  <si>
    <t>TG - Thai Airways</t>
  </si>
  <si>
    <t>TR - Turkish Airlines</t>
  </si>
  <si>
    <t>Column Labels</t>
  </si>
  <si>
    <t>Total Sum of Above Range(C)</t>
  </si>
  <si>
    <t xml:space="preserve">Total Sum of In </t>
  </si>
  <si>
    <t>Total Sum of Below Range(C)</t>
  </si>
  <si>
    <t>Airlines</t>
  </si>
  <si>
    <t>Train</t>
  </si>
  <si>
    <t>Visa</t>
  </si>
  <si>
    <t xml:space="preserve">1) BLR - BOM = 1
2) BOM - BLR = 1
</t>
  </si>
  <si>
    <t xml:space="preserve">1) BLR - BOM - BLR = 1
</t>
  </si>
  <si>
    <t xml:space="preserve">1) BOM - BLR - BOM = 1
</t>
  </si>
  <si>
    <t xml:space="preserve">1) BLR - BOM = 1
</t>
  </si>
  <si>
    <t xml:space="preserve">1) BOM - BLR = 1
</t>
  </si>
  <si>
    <t xml:space="preserve">1) BLR - BOM = 2
2) BOM - BLR = 1
</t>
  </si>
  <si>
    <t xml:space="preserve">1) China Visa Charges = 1
</t>
  </si>
  <si>
    <t xml:space="preserve"> - 
</t>
  </si>
  <si>
    <t xml:space="preserve">1) BLR - DEL = 1
2) DEL - BLR = 1
</t>
  </si>
  <si>
    <t xml:space="preserve">1) BLR - MAA = 1
</t>
  </si>
  <si>
    <t xml:space="preserve">1) BLR - BOM = 1
2) BOM - BLR = 4
3) DEL - BLR = 1
</t>
  </si>
  <si>
    <t xml:space="preserve">1) BLR - BOM = 1
2) BLR - DEL = 1
3) BOM - BLR = 1
4) DEL - BLR = 2
5) HYD - BLR = 1
6) HYD - DEL = 1
</t>
  </si>
  <si>
    <t xml:space="preserve">1) BLR - BOM = 1
2) BLR - DEL = 1
3) BOM - BLR = 1
4) DEL - BLR = 1
</t>
  </si>
  <si>
    <t xml:space="preserve">1) BLR - BOM = 1
2) BOM - BLR = 3
</t>
  </si>
  <si>
    <t xml:space="preserve">1) BLR - BOM = 2
2) BOM - BLR = 3
</t>
  </si>
  <si>
    <t xml:space="preserve">1) BLR.Cy.Jn - Chennai.Central = 1
</t>
  </si>
  <si>
    <t xml:space="preserve">1) Chennai.Central - BLR.Cy.Jn = 1
</t>
  </si>
  <si>
    <t xml:space="preserve">1) BOM - BLR = 2
</t>
  </si>
  <si>
    <t xml:space="preserve">1) BLR - LHR - EWR - LHR - BLR = 1
</t>
  </si>
  <si>
    <t xml:space="preserve">1) DEL - BLR = 1
</t>
  </si>
  <si>
    <t xml:space="preserve">1) BLR - DEL = 1
</t>
  </si>
  <si>
    <t xml:space="preserve">1) BLR - DEL - BLR = 1
</t>
  </si>
  <si>
    <t xml:space="preserve">1) ICN - PVG = 1
</t>
  </si>
  <si>
    <t xml:space="preserve">1) BLR - AMD - BLR = 1
2) BLR - LKO - BLR = 1
3) BOM - BLR = 1
</t>
  </si>
  <si>
    <t xml:space="preserve">1) AMD - BOM - BLR = 1
2) BLR - BOM = 4
3) BLR - DEL = 1
4) BLR - DEL - BLR = 1
5) BOM - BLR = 11
6) DEL - BLR = 2
</t>
  </si>
  <si>
    <t xml:space="preserve">1) BLR - AMD - BLR = 1
2) BLR - BOM = 3
3) BLR - DEL = 2
4) BOM - BLR = 7
</t>
  </si>
  <si>
    <t xml:space="preserve">1) BLR - HYD = 1
2) BLR - LKO - BLR = 1
3) BOM - BLR = 1
</t>
  </si>
  <si>
    <t xml:space="preserve">1) AMD - BLR = 1
2) BLR - DEL = 1
3) BLR - HYD = 2
4) HYD - BLR = 2
</t>
  </si>
  <si>
    <t xml:space="preserve">1) BLR - DXB - BLR = 1
2) BLR - KUL - BLR = 1
3) BOM - BLR = 3
4) HYD - BLR = 1
</t>
  </si>
  <si>
    <t xml:space="preserve">1) BLR - IXC = 1
</t>
  </si>
  <si>
    <t xml:space="preserve">1) BOM - BLR = 2
2) BOM - BLR - BOM = 2
</t>
  </si>
  <si>
    <t xml:space="preserve">1) BLR - BOM = 3
2) BLR - DEL = 1
3) DEL - BLR = 1
</t>
  </si>
  <si>
    <t xml:space="preserve">1) BLR - BOM = 2
2) BLR - BOM - BLR = 1
3) BLR - DEL = 1
4) BOM - AMD = 1
5) BOM - BLR = 1
</t>
  </si>
  <si>
    <t xml:space="preserve">1) BOM - AMD = 1
2) BOM - BLR - BOM = 1
</t>
  </si>
  <si>
    <t xml:space="preserve">1) BLR - DEL = 1
2) BOM - BLR = 2
</t>
  </si>
  <si>
    <t xml:space="preserve">1) BLR - HYD - BLR = 1
</t>
  </si>
  <si>
    <t xml:space="preserve">1) BLR - BOM = 1
2) BLR - DEL - BLR = 1
</t>
  </si>
  <si>
    <t xml:space="preserve">1) BLR - BOM = 1
2) BOM - BLR = 1
3) BOM - GOI = 1
4) GOI - BLR = 1
</t>
  </si>
  <si>
    <t xml:space="preserve">1) BLR - SIN - BLR = 1
</t>
  </si>
  <si>
    <t xml:space="preserve">1) BOM - BLR = 1
2) BOM - HYD = 1
</t>
  </si>
  <si>
    <t xml:space="preserve">1) BOM - BLR = 1
2) Chennai.Central - BLR.Cy.Jn = 1
</t>
  </si>
  <si>
    <t xml:space="preserve">1) BRU - LHR - BRU = 1
2) LON - DEL = 1
</t>
  </si>
  <si>
    <t>Row
Sector</t>
  </si>
  <si>
    <t>Row
Airlines</t>
  </si>
  <si>
    <t xml:space="preserve">1) 6E - Indigo = 2
</t>
  </si>
  <si>
    <t xml:space="preserve">1) 6E - Indigo = 1
</t>
  </si>
  <si>
    <t xml:space="preserve">1) 9W - Jet Airways = 1
</t>
  </si>
  <si>
    <t xml:space="preserve">1) AI - Air India = 3
</t>
  </si>
  <si>
    <t xml:space="preserve">1) Visa = 1
</t>
  </si>
  <si>
    <t xml:space="preserve">1) SG - Singapore Airlines = 1
2) 9W - Jet Airways = 1
</t>
  </si>
  <si>
    <t xml:space="preserve">1) 9W - Jet Airways = 1
2) G8 - Go Air = 1
</t>
  </si>
  <si>
    <t xml:space="preserve">1) AI - Air India = 1
</t>
  </si>
  <si>
    <t xml:space="preserve">1) AI - Air India = 2
2) 9W - Jet Airways = 4
</t>
  </si>
  <si>
    <t xml:space="preserve">1) 6E - Indigo = 1
2) SG - Singapore Airlines = 1
3) 9W - Jet Airways = 5
</t>
  </si>
  <si>
    <t xml:space="preserve">1) 6E - Indigo = 1
2) 9W - Jet Airways = 3
</t>
  </si>
  <si>
    <t xml:space="preserve">1) 9W - Jet Airways = 2
2) G8 - Go Air = 2
</t>
  </si>
  <si>
    <t xml:space="preserve">1) AI - Air India = 1
2) 9W - Jet Airways = 4
</t>
  </si>
  <si>
    <t xml:space="preserve">1) Train = 1
</t>
  </si>
  <si>
    <t xml:space="preserve">1) 6E - Indigo = 1
2) SG - Singapore Airlines = 1
</t>
  </si>
  <si>
    <t xml:space="preserve">1) BA - British Airways = 1
</t>
  </si>
  <si>
    <t xml:space="preserve">1) G8 - Go Air = 1
</t>
  </si>
  <si>
    <t xml:space="preserve">1) SG - Singapore Airlines = 1
</t>
  </si>
  <si>
    <t xml:space="preserve">1) MU - China Eastern Airlines = 1
</t>
  </si>
  <si>
    <t xml:space="preserve">1) 6E - Indigo = 3
</t>
  </si>
  <si>
    <t xml:space="preserve">1) 6E - Indigo = 4
2) 9W - Jet Airways = 16
</t>
  </si>
  <si>
    <t xml:space="preserve">1) AI - Air India = 5
2) 6E - Indigo = 2
3) SG - Singapore Airlines = 2
4) 9W - Jet Airways = 4
</t>
  </si>
  <si>
    <t xml:space="preserve">1) 6E - Indigo = 6
</t>
  </si>
  <si>
    <t xml:space="preserve">1) AI - Air India = 1
2) 9W - Jet Airways = 3
3) EK -  EMIRATES AIR = 1
4) MH - Malaysia Airlines = 1
</t>
  </si>
  <si>
    <t xml:space="preserve">1) AI - Air India = 3
2) 9W - Jet Airways = 1
</t>
  </si>
  <si>
    <t xml:space="preserve">1) AI - Air India = 3
2) 9W - Jet Airways = 1
3) G8 - Go Air = 1
</t>
  </si>
  <si>
    <t xml:space="preserve">1) 6E - Indigo = 1
2) 9W - Jet Airways = 4
3) G8 - Go Air = 1
</t>
  </si>
  <si>
    <t xml:space="preserve">1) 9W - Jet Airways = 2
</t>
  </si>
  <si>
    <t xml:space="preserve">1) AI - Air India = 1
2) 9W - Jet Airways = 2
</t>
  </si>
  <si>
    <t xml:space="preserve">1) 6E - Indigo = 1
2) 9W - Jet Airways = 2
3) G8 - Go Air = 1
</t>
  </si>
  <si>
    <t xml:space="preserve">1) SQ - Singapore Airlines = 1
</t>
  </si>
  <si>
    <t xml:space="preserve">1) AI - Air India = 1
2) 6E - Indigo = 1
</t>
  </si>
  <si>
    <t xml:space="preserve">1) AI - Air India = 1
2) Train = 1
</t>
  </si>
  <si>
    <t xml:space="preserve">1) AI - Air India = 1
2) SN - Brussels Airlines = 1
</t>
  </si>
  <si>
    <t xml:space="preserve">1) CX -  CATHAY PACIFIC AIRWAYS = 1
</t>
  </si>
  <si>
    <t xml:space="preserve">1) 9W - Jet Airways = 3
</t>
  </si>
  <si>
    <t xml:space="preserve">1) 6E - Indigo = 8
</t>
  </si>
  <si>
    <t xml:space="preserve">1) G8 - Go Air = 2
</t>
  </si>
  <si>
    <t xml:space="preserve">1) 6E - Indigo = 4
</t>
  </si>
  <si>
    <t xml:space="preserve">1) AI - Air India = 2
</t>
  </si>
  <si>
    <t xml:space="preserve">1) AC -Air Canada = 1
</t>
  </si>
  <si>
    <t xml:space="preserve">1) LH - Lufthansa = 1
</t>
  </si>
  <si>
    <t xml:space="preserve">1) AC -Air Canada = 3
</t>
  </si>
  <si>
    <t xml:space="preserve">1) Train = 2
</t>
  </si>
  <si>
    <t xml:space="preserve">1) EK -  EMIRATES AIR = 1
</t>
  </si>
  <si>
    <t xml:space="preserve">1) AF - Air France = 3
</t>
  </si>
  <si>
    <t xml:space="preserve">1) TG - Thai Airways = 1
</t>
  </si>
  <si>
    <t xml:space="preserve">1) BLR - HKG - PVG - HKG - BLR = 1
</t>
  </si>
  <si>
    <t xml:space="preserve">1) CCU - BLR = 1
</t>
  </si>
  <si>
    <t xml:space="preserve">1) BLR - HKG - PVG - HKG - BLR = 1
2) MAA - BLR = 1
</t>
  </si>
  <si>
    <t xml:space="preserve">1) BLR - BOM = 1
2) BLR - BOM - BLR = 1
</t>
  </si>
  <si>
    <t xml:space="preserve">1) BLR - BOM = 3
2) BLR - BOM - BLR = 4
3) BLR - DEL - BLR = 2
4) BOM - DEL = 1
</t>
  </si>
  <si>
    <t xml:space="preserve">1) BLR - BOM = 2
2) BLR - MAA = 1
3) MAA - BLR = 1
</t>
  </si>
  <si>
    <t xml:space="preserve">1) BLR - BOM = 3
2) BLR - BOM - DEL = 1
3) BLR - DEL = 2
4) BLR - HYD = 1
5) BOM - BLR = 2
6) BOM - DEL = 4
7) China Visa = 1
8) DEL - BLR = 3
9) DEL - BOM = 2
</t>
  </si>
  <si>
    <t xml:space="preserve">1) BLR - BOM = 1
2) BLR - BOM - BLR = 1
3) BLR - BOM - HKG - BOM - BLR = 1
4) BLR - DEL - BLR = 1
</t>
  </si>
  <si>
    <t xml:space="preserve">1) BLR - BOM = 4
2) BOM - BLR = 4
3) ZRH - TXL - MUC = 1
</t>
  </si>
  <si>
    <t xml:space="preserve">1) BLR - BOM = 1
2) BLR - BOM - BLR = 2
3) BLR - BOM - DXB - IXE - BLR = 1
4) BLR - DEL - BLR = 2
5) BLR - SIN - BLR = 3
6) BOM - BLR = 2
7) DEL - BLR = 1
8) Towards Dubai Visa Charges  = 1
</t>
  </si>
  <si>
    <t xml:space="preserve">1) BLR - BOM = 2
2) BLR - BOM - BLR = 2
3) BOM - BLR = 2
</t>
  </si>
  <si>
    <t xml:space="preserve">1) EWR - LHR - BLR = 1
</t>
  </si>
  <si>
    <t xml:space="preserve">1) BLR - DEL = 2
2) DEL - BLR - DEL = 1
</t>
  </si>
  <si>
    <t xml:space="preserve">1) BLR - BOM = 1
2) BLR - BOM - BLR = 1
3) BLR - HYD = 1
4) HYD - BLR = 2
</t>
  </si>
  <si>
    <t xml:space="preserve">1) AMD - BLR = 1
2) BLR - AMD = 1
3) BLR - BOM = 11
4) BLR - BOM - BLR = 1
5) BLR - DEL - BLR = 1
6) BLR - HYD = 1
7) BLR - SIN - BLR = 1
8) BOM - BLR = 8
9) China Visa = 1
10) DEL - BLR = 1
11) HYD - BOM = 1
</t>
  </si>
  <si>
    <t xml:space="preserve">1) BLR - BOM = 5
2) BLR - BOM - BLR = 2
3) BLR - DEL = 1
4) BLR - SIN = 1
5) BOM - AMD = 1
6) BOM - BLR = 2
7) Malaysia Visa Charges  = 1
8) SIN - BLR = 1
</t>
  </si>
  <si>
    <t xml:space="preserve">1) AMD - BLR = 1
2) BLR - AMD = 1
3) BLR - BOM = 1
4) BLR - DEL - BLR = 1
5) BLR - LHR - ORD - LHR - BLR = 1
6) BOM - BLR = 1
7) DEL - BLR = 1
8) HYD - BLR = 2
</t>
  </si>
  <si>
    <t xml:space="preserve">1) BLR - DEL - BLR = 1
2) BLR - LKO = 1
3) BOM - BLR = 4
4) COK - AMD = 1
5) LKO - DEL = 1
</t>
  </si>
  <si>
    <t xml:space="preserve">1) BLR - BOM = 4
2) BLR - DEL = 1
3) BLR - HYD = 1
4) BLR - KUL - BLR = 1
5) BLR - MAA = 1
6) BOM - BLR = 3
7) BOM - HYD = 1
8) DEL - HYD = 1
9) HYD - BLR = 2
10) HYD - BOM = 1
11) IXC - BOM = 1
12) IXC - HYD = 1
13) MAA - HKG - PEK - PVG - HKG - BLR = 1
14) Towards Dubai Visa Charges  = 1
</t>
  </si>
  <si>
    <t xml:space="preserve">1) BLR - IXC - BLR = 1
2) IXC - BLR = 1
</t>
  </si>
  <si>
    <t xml:space="preserve">1) BLR - BOM = 2
</t>
  </si>
  <si>
    <t xml:space="preserve">1) BLR - BOM = 6
2) BLR - HYD = 2
3) BLR - HYD - BLR = 1
4) BOM - BLR = 3
5) BOM - HYD = 1
6) HYD - BLR = 1
7) HYD - BOM = 1
</t>
  </si>
  <si>
    <t xml:space="preserve">1) BLR - BOM - BLR = 1
2) BLR - DEL - BLR = 2
3) BOM - BLR = 4
4) CCU - BOM = 1
5) DEL - BLR = 1
</t>
  </si>
  <si>
    <t xml:space="preserve">1) AMD - BLR = 1
2) BLR - BOM = 3
3) BLR - BOM - BLR = 1
4) BLR - DEL = 3
5) BLR - HYD = 3
6) BLR - HYD - BLR = 1
7) BLR - LKO - BLR = 1
8) BOM - BLR = 3
9) BOM - DEL = 1
10) DEL - BLR = 1
11) DEL - BOM = 1
12) HYD - BLR = 2
13) HYD - BOM = 1
</t>
  </si>
  <si>
    <t xml:space="preserve">1) BLR - BOM = 3
2) BLR - DXB - DFW - EWR - JFK - DXB - BLR = 1
3) BOM - BLR = 4
</t>
  </si>
  <si>
    <t xml:space="preserve">1) AMD - BOM = 1
2) BOM - BLR = 1
</t>
  </si>
  <si>
    <t xml:space="preserve">1) BLR - BOM = 3
2) BLR - DEL - BLR = 1
3) LKO - DEL = 1
</t>
  </si>
  <si>
    <t xml:space="preserve">1) BLR - BOM - JDH = 1
2) BLR - CCU = 1
3) Canada Visa Charges  = 1
4) CCU - BLR = 1
</t>
  </si>
  <si>
    <t xml:space="preserve">1) BLR - BOM - BLR = 1
2) BLR - KUL - BLR = 1
3) BOM - BLR = 1
</t>
  </si>
  <si>
    <t xml:space="preserve">1) BLR - AMD - BLR = 1
2) BLR - BOM - BLR = 1
3) BLR - IXC = 1
4) BLR - IXC - BLR = 1
5) BLR - LKO - BLR = 1
6) BOM - BLR = 1
7) IXC - DEL = 1
</t>
  </si>
  <si>
    <t xml:space="preserve">1) BLR - AMD - BLR = 1
2) BLR - BOM = 1
3) BLR - BOM - BLR = 1
4) BLR - DEL - BLR = 3
5) BLR - HKG - PVG - HKG - BLR = 1
6) BOM - BLR = 1
7) HYD - BLR = 1
</t>
  </si>
  <si>
    <t xml:space="preserve">1) BLR.Cy.Jn - Chennai.Central = 1
2) Chennai.Central - BLR.Cy.Jn = 1
3) DEL - BLR = 1
</t>
  </si>
  <si>
    <t xml:space="preserve">1) BLR - BOM = 9
2) BLR - BOM - BLR = 1
3) BLR - BOM - DEL = 1
4) BLR - DEL = 2
5) BLR - GOI = 1
6) BOM - BLR = 5
7) BOM - DEL = 1
8) BOM - HKG - BLR = 1
9) Business = 1
10) CCU - BOM - BLR = 1
11) DEL - BLR = 3
12) DEL - BOM = 1
</t>
  </si>
  <si>
    <t xml:space="preserve">1) BLR - BOM = 2
2) BOM - BLR = 2
</t>
  </si>
  <si>
    <t xml:space="preserve">1) BLR - BOM = 4
</t>
  </si>
  <si>
    <t xml:space="preserve">1) BLR - BOM = 5
2) BOM - BLR = 3
3) BOM - DEL = 2
4) DEL - BOM = 3
5) DEL - PNQ = 1
</t>
  </si>
  <si>
    <t xml:space="preserve">1) BLR - BOM = 9
2) BLR.Cy.Jn - Chennai.Central = 1
3) BOM - BLR = 5
4) BOM - DEL = 1
5) DEL - CJB = 1
6) MAA - BOM = 1
</t>
  </si>
  <si>
    <t xml:space="preserve">1) BLR - BOM - BLR = 1
2) BLR - DEL = 1
3) BOM - BLR = 3
4) China Visa = 1
5) Towards Dubai Visa Charges  = 1
</t>
  </si>
  <si>
    <t xml:space="preserve">1) BLR - BOM = 3
2) BLR - DXB = 1
3) BLR - HYD - BLR = 1
4) DEL - BLR = 2
5) DXB - BLR = 1
</t>
  </si>
  <si>
    <t xml:space="preserve">1) BLR - BOM = 2
2) BLR - HYD - BLR = 1
3) BOM - BLR = 3
4) GVA - CPH = 1
5) HYD - BOM = 1
6) HYD - DXB - LHR - DXB - BLR = 1
7) HYD - LON - ZRH - CPH - LON - HYD = 1
</t>
  </si>
  <si>
    <t xml:space="preserve">1) BLR - BOM = 1
2) BLR - DEL = 6
3) BLR - DEL - BLR = 1
4) BOM - DEL = 5
5) BRU - LHR = 1
6) BSL - BRU = 1
7) DEL - BLR = 5
8) DEL - BLR - DEL = 4
9) DEL - BOM = 2
10) DEL - BOM - DEL = 3
11) DEL - HYD = 1
12) DEL - LHR - DEL = 1
13) DEL - LON - BSL - BRU - LON = 1
14) GVA - CPH = 1
15) HYD - BLR = 1
16) HYD - BOM = 1
17) LHR - ZRH - CPH - LHR = 1
18) ZRH - MUC - GVA = 1
</t>
  </si>
  <si>
    <t xml:space="preserve">1) Switzerland Visa = 1
</t>
  </si>
  <si>
    <t xml:space="preserve">1) BOM - BLR = 2
2) HYD - BLR = 1
</t>
  </si>
  <si>
    <t xml:space="preserve">1) BLR - BOM - BLR = 2
</t>
  </si>
  <si>
    <t xml:space="preserve">1) BLR - HYD = 1
2) HYD - BLR - HYD = 1
</t>
  </si>
  <si>
    <t xml:space="preserve">1) BLR - PNQ = 1
2) PNQ - BLR = 1
</t>
  </si>
  <si>
    <t xml:space="preserve">1) BLR - BOM = 1
2) BLR - BOM - BLR = 2
3) BOM - BLR = 1
</t>
  </si>
  <si>
    <t xml:space="preserve">1) BLR - BOM - NYC - BOM - BLR = 1
2) NYC - BOM - BLR = 1
</t>
  </si>
  <si>
    <t xml:space="preserve">1) YUL - YYZ - NRT - YYZ - YUL = 1
</t>
  </si>
  <si>
    <t xml:space="preserve">1) BLR - BOM - JDH = 1
</t>
  </si>
  <si>
    <t xml:space="preserve">1) BLR - AMD - BLR = 1
</t>
  </si>
  <si>
    <t xml:space="preserve">1) BLR - BOM = 1
2) Switzerland Visa Charges = 1
</t>
  </si>
  <si>
    <t xml:space="preserve">1) BLR - SIN - SYD - SIN - BLR = 1
</t>
  </si>
  <si>
    <t xml:space="preserve">1) BLR - IXC = 1
2) IXC - BLR = 1
</t>
  </si>
  <si>
    <t xml:space="preserve">1) DEL - BLR - DEL = 1
</t>
  </si>
  <si>
    <t xml:space="preserve">1) FRA - BLR = 1
</t>
  </si>
  <si>
    <t xml:space="preserve">1) BLR - BOM = 1
2) BOM - BLR = 2
</t>
  </si>
  <si>
    <t xml:space="preserve">1) YUL - YVR - ICN - PVG - YYZ = 1
2) YUL - YYZ - NRT - YYZ - YUL = 1
3) YYZ - YUL = 1
</t>
  </si>
  <si>
    <t xml:space="preserve">1) BLR - HYD = 1
2) HYD - BLR = 1
3) HYD - LON - NCL - LON - HYD = 1
</t>
  </si>
  <si>
    <t xml:space="preserve">1) NRT - SIN - BLR - SIN - NRT = 1
</t>
  </si>
  <si>
    <t xml:space="preserve">1) BLR - FRA - BLR = 1
</t>
  </si>
  <si>
    <t xml:space="preserve">1) BLR - MAA = 1
2) MAA - BLR = 1
</t>
  </si>
  <si>
    <t xml:space="preserve">1) BLR - PAT = 1
</t>
  </si>
  <si>
    <t xml:space="preserve">1) BOM - ZRH - DEL - LKO = 1
2) DEL - DXB - ZRH - DXB - BLR = 1
3) DEL - ZRH - BOM - BLR = 1
</t>
  </si>
  <si>
    <t xml:space="preserve">1) HYD - BLR = 1
</t>
  </si>
  <si>
    <t xml:space="preserve">1) BLR - BOM - EWR - BOM - BLR = 1
</t>
  </si>
  <si>
    <t xml:space="preserve">1) BLR - IXC - BLR = 1
</t>
  </si>
  <si>
    <t xml:space="preserve">1) Malaysia Visa = 1
</t>
  </si>
  <si>
    <t xml:space="preserve">1) BLR.Cy.Jn - Chennai.Central = 1
2) Chennai.Central - BLR.Cy.Jn = 1
</t>
  </si>
  <si>
    <t xml:space="preserve">1) BLR.Cy.Jn - Chennai.Central = 1
2) BOM - BLR = 1
</t>
  </si>
  <si>
    <t xml:space="preserve">1) BLR - DEL - BLR = 2
</t>
  </si>
  <si>
    <t xml:space="preserve">1) IAH - DXB - BLR = 1
</t>
  </si>
  <si>
    <t xml:space="preserve">1) DEL - BOM = 1
</t>
  </si>
  <si>
    <t xml:space="preserve">1) BLR - DEL = 1
2) DEL - BLR = 1
3) DXB - FRA = 1
4) FRA - BOM - DEL - FRA = 1
5) ZRH - DXB - HYD - DEL - DXB = 1
6) ZRH - TXL - MUC - TXL - ZRH = 1
</t>
  </si>
  <si>
    <t xml:space="preserve">1) BOM - CDG - YUL - JFK - CDG = 1
2) CDG - BLR = 1
3) MON - NYC - PAR - BLR = 1
</t>
  </si>
  <si>
    <t xml:space="preserve">1) BLR - DEL = 3
</t>
  </si>
  <si>
    <t xml:space="preserve">1) BLR - AMD - BLR = 1
2) BLR - DEL - BLR = 1
3) BOM - BLR = 1
</t>
  </si>
  <si>
    <t xml:space="preserve">1) BLR - BOM = 1
2) BOM - IXE = 1
</t>
  </si>
  <si>
    <t xml:space="preserve">1) BLR - AMD - BLR = 1
2) BLR - DEL = 1
</t>
  </si>
  <si>
    <t xml:space="preserve">1) BLR - MAA - SIN - MAA - BLR = 1
</t>
  </si>
  <si>
    <t xml:space="preserve">1) BLR - BKK - SYD - BKK - BLR = 1
</t>
  </si>
  <si>
    <t xml:space="preserve">1) SG - Singapore Airlines = 1
2) CX -  CATHAY PACIFIC AIRWAYS = 1
</t>
  </si>
  <si>
    <t xml:space="preserve">1) AI - Air India = 1
2) 6E - Indigo = 3
3) SG - Singapore Airlines = 1
4) 9W - Jet Airways = 5
</t>
  </si>
  <si>
    <t xml:space="preserve">1) SG - Singapore Airlines = 1
2) 9W - Jet Airways = 1
3) G8 - Go Air = 2
</t>
  </si>
  <si>
    <t xml:space="preserve">1) 6E - Indigo = 1
2) 9W - Jet Airways = 17
3) Visa = 1
</t>
  </si>
  <si>
    <t xml:space="preserve">1) EY = 1
2) AI - Air India = 1
3) 6E - Indigo = 1
4) 9W - Jet Airways = 6
</t>
  </si>
  <si>
    <t xml:space="preserve">1) AI - Air India = 1
2) 6E - Indigo = 5
3) 9W - Jet Airways = 3
4) SQ - Singapore Airlines = 3
5) Visa = 1
</t>
  </si>
  <si>
    <t xml:space="preserve">1) AI - Air India = 3
2) 6E - Indigo = 3
</t>
  </si>
  <si>
    <t xml:space="preserve">1) AI - Air India = 1
2) 6E - Indigo = 3
3) G8 - Go Air = 1
</t>
  </si>
  <si>
    <t xml:space="preserve">1) AI - Air India = 2
2) 6E - Indigo = 6
3) 9W - Jet Airways = 17
4) SQ - Singapore Airlines = 1
5) G8 - Go Air = 1
6) Visa = 1
</t>
  </si>
  <si>
    <t xml:space="preserve">1) AI - Air India = 3
2) 6E - Indigo = 3
3) 9W - Jet Airways = 5
4) SQ - Singapore Airlines = 1
5) TR - Turkish Airlines = 1
6) Visa = 1
</t>
  </si>
  <si>
    <t xml:space="preserve">1) AI - Air India = 1
2) 6E - Indigo = 5
3) SG - Singapore Airlines = 1
4) 9W - Jet Airways = 1
5) BA - British Airways = 1
</t>
  </si>
  <si>
    <t xml:space="preserve">1) AI - Air India = 3
2) 6E - Indigo = 5
3) SG - Singapore Airlines = 1
4) 9W - Jet Airways = 8
5) CX -  CATHAY PACIFIC AIRWAYS = 1
6) MH - Malaysia Airlines = 1
7) Visa = 1
</t>
  </si>
  <si>
    <t xml:space="preserve">1) AI - Air India = 6
2) 6E - Indigo = 6
3) SG - Singapore Airlines = 1
4) 9W - Jet Airways = 2
</t>
  </si>
  <si>
    <t xml:space="preserve">1) AI - Air India = 3
2) 6E - Indigo = 3
3) SG - Singapore Airlines = 1
4) 9W - Jet Airways = 2
</t>
  </si>
  <si>
    <t xml:space="preserve">1) 6E - Indigo = 17
2) 9W - Jet Airways = 5
</t>
  </si>
  <si>
    <t xml:space="preserve">1) AI - Air India = 2
2) 6E - Indigo = 3
3) 9W - Jet Airways = 2
4) EK -  EMIRATES AIR = 1
</t>
  </si>
  <si>
    <t xml:space="preserve">1) AI - Air India = 1
2) 9W - Jet Airways = 1
</t>
  </si>
  <si>
    <t xml:space="preserve">1) AI - Air India = 1
2) 9W - Jet Airways = 3
3) G8 - Go Air = 1
</t>
  </si>
  <si>
    <t xml:space="preserve">1) AI - Air India = 1
2) 6E - Indigo = 2
3) Visa = 1
</t>
  </si>
  <si>
    <t xml:space="preserve">1) 9W - Jet Airways = 2
2) MH - Malaysia Airlines = 1
</t>
  </si>
  <si>
    <t xml:space="preserve">1) AI - Air India = 1
2) 6E - Indigo = 3
3) 9W - Jet Airways = 1
4) G8 - Go Air = 2
</t>
  </si>
  <si>
    <t xml:space="preserve">1) AI - Air India = 1
2) 6E - Indigo = 6
3) 9W - Jet Airways = 1
4) CX -  CATHAY PACIFIC AIRWAYS = 1
</t>
  </si>
  <si>
    <t xml:space="preserve">1) 6E - Indigo = 1
2) Train = 2
</t>
  </si>
  <si>
    <t xml:space="preserve">1) 6E - Indigo = 1
2) SG - Singapore Airlines = 1
3) 9W - Jet Airways = 23
4) CX -  CATHAY PACIFIC AIRWAYS = 1
5) Visa = 1
</t>
  </si>
  <si>
    <t xml:space="preserve">1) AI - Air India = 3
2) SG - Singapore Airlines = 1
</t>
  </si>
  <si>
    <t xml:space="preserve">1) AI - Air India = 2
2) 6E - Indigo = 1
3) 9W - Jet Airways = 11
</t>
  </si>
  <si>
    <t xml:space="preserve">1) AI - Air India = 3
2) 6E - Indigo = 5
3) SG - Singapore Airlines = 1
4) 9W - Jet Airways = 8
5) Train = 1
</t>
  </si>
  <si>
    <t xml:space="preserve">1) 6E - Indigo = 5
2) Visa = 2
</t>
  </si>
  <si>
    <t xml:space="preserve">1) AI - Air India = 3
2) 9W - Jet Airways = 4
3) EK -  EMIRATES AIR = 1
</t>
  </si>
  <si>
    <t xml:space="preserve">1) 6E - Indigo = 5
2) SG - Singapore Airlines = 2
3) SK - Scandinavian Airlines = 1
4) EK -  EMIRATES AIR = 1
5) BA - British Airways = 1
</t>
  </si>
  <si>
    <t xml:space="preserve">1) DE = 1
2) AI - Air India = 3
3) 6E - Indigo = 28
4) 9W - Jet Airways = 1
5) SK - Scandinavian Airlines = 1
6) BA - British Airways = 2
7) LX - Swissair = 1
</t>
  </si>
  <si>
    <t xml:space="preserve">1) 6E - Indigo = 2
2) SG - Singapore Airlines = 1
</t>
  </si>
  <si>
    <t xml:space="preserve">1) SG - Singapore Airlines = 1
2) G8 - Go Air = 1
</t>
  </si>
  <si>
    <t xml:space="preserve">1) AI - Air India = 1
2) 6E - Indigo = 1
3) 9W - Jet Airways = 2
</t>
  </si>
  <si>
    <t xml:space="preserve">1) 6E - Indigo = 1
2) Visa = 1
</t>
  </si>
  <si>
    <t xml:space="preserve">1) 6E - Indigo = 1
2) SG - Singapore Airlines = 1
3) 9W - Jet Airways = 1
</t>
  </si>
  <si>
    <t xml:space="preserve">1) AI - Air India = 1
2) 6E - Indigo = 1
3) BA - British Airways = 1
</t>
  </si>
  <si>
    <t xml:space="preserve">1) AI - Air India = 1
2) EK -  EMIRATES AIR = 1
3) LX - Swissair = 1
</t>
  </si>
  <si>
    <t xml:space="preserve">1) 6E - Indigo = 1
2) Train = 1
</t>
  </si>
  <si>
    <t xml:space="preserve">1) EY = 1
2) 6E - Indigo = 2
3) EK -  EMIRATES AIR = 2
4) LH - Lufthansa = 1
</t>
  </si>
  <si>
    <t xml:space="preserve">1) 6E - Indigo = 1
2) G8 - Go Air = 1
</t>
  </si>
  <si>
    <t xml:space="preserve">1) BLR - BOM = 1
2) BLR - SIN - BLR = 1
3) BOM - BLR = 1
</t>
  </si>
  <si>
    <t xml:space="preserve">1) AMD - BOM - BLR = 1
2) BLR - BOM = 5
3) BLR - BOM - BLR = 1
4) BLR - DEL = 1
5) BLR - HKG - PVG - HKG - BLR = 1
6) BLR - SIN - BLR = 1
7) BOM - AMD = 1
8) BOM - BLR = 3
9) BOM - DEL = 1
10) DEL - BLR = 2
</t>
  </si>
  <si>
    <t xml:space="preserve">1) AMD - BLR = 1
2) BLR - BOM = 6
3) BOM - AMD = 1
4) BOM - BLR = 7
</t>
  </si>
  <si>
    <t xml:space="preserve">1) BLR - BOM = 1
2) BLR - DXB - BLR = 1
3) BOM - BLR = 1
</t>
  </si>
  <si>
    <t xml:space="preserve">1) BLR - BOM = 2
2) BLR - BOM - BLR = 1
3) BLR - DEL = 1
4) BOM - BLR = 4
5) CCU - BLR = 1
</t>
  </si>
  <si>
    <t xml:space="preserve">1) BLR - BOM = 2
2) BLR - DEL = 1
3) BOM - BLR = 1
4) DEL - BLR = 1
</t>
  </si>
  <si>
    <t xml:space="preserve">1) BLR - BOM = 1
2) BLR - DEL = 1
3) DEL - BLR = 1
</t>
  </si>
  <si>
    <t xml:space="preserve">1) BLR - BOM - BLR = 2
2) BLR - HYD = 1
</t>
  </si>
  <si>
    <t xml:space="preserve">1) BLR - BOM = 4
2) BOM - BLR = 4
3) GOI - BLR = 1
</t>
  </si>
  <si>
    <t xml:space="preserve">1) BLR - KUL - BLR = 1
2) BOM - BLR = 1
</t>
  </si>
  <si>
    <t xml:space="preserve">1) BLR - BOM = 3
2) BOM - BLR = 3
</t>
  </si>
  <si>
    <t xml:space="preserve">1) BLR - DEL - BLR = 1
2) BOM - BLR = 1
3) BOM - DEL = 1
4) DEL - BOM = 1
5) HYD - BOM = 1
</t>
  </si>
  <si>
    <t xml:space="preserve">1) BLR - BOM = 3
2) BLR - HYD = 1
3) BOM - BLR = 6
4) HYD - BLR = 1
</t>
  </si>
  <si>
    <t xml:space="preserve">1) BLR - BOM = 1
2) DEL - BLR = 1
</t>
  </si>
  <si>
    <t xml:space="preserve">1) BLR - DEL = 2
2) BOM - BLR = 1
3) BOM - DEL = 1
4) DEL - BOM = 2
5) DEL - HYD = 1
6) LON - DEL = 1
</t>
  </si>
  <si>
    <t xml:space="preserve">1) HYD - BOM = 1
</t>
  </si>
  <si>
    <t xml:space="preserve">1) BOM - DEL = 1
2) HYD - DEL = 1
</t>
  </si>
  <si>
    <t xml:space="preserve">1) BOM - GOI = 1
</t>
  </si>
  <si>
    <t xml:space="preserve">1) AMD - BLR = 1
2) BLR - AMD = 1
3) BLR - BOM = 1
</t>
  </si>
  <si>
    <t xml:space="preserve">1) BLR - HYD = 1
2) HYD - BLR = 1
</t>
  </si>
  <si>
    <t xml:space="preserve">1) TR - Turkish Airlines = 1
</t>
  </si>
  <si>
    <t xml:space="preserve">1) 6E - Indigo = 1
2) 9W - Jet Airways = 1
3) SQ - Singapore Airlines = 1
</t>
  </si>
  <si>
    <t xml:space="preserve">1) AI - Air India = 3
2) 6E - Indigo = 3
3) SG - Singapore Airlines = 1
4) 9W - Jet Airways = 8
5) CX -  CATHAY PACIFIC AIRWAYS = 1
6) SQ - Singapore Airlines = 1
</t>
  </si>
  <si>
    <t xml:space="preserve">1) AI - Air India = 4
2) 6E - Indigo = 4
3) SG - Singapore Airlines = 2
4) 9W - Jet Airways = 4
5) G8 - Go Air = 1
</t>
  </si>
  <si>
    <t xml:space="preserve">1) 9W - Jet Airways = 2
2) EK -  EMIRATES AIR = 1
</t>
  </si>
  <si>
    <t xml:space="preserve">1) AI - Air India = 2
2) 6E - Indigo = 4
3) 9W - Jet Airways = 3
</t>
  </si>
  <si>
    <t xml:space="preserve">1) AI - Air India = 1
2) 6E - Indigo = 2
3) 9W - Jet Airways = 2
</t>
  </si>
  <si>
    <t xml:space="preserve">1) 6E - Indigo = 1
2) SG - Singapore Airlines = 1
3) 9W - Jet Airways = 7
</t>
  </si>
  <si>
    <t xml:space="preserve">1) 6E - Indigo = 1
2) MH - Malaysia Airlines = 1
</t>
  </si>
  <si>
    <t xml:space="preserve">1) AI - Air India = 4
2) 6E - Indigo = 2
</t>
  </si>
  <si>
    <t xml:space="preserve">1) 6E - Indigo = 1
2) 9W - Jet Airways = 1
</t>
  </si>
  <si>
    <t xml:space="preserve">1) 6E - Indigo = 3
2) 9W - Jet Airways = 2
</t>
  </si>
  <si>
    <t xml:space="preserve">1) AI - Air India = 4
2) 6E - Indigo = 4
3) SG - Singapore Airlines = 1
4) 9W - Jet Airways = 2
</t>
  </si>
  <si>
    <t xml:space="preserve">1) AI - Air India = 2
2) 6E - Indigo = 6
</t>
  </si>
  <si>
    <t xml:space="preserve">1) 6E - Indigo = 1
2) SG - Singapore Airlines = 2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</si>
</sst>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;[Red]0"/>
    <numFmt numFmtId="166" formatCode="_(* #,##0_);_(* \(#,##0\);_(* \-??_);_(@_)"/>
    <numFmt numFmtId="167" formatCode="#,##0;[Red]#,##0"/>
    <numFmt numFmtId="168" formatCode="_(* #,##0_);_(* \(#,##0\);_(* &quot;-&quot;??_);_(@_)"/>
    <numFmt numFmtId="169" formatCode="_(* #,##0.0000000_);_(* \(#,##0.0000000\);_(* \-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mbria"/>
      <family val="1"/>
      <scheme val="major"/>
    </font>
    <font>
      <b/>
      <sz val="11"/>
      <color theme="1"/>
      <name val="Calibri"/>
      <family val="2"/>
      <scheme val="minor"/>
    </font>
    <font>
      <b/>
      <sz val="11"/>
      <name val="Cambria"/>
      <family val="1"/>
      <scheme val="major"/>
    </font>
    <font>
      <u/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6" fontId="2" fillId="0" borderId="0" applyFill="0" applyBorder="0" applyAlignment="0" applyProtection="0"/>
    <xf numFmtId="0" fontId="2" fillId="0" borderId="0"/>
    <xf numFmtId="0" fontId="2" fillId="0" borderId="0"/>
    <xf numFmtId="165" fontId="2" fillId="0" borderId="0" applyFill="0" applyBorder="0" applyAlignment="0" applyProtection="0"/>
    <xf numFmtId="9" fontId="1" fillId="0" borderId="0" applyFont="0" applyFill="0" applyBorder="0" applyAlignment="0" applyProtection="0"/>
  </cellStyleXfs>
  <cellXfs count="161">
    <xf numFmtId="0" fontId="0" fillId="0" borderId="0" xfId="0"/>
    <xf numFmtId="0" fontId="3" fillId="0" borderId="3" xfId="0" applyFont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" borderId="0" xfId="0" applyFill="1" applyAlignment="1">
      <alignment horizontal="left"/>
    </xf>
    <xf numFmtId="0" fontId="0" fillId="3" borderId="0" xfId="0" applyNumberFormat="1" applyFill="1"/>
    <xf numFmtId="0" fontId="0" fillId="4" borderId="0" xfId="0" applyFill="1" applyAlignment="1">
      <alignment horizontal="left"/>
    </xf>
    <xf numFmtId="0" fontId="0" fillId="4" borderId="0" xfId="0" applyNumberFormat="1" applyFill="1"/>
    <xf numFmtId="168" fontId="0" fillId="0" borderId="0" xfId="1" applyNumberFormat="1" applyFont="1"/>
    <xf numFmtId="0" fontId="0" fillId="0" borderId="0" xfId="0" applyAlignment="1">
      <alignment horizontal="center"/>
    </xf>
    <xf numFmtId="0" fontId="5" fillId="6" borderId="1" xfId="2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5" fillId="6" borderId="1" xfId="2" applyFont="1" applyFill="1" applyBorder="1" applyAlignment="1">
      <alignment horizontal="center" vertical="center" wrapText="1" shrinkToFit="1"/>
    </xf>
    <xf numFmtId="165" fontId="5" fillId="6" borderId="1" xfId="3" applyNumberFormat="1" applyFont="1" applyFill="1" applyBorder="1" applyAlignment="1">
      <alignment horizontal="center" vertical="center" wrapText="1"/>
    </xf>
    <xf numFmtId="166" fontId="5" fillId="6" borderId="1" xfId="3" applyNumberFormat="1" applyFont="1" applyFill="1" applyBorder="1" applyAlignment="1">
      <alignment horizontal="center" vertical="center" wrapText="1" shrinkToFit="1"/>
    </xf>
    <xf numFmtId="1" fontId="5" fillId="6" borderId="5" xfId="3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/>
    </xf>
    <xf numFmtId="0" fontId="3" fillId="0" borderId="1" xfId="2" applyFont="1" applyBorder="1" applyAlignment="1">
      <alignment horizontal="left" vertical="top"/>
    </xf>
    <xf numFmtId="0" fontId="6" fillId="0" borderId="1" xfId="2" applyFont="1" applyFill="1" applyBorder="1" applyAlignment="1">
      <alignment horizontal="left" vertical="center" wrapText="1" shrinkToFit="1"/>
    </xf>
    <xf numFmtId="0" fontId="3" fillId="0" borderId="1" xfId="2" applyFont="1" applyFill="1" applyBorder="1" applyAlignment="1">
      <alignment horizontal="left" vertical="center" wrapText="1"/>
    </xf>
    <xf numFmtId="0" fontId="5" fillId="0" borderId="1" xfId="2" applyFont="1" applyBorder="1" applyAlignment="1">
      <alignment horizontal="left" vertical="top"/>
    </xf>
    <xf numFmtId="2" fontId="3" fillId="0" borderId="1" xfId="2" applyNumberFormat="1" applyFont="1" applyBorder="1" applyAlignment="1">
      <alignment horizontal="left"/>
    </xf>
    <xf numFmtId="165" fontId="3" fillId="0" borderId="1" xfId="3" applyNumberFormat="1" applyFont="1" applyFill="1" applyBorder="1" applyAlignment="1">
      <alignment horizontal="left" vertical="center" wrapText="1"/>
    </xf>
    <xf numFmtId="166" fontId="3" fillId="0" borderId="1" xfId="3" applyNumberFormat="1" applyFont="1" applyFill="1" applyBorder="1" applyAlignment="1">
      <alignment horizontal="left" vertical="center" wrapText="1" shrinkToFit="1"/>
    </xf>
    <xf numFmtId="1" fontId="3" fillId="0" borderId="5" xfId="2" applyNumberFormat="1" applyFont="1" applyBorder="1" applyAlignment="1">
      <alignment horizontal="left"/>
    </xf>
    <xf numFmtId="0" fontId="3" fillId="0" borderId="1" xfId="0" applyFont="1" applyBorder="1" applyAlignment="1">
      <alignment horizontal="left" vertical="center" shrinkToFit="1"/>
    </xf>
    <xf numFmtId="0" fontId="3" fillId="0" borderId="1" xfId="2" applyFont="1" applyFill="1" applyBorder="1" applyAlignment="1">
      <alignment horizontal="left" vertical="center" wrapText="1" shrinkToFit="1"/>
    </xf>
    <xf numFmtId="166" fontId="3" fillId="0" borderId="0" xfId="0" applyNumberFormat="1" applyFont="1" applyFill="1" applyBorder="1" applyAlignment="1">
      <alignment horizontal="left"/>
    </xf>
    <xf numFmtId="0" fontId="6" fillId="0" borderId="1" xfId="2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 applyAlignment="1">
      <alignment horizontal="left" vertical="center" wrapText="1" shrinkToFit="1"/>
    </xf>
    <xf numFmtId="0" fontId="6" fillId="0" borderId="1" xfId="0" applyFont="1" applyFill="1" applyBorder="1" applyAlignment="1">
      <alignment horizontal="left" vertical="center" wrapText="1"/>
    </xf>
    <xf numFmtId="2" fontId="3" fillId="0" borderId="1" xfId="0" applyNumberFormat="1" applyFont="1" applyBorder="1" applyAlignment="1">
      <alignment horizontal="left"/>
    </xf>
    <xf numFmtId="2" fontId="3" fillId="0" borderId="1" xfId="1" applyNumberFormat="1" applyFont="1" applyFill="1" applyBorder="1" applyAlignment="1">
      <alignment horizontal="left" vertical="center" wrapText="1"/>
    </xf>
    <xf numFmtId="166" fontId="3" fillId="0" borderId="1" xfId="1" applyNumberFormat="1" applyFont="1" applyFill="1" applyBorder="1" applyAlignment="1">
      <alignment horizontal="left" vertical="center" wrapText="1" shrinkToFit="1"/>
    </xf>
    <xf numFmtId="1" fontId="3" fillId="0" borderId="5" xfId="0" applyNumberFormat="1" applyFont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 wrapText="1" shrinkToFit="1"/>
    </xf>
    <xf numFmtId="165" fontId="3" fillId="0" borderId="1" xfId="1" applyNumberFormat="1" applyFont="1" applyFill="1" applyBorder="1" applyAlignment="1">
      <alignment horizontal="left" vertical="center" wrapText="1"/>
    </xf>
    <xf numFmtId="2" fontId="5" fillId="0" borderId="1" xfId="0" applyNumberFormat="1" applyFont="1" applyBorder="1" applyAlignment="1">
      <alignment horizontal="left"/>
    </xf>
    <xf numFmtId="2" fontId="3" fillId="2" borderId="1" xfId="1" applyNumberFormat="1" applyFont="1" applyFill="1" applyBorder="1" applyAlignment="1">
      <alignment horizontal="left" vertical="center" wrapText="1"/>
    </xf>
    <xf numFmtId="1" fontId="5" fillId="0" borderId="5" xfId="0" applyNumberFormat="1" applyFont="1" applyBorder="1" applyAlignment="1">
      <alignment horizontal="left" vertical="center"/>
    </xf>
    <xf numFmtId="165" fontId="3" fillId="2" borderId="1" xfId="1" applyNumberFormat="1" applyFont="1" applyFill="1" applyBorder="1" applyAlignment="1">
      <alignment horizontal="left" vertical="center" wrapText="1"/>
    </xf>
    <xf numFmtId="167" fontId="3" fillId="0" borderId="1" xfId="1" applyNumberFormat="1" applyFont="1" applyFill="1" applyBorder="1" applyAlignment="1">
      <alignment horizontal="left" vertical="center" wrapText="1" shrinkToFit="1"/>
    </xf>
    <xf numFmtId="2" fontId="3" fillId="2" borderId="1" xfId="3" applyNumberFormat="1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top"/>
    </xf>
    <xf numFmtId="167" fontId="3" fillId="0" borderId="1" xfId="3" applyNumberFormat="1" applyFont="1" applyFill="1" applyBorder="1" applyAlignment="1">
      <alignment horizontal="left" vertical="center" wrapText="1" shrinkToFit="1"/>
    </xf>
    <xf numFmtId="0" fontId="3" fillId="0" borderId="1" xfId="2" applyFont="1" applyFill="1" applyBorder="1" applyAlignment="1">
      <alignment horizontal="left" vertical="center"/>
    </xf>
    <xf numFmtId="0" fontId="3" fillId="0" borderId="1" xfId="2" applyFont="1" applyBorder="1" applyAlignment="1">
      <alignment horizontal="left"/>
    </xf>
    <xf numFmtId="0" fontId="3" fillId="2" borderId="1" xfId="2" applyFont="1" applyFill="1" applyBorder="1" applyAlignment="1">
      <alignment horizontal="left" vertical="top"/>
    </xf>
    <xf numFmtId="0" fontId="5" fillId="2" borderId="1" xfId="2" applyFont="1" applyFill="1" applyBorder="1" applyAlignment="1">
      <alignment horizontal="left" vertical="top"/>
    </xf>
    <xf numFmtId="2" fontId="3" fillId="0" borderId="1" xfId="3" applyNumberFormat="1" applyFont="1" applyFill="1" applyBorder="1" applyAlignment="1">
      <alignment horizontal="left" vertical="center" wrapText="1" shrinkToFit="1"/>
    </xf>
    <xf numFmtId="0" fontId="3" fillId="0" borderId="1" xfId="4" applyFont="1" applyBorder="1" applyAlignment="1">
      <alignment horizontal="left" vertical="center" shrinkToFit="1"/>
    </xf>
    <xf numFmtId="168" fontId="3" fillId="0" borderId="1" xfId="5" applyNumberFormat="1" applyFont="1" applyBorder="1" applyAlignment="1">
      <alignment horizontal="left" vertical="center" shrinkToFit="1"/>
    </xf>
    <xf numFmtId="166" fontId="3" fillId="0" borderId="1" xfId="5" applyNumberFormat="1" applyFont="1" applyFill="1" applyBorder="1" applyAlignment="1" applyProtection="1">
      <alignment horizontal="left" vertical="center" shrinkToFit="1"/>
    </xf>
    <xf numFmtId="0" fontId="3" fillId="0" borderId="1" xfId="4" applyFont="1" applyBorder="1" applyAlignment="1">
      <alignment horizontal="left" vertical="center"/>
    </xf>
    <xf numFmtId="0" fontId="3" fillId="0" borderId="1" xfId="6" applyFont="1" applyFill="1" applyBorder="1" applyAlignment="1">
      <alignment horizontal="left" vertical="center" shrinkToFit="1"/>
    </xf>
    <xf numFmtId="168" fontId="3" fillId="0" borderId="1" xfId="3" applyNumberFormat="1" applyFont="1" applyFill="1" applyBorder="1" applyAlignment="1">
      <alignment horizontal="left" vertical="center" shrinkToFit="1"/>
    </xf>
    <xf numFmtId="166" fontId="3" fillId="0" borderId="1" xfId="3" applyNumberFormat="1" applyFont="1" applyFill="1" applyBorder="1" applyAlignment="1" applyProtection="1">
      <alignment horizontal="left" vertical="center" shrinkToFit="1"/>
    </xf>
    <xf numFmtId="0" fontId="3" fillId="0" borderId="1" xfId="6" applyFont="1" applyBorder="1" applyAlignment="1">
      <alignment horizontal="left" vertical="center" shrinkToFit="1"/>
    </xf>
    <xf numFmtId="0" fontId="3" fillId="0" borderId="1" xfId="6" applyFont="1" applyFill="1" applyBorder="1" applyAlignment="1">
      <alignment horizontal="left" vertical="center"/>
    </xf>
    <xf numFmtId="168" fontId="3" fillId="0" borderId="1" xfId="3" applyNumberFormat="1" applyFont="1" applyBorder="1" applyAlignment="1">
      <alignment horizontal="left" vertical="center" shrinkToFit="1"/>
    </xf>
    <xf numFmtId="0" fontId="3" fillId="0" borderId="1" xfId="0" applyFont="1" applyFill="1" applyBorder="1" applyAlignment="1">
      <alignment horizontal="left" vertical="center" shrinkToFit="1"/>
    </xf>
    <xf numFmtId="166" fontId="3" fillId="0" borderId="1" xfId="3" applyNumberFormat="1" applyFont="1" applyFill="1" applyBorder="1" applyAlignment="1">
      <alignment horizontal="left" vertical="center" shrinkToFit="1"/>
    </xf>
    <xf numFmtId="15" fontId="3" fillId="0" borderId="1" xfId="6" applyNumberFormat="1" applyFont="1" applyBorder="1" applyAlignment="1">
      <alignment horizontal="left" vertical="center" shrinkToFit="1"/>
    </xf>
    <xf numFmtId="0" fontId="3" fillId="0" borderId="1" xfId="7" applyFont="1" applyBorder="1" applyAlignment="1">
      <alignment horizontal="left" vertical="center" shrinkToFit="1"/>
    </xf>
    <xf numFmtId="168" fontId="3" fillId="0" borderId="1" xfId="8" applyNumberFormat="1" applyFont="1" applyBorder="1" applyAlignment="1">
      <alignment horizontal="left" vertical="center" shrinkToFit="1"/>
    </xf>
    <xf numFmtId="166" fontId="3" fillId="0" borderId="1" xfId="8" applyNumberFormat="1" applyFont="1" applyFill="1" applyBorder="1" applyAlignment="1" applyProtection="1">
      <alignment horizontal="left" vertical="center" shrinkToFit="1"/>
    </xf>
    <xf numFmtId="0" fontId="3" fillId="0" borderId="2" xfId="0" applyFont="1" applyBorder="1" applyAlignment="1">
      <alignment horizontal="left"/>
    </xf>
    <xf numFmtId="168" fontId="3" fillId="0" borderId="2" xfId="3" applyNumberFormat="1" applyFont="1" applyBorder="1" applyAlignment="1">
      <alignment horizontal="left" vertical="center" shrinkToFit="1"/>
    </xf>
    <xf numFmtId="0" fontId="3" fillId="0" borderId="8" xfId="0" applyFont="1" applyBorder="1" applyAlignment="1">
      <alignment horizontal="left"/>
    </xf>
    <xf numFmtId="168" fontId="5" fillId="6" borderId="1" xfId="1" applyNumberFormat="1" applyFont="1" applyFill="1" applyBorder="1" applyAlignment="1">
      <alignment horizontal="center" vertical="center" wrapText="1" shrinkToFit="1"/>
    </xf>
    <xf numFmtId="166" fontId="3" fillId="0" borderId="1" xfId="3" applyNumberFormat="1" applyFont="1" applyFill="1" applyBorder="1" applyAlignment="1">
      <alignment horizontal="center" vertical="center" wrapText="1" shrinkToFit="1"/>
    </xf>
    <xf numFmtId="0" fontId="3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NumberFormat="1" applyFill="1" applyAlignment="1">
      <alignment horizontal="center"/>
    </xf>
    <xf numFmtId="168" fontId="0" fillId="0" borderId="0" xfId="1" applyNumberFormat="1" applyFont="1" applyFill="1"/>
    <xf numFmtId="0" fontId="0" fillId="0" borderId="0" xfId="0" applyFill="1"/>
    <xf numFmtId="0" fontId="0" fillId="7" borderId="0" xfId="0" applyFill="1"/>
    <xf numFmtId="0" fontId="0" fillId="7" borderId="1" xfId="0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wrapText="1"/>
    </xf>
    <xf numFmtId="168" fontId="4" fillId="5" borderId="1" xfId="1" applyNumberFormat="1" applyFont="1" applyFill="1" applyBorder="1" applyAlignment="1">
      <alignment horizontal="center" wrapText="1"/>
    </xf>
    <xf numFmtId="0" fontId="7" fillId="0" borderId="0" xfId="0" applyFont="1"/>
    <xf numFmtId="168" fontId="7" fillId="0" borderId="0" xfId="1" applyNumberFormat="1" applyFont="1"/>
    <xf numFmtId="0" fontId="7" fillId="7" borderId="0" xfId="0" applyFont="1" applyFill="1"/>
    <xf numFmtId="0" fontId="8" fillId="0" borderId="0" xfId="0" applyFont="1" applyAlignment="1">
      <alignment horizontal="center"/>
    </xf>
    <xf numFmtId="168" fontId="8" fillId="0" borderId="0" xfId="1" applyNumberFormat="1" applyFont="1" applyAlignment="1">
      <alignment horizontal="center"/>
    </xf>
    <xf numFmtId="168" fontId="7" fillId="0" borderId="0" xfId="0" applyNumberFormat="1" applyFont="1"/>
    <xf numFmtId="168" fontId="3" fillId="0" borderId="1" xfId="1" applyNumberFormat="1" applyFont="1" applyBorder="1" applyAlignment="1">
      <alignment horizontal="center"/>
    </xf>
    <xf numFmtId="168" fontId="3" fillId="0" borderId="1" xfId="1" applyNumberFormat="1" applyFont="1" applyFill="1" applyBorder="1" applyAlignment="1">
      <alignment horizontal="center" vertical="center" wrapText="1" shrinkToFit="1"/>
    </xf>
    <xf numFmtId="168" fontId="5" fillId="0" borderId="1" xfId="1" applyNumberFormat="1" applyFont="1" applyFill="1" applyBorder="1" applyAlignment="1">
      <alignment horizontal="center" vertical="center" wrapText="1" shrinkToFit="1"/>
    </xf>
    <xf numFmtId="169" fontId="3" fillId="0" borderId="1" xfId="3" applyNumberFormat="1" applyFont="1" applyFill="1" applyBorder="1" applyAlignment="1">
      <alignment horizontal="left" vertical="center" wrapText="1" shrinkToFit="1"/>
    </xf>
    <xf numFmtId="168" fontId="0" fillId="0" borderId="0" xfId="1" applyNumberFormat="1" applyFont="1" applyAlignment="1">
      <alignment horizontal="center" vertical="center"/>
    </xf>
    <xf numFmtId="0" fontId="0" fillId="8" borderId="0" xfId="0" applyFill="1" applyAlignment="1">
      <alignment horizontal="left"/>
    </xf>
    <xf numFmtId="0" fontId="0" fillId="8" borderId="0" xfId="0" applyNumberFormat="1" applyFill="1"/>
    <xf numFmtId="0" fontId="0" fillId="8" borderId="0" xfId="0" applyFill="1"/>
    <xf numFmtId="0" fontId="3" fillId="0" borderId="2" xfId="0" applyFont="1" applyBorder="1" applyAlignment="1">
      <alignment horizontal="left" vertical="center" shrinkToFit="1"/>
    </xf>
    <xf numFmtId="0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Alignment="1">
      <alignment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9" applyFont="1" applyFill="1" applyBorder="1" applyAlignment="1">
      <alignment horizontal="center" vertical="center"/>
    </xf>
    <xf numFmtId="9" fontId="0" fillId="3" borderId="1" xfId="9" applyFont="1" applyFill="1" applyBorder="1" applyAlignment="1">
      <alignment horizontal="left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9" borderId="0" xfId="0" applyFill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9" fontId="0" fillId="9" borderId="1" xfId="9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9" fontId="0" fillId="9" borderId="1" xfId="9" applyFont="1" applyFill="1" applyBorder="1" applyAlignment="1">
      <alignment horizontal="center" vertical="center" wrapText="1"/>
    </xf>
    <xf numFmtId="0" fontId="0" fillId="9" borderId="0" xfId="0" applyFill="1" applyAlignment="1">
      <alignment horizontal="left" vertical="center"/>
    </xf>
    <xf numFmtId="9" fontId="0" fillId="9" borderId="1" xfId="9" applyFont="1" applyFill="1" applyBorder="1" applyAlignment="1">
      <alignment horizontal="left" vertical="center" wrapText="1"/>
    </xf>
    <xf numFmtId="0" fontId="4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 wrapText="1"/>
    </xf>
    <xf numFmtId="0" fontId="4" fillId="9" borderId="0" xfId="0" applyFont="1" applyFill="1" applyAlignment="1">
      <alignment horizontal="left" vertical="center" wrapTex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left" vertical="center" wrapText="1"/>
    </xf>
    <xf numFmtId="0" fontId="0" fillId="10" borderId="0" xfId="0" applyFill="1" applyAlignment="1">
      <alignment horizontal="left" vertical="center"/>
    </xf>
    <xf numFmtId="0" fontId="4" fillId="10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9" fontId="0" fillId="10" borderId="1" xfId="9" applyFont="1" applyFill="1" applyBorder="1" applyAlignment="1">
      <alignment horizontal="center" vertical="center"/>
    </xf>
    <xf numFmtId="9" fontId="0" fillId="10" borderId="1" xfId="9" applyFont="1" applyFill="1" applyBorder="1" applyAlignment="1">
      <alignment horizontal="left" vertical="center" wrapText="1"/>
    </xf>
    <xf numFmtId="9" fontId="0" fillId="10" borderId="1" xfId="9" applyFont="1" applyFill="1" applyBorder="1" applyAlignment="1">
      <alignment horizontal="center" vertical="center" wrapText="1"/>
    </xf>
    <xf numFmtId="0" fontId="4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left" vertical="center" wrapText="1"/>
    </xf>
    <xf numFmtId="0" fontId="4" fillId="10" borderId="0" xfId="0" applyFont="1" applyFill="1" applyAlignment="1">
      <alignment horizontal="left" vertical="center"/>
    </xf>
    <xf numFmtId="0" fontId="0" fillId="9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10" borderId="0" xfId="0" applyFill="1" applyAlignment="1">
      <alignment horizontal="left"/>
    </xf>
    <xf numFmtId="0" fontId="0" fillId="10" borderId="0" xfId="0" applyNumberForma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168" fontId="4" fillId="5" borderId="1" xfId="1" applyNumberFormat="1" applyFont="1" applyFill="1" applyBorder="1" applyAlignment="1">
      <alignment horizontal="center" vertical="center" wrapText="1"/>
    </xf>
    <xf numFmtId="168" fontId="4" fillId="5" borderId="1" xfId="1" applyNumberFormat="1" applyFont="1" applyFill="1" applyBorder="1" applyAlignment="1">
      <alignment horizontal="center" wrapText="1"/>
    </xf>
    <xf numFmtId="168" fontId="4" fillId="5" borderId="1" xfId="1" applyNumberFormat="1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/>
    </xf>
    <xf numFmtId="0" fontId="8" fillId="9" borderId="6" xfId="0" applyFont="1" applyFill="1" applyBorder="1" applyAlignment="1">
      <alignment horizontal="center" vertical="center"/>
    </xf>
    <xf numFmtId="0" fontId="8" fillId="9" borderId="7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</cellXfs>
  <cellStyles count="10">
    <cellStyle name="Comma" xfId="1" builtinId="3"/>
    <cellStyle name="Comma 2" xfId="3"/>
    <cellStyle name="Comma 4" xfId="5"/>
    <cellStyle name="Comma 5" xfId="8"/>
    <cellStyle name="Normal" xfId="0" builtinId="0"/>
    <cellStyle name="Normal 2" xfId="2"/>
    <cellStyle name="Normal 2 2" xfId="4"/>
    <cellStyle name="Normal 3" xfId="6"/>
    <cellStyle name="Normal 6" xfId="7"/>
    <cellStyle name="Percent" xfId="9" builtinId="5"/>
  </cellStyles>
  <dxfs count="74"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 patternType="solid">
          <bgColor theme="5" tint="0.599993896298104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mya Anand" refreshedDate="41730.731270949072" createdVersion="4" refreshedVersion="4" minRefreshableVersion="3" recordCount="808">
  <cacheSource type="worksheet">
    <worksheetSource ref="A2:V810" sheet="Travel"/>
  </cacheSource>
  <cacheFields count="22">
    <cacheField name="Invoice Date" numFmtId="0">
      <sharedItems/>
    </cacheField>
    <cacheField name="Invoice No." numFmtId="0">
      <sharedItems/>
    </cacheField>
    <cacheField name="Credit Note No." numFmtId="0">
      <sharedItems containsBlank="1"/>
    </cacheField>
    <cacheField name="Client  Code" numFmtId="0">
      <sharedItems containsBlank="1"/>
    </cacheField>
    <cacheField name="Passenger" numFmtId="0">
      <sharedItems/>
    </cacheField>
    <cacheField name="Sectors From - To" numFmtId="0">
      <sharedItems count="117">
        <s v="BLR.Cy.Jn - Chennai.Central"/>
        <s v="Chennai.Central - BLR.Cy.Jn"/>
        <s v="BLR - BOM - JDH"/>
        <s v="BLR - CCU"/>
        <s v="Canada Visa Charges "/>
        <s v="CCU - BLR"/>
        <s v="BLR - BOM"/>
        <s v="BOM - BLR"/>
        <s v="BLR - BOM - BLR"/>
        <s v="BLR - HYD - BLR"/>
        <s v="BOM - HYD"/>
        <s v="GVA - CPH"/>
        <s v="HYD - BOM"/>
        <s v="HYD - DXB - LHR - DXB - BLR"/>
        <s v="HYD - LON - ZRH - CPH - LON - HYD"/>
        <s v="BLR - AMD - BLR"/>
        <s v="BLR - DEL - BLR"/>
        <s v="BLR - HKG - PVG - HKG - BLR"/>
        <s v="BLR - HYD"/>
        <s v="HYD - BLR"/>
        <s v="BLR - BOM - DEL"/>
        <s v="BLR - DEL"/>
        <s v="BOM - DEL"/>
        <s v="China Visa"/>
        <s v="DEL - BLR"/>
        <s v="DEL - BOM"/>
        <s v="HYD - DEL"/>
        <s v="China Visa Charges"/>
        <s v="AMD - BLR"/>
        <s v="BLR - LKO"/>
        <s v="COK - AMD"/>
        <s v="LKO - DEL"/>
        <s v="Switzerland Visa"/>
        <s v="BLR - KUL - BLR"/>
        <s v="BLR - SIN - BLR"/>
        <s v="BOM - BLR - BOM"/>
        <s v="BLR - BOM - DXB - IXE - BLR"/>
        <s v="Towards Dubai Visa Charges "/>
        <s v="BLR - BOM - HKG - BOM - BLR"/>
        <s v="BLR - AMD"/>
        <s v="BLR - LKO - BLR"/>
        <s v="BLR - MAA"/>
        <s v="MAA - BLR"/>
        <s v="BLR - GOI"/>
        <s v="BOM - GOI"/>
        <s v="BOM - HKG - BLR"/>
        <s v="Business"/>
        <s v="CCU - BOM - BLR"/>
        <s v="GOI - BLR"/>
        <s v="BLR - SIN"/>
        <s v="BOM - AMD"/>
        <s v="Malaysia Visa Charges "/>
        <s v="SIN - BLR"/>
        <s v="HYD - BLR - HYD"/>
        <s v="BLR - PNQ"/>
        <s v="PNQ - BLR"/>
        <s v="DEL - CJB"/>
        <s v="MAA - BOM"/>
        <s v="BLR - BOM - NYC - BOM - BLR"/>
        <s v="NYC - BOM - BLR"/>
        <s v="YUL - YYZ - NRT - YYZ - YUL"/>
        <s v="BLR - LHR - EWR - LHR - BLR"/>
        <s v="CCU - BOM"/>
        <s v="AMD - BOM - BLR"/>
        <s v="DEL - PNQ"/>
        <s v="BLR - DXB"/>
        <s v="DXB - BLR"/>
        <s v="Switzerland Visa Charges"/>
        <s v="BLR - SIN - SYD - SIN - BLR"/>
        <s v="BLR - IXC"/>
        <s v="IXC - BLR"/>
        <s v="DEL - BLR - DEL"/>
        <s v="FRA - BLR"/>
        <s v="YUL - YVR - ICN - PVG - YYZ"/>
        <s v="YYZ - YUL"/>
        <s v="HYD - LON - NCL - LON - HYD"/>
        <s v="NRT - SIN - BLR - SIN - NRT"/>
        <s v="BLR - FRA - BLR"/>
        <s v="DXB - FRA"/>
        <s v="ZRH - DXB - HYD - DEL - DXB"/>
        <s v="ZRH - TXL - MUC - TXL - ZRH"/>
        <s v="FRA - BOM - DEL - FRA"/>
        <s v="BLR - IXC - BLR"/>
        <s v="EWR - LHR - BLR"/>
        <s v="ZRH - TXL - MUC"/>
        <s v="BLR - BKK - SYD - BKK - BLR"/>
        <s v="BLR - PAT"/>
        <s v="BOM - IXE"/>
        <s v="DEL - ZRH - BOM - BLR"/>
        <s v="DEL - DXB - ZRH - DXB - BLR"/>
        <s v="BOM - ZRH - DEL - LKO"/>
        <s v="BLR - DXB - DFW - EWR - JFK - DXB - BLR"/>
        <s v="BOM - CDG - YUL - JFK - CDG"/>
        <s v="CDG - BLR"/>
        <s v="MON - NYC - PAR - BLR"/>
        <s v="BLR - BOM - EWR - BOM - BLR"/>
        <s v="Malaysia Visa"/>
        <s v="BLR - MAA - SIN - MAA - BLR"/>
        <s v="BLR - DXB - BLR"/>
        <s v="DEL - HYD"/>
        <s v="IXC - BOM"/>
        <s v="IXC - HYD"/>
        <s v="MAA - HKG - PEK - PVG - HKG - BLR"/>
        <s v="BRU - LHR"/>
        <s v="BRU - LHR - BRU"/>
        <s v="BSL - BRU"/>
        <s v="DEL - BOM - DEL"/>
        <s v="DEL - LHR - DEL"/>
        <s v="DEL - LON - BSL - BRU - LON"/>
        <s v="LHR - ZRH - CPH - LHR"/>
        <s v="LON - DEL"/>
        <s v="ZRH - MUC - GVA"/>
        <s v="AMD - BOM"/>
        <s v="BLR - LHR - ORD - LHR - BLR"/>
        <s v="IXC - DEL"/>
        <s v="IAH - DXB - BLR"/>
        <s v="ICN - PVG"/>
      </sharedItems>
    </cacheField>
    <cacheField name="A L" numFmtId="0">
      <sharedItems/>
    </cacheField>
    <cacheField name="Ticket No" numFmtId="0">
      <sharedItems/>
    </cacheField>
    <cacheField name="Travel Date" numFmtId="0">
      <sharedItems containsDate="1" containsMixedTypes="1" minDate="2014-01-22T00:00:00" maxDate="2014-01-23T00:00:00"/>
    </cacheField>
    <cacheField name="Ticket Fare" numFmtId="0">
      <sharedItems containsSemiMixedTypes="0" containsString="0" containsNumber="1" containsInteger="1" minValue="0" maxValue="191425"/>
    </cacheField>
    <cacheField name="Airport &amp; Servic Tax" numFmtId="0">
      <sharedItems containsSemiMixedTypes="0" containsString="0" containsNumber="1" containsInteger="1" minValue="0" maxValue="67708"/>
    </cacheField>
    <cacheField name="Gross Total Payable" numFmtId="165">
      <sharedItems containsSemiMixedTypes="0" containsString="0" containsNumber="1" containsInteger="1" minValue="0" maxValue="222207"/>
    </cacheField>
    <cacheField name="Median" numFmtId="165">
      <sharedItems containsSemiMixedTypes="0" containsString="0" containsNumber="1" minValue="0" maxValue="222207"/>
    </cacheField>
    <cacheField name="GROSS TOTAL" numFmtId="0">
      <sharedItems containsSemiMixedTypes="0" containsString="0" containsNumber="1" containsInteger="1" minValue="0" maxValue="222207"/>
    </cacheField>
    <cacheField name="C N AMNT" numFmtId="0">
      <sharedItems containsBlank="1" containsMixedTypes="1" containsNumber="1" containsInteger="1" minValue="0" maxValue="59500"/>
    </cacheField>
    <cacheField name="Below Range(C)" numFmtId="166">
      <sharedItems containsSemiMixedTypes="0" containsString="0" containsNumber="1" containsInteger="1" minValue="0" maxValue="1"/>
    </cacheField>
    <cacheField name="In _x000a_Range(C)" numFmtId="166">
      <sharedItems containsSemiMixedTypes="0" containsString="0" containsNumber="1" containsInteger="1" minValue="0" maxValue="1"/>
    </cacheField>
    <cacheField name="Above Range(C)" numFmtId="166">
      <sharedItems containsSemiMixedTypes="0" containsString="0" containsNumber="1" containsInteger="1" minValue="0" maxValue="1"/>
    </cacheField>
    <cacheField name="Below Range(A)" numFmtId="166">
      <sharedItems containsSemiMixedTypes="0" containsString="0" containsNumber="1" containsInteger="1" minValue="0" maxValue="72000"/>
    </cacheField>
    <cacheField name="In _x000a_Range(A)" numFmtId="166">
      <sharedItems containsSemiMixedTypes="0" containsString="0" containsNumber="1" containsInteger="1" minValue="0" maxValue="222207"/>
    </cacheField>
    <cacheField name="Above Range(A)" numFmtId="166">
      <sharedItems containsSemiMixedTypes="0" containsString="0" containsNumber="1" containsInteger="1" minValue="0" maxValue="134680"/>
    </cacheField>
    <cacheField name="Loss" numFmtId="168">
      <sharedItems containsSemiMixedTypes="0" containsString="0" containsNumber="1" containsInteger="1" minValue="0" maxValue="10868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amya Anand" refreshedDate="41731.69588032407" createdVersion="4" refreshedVersion="4" minRefreshableVersion="3" recordCount="810">
  <cacheSource type="worksheet">
    <worksheetSource ref="E2:R1048576" sheet="Travel"/>
  </cacheSource>
  <cacheFields count="14">
    <cacheField name="Passenger" numFmtId="0">
      <sharedItems containsBlank="1" count="256">
        <s v="A Sheikh Imtiyaz Mr."/>
        <s v="Abhay  Goenka Mr."/>
        <s v="Abir  Banerjee Mr."/>
        <s v="Aditi  Upadhyay Mr."/>
        <s v="Advani Pradip Mr."/>
        <s v="Ahmad Tajdar Mr ."/>
        <s v="Amit Srivastava Mr."/>
        <s v="Amitkumar  Aggarwal Mr."/>
        <s v="Anand  Kiran Mr."/>
        <s v="Anandkirannijegal Mr."/>
        <s v="Aparna  Jha Ms."/>
        <s v="Arthideiva  Sigamani Ms."/>
        <s v="Arumugam Harsha Mr."/>
        <s v="Atish  Mukherjee Mr."/>
        <s v="Bandyopadhyay   Anantadeb  Mr."/>
        <s v="Banerjee   Abir  Mr."/>
        <s v="Barai Samapti Ms."/>
        <s v="Baweja   Gaurav  Mr."/>
        <s v="Bellani Vishal Mr ."/>
        <s v="Bhalla Ratti Ms ."/>
        <s v="Bhargav   Varun  Mr."/>
        <s v="Bhaskar  Rajakumar Mr."/>
        <s v="Bhatt N   Sudhir  Mr."/>
        <s v="Bina Patil Mr."/>
        <s v="Byrisetty Sunita Ms."/>
        <s v="Chaudhari Vivek Mr ."/>
        <s v="Chunangad   Gopal  Mr."/>
        <s v="Daga Kapil Mr ."/>
        <s v="Daliparthi   Krishna  Mr."/>
        <s v="Das   Ramakant  Mr."/>
        <s v="Dattani Shyam Mr."/>
        <s v="Devadas Raviraj Mr."/>
        <s v="Dharmalingam  Subramaniam Mr."/>
        <s v="Dixit   Nitesh  Mr."/>
        <s v="Duranceau  Sofieanh Ms."/>
        <s v="Gantotti   Sandeep  Mr ."/>
        <s v="Garg Nikita Ms ."/>
        <s v="Gaurav Kapoor Mr."/>
        <s v="Ghai   Viveksheel  Mr."/>
        <s v="Ghai Vivek Mr."/>
        <s v="Gidwani Shakun Ms ."/>
        <s v="Goenka   Sarat  Mr ."/>
        <s v="Gopal  Chunangad Mr."/>
        <s v="Gupta Manish Mr ."/>
        <s v="Hirehal  Shafiullatahira Mr."/>
        <s v="Hursikesh  Patnaik Mr."/>
        <s v="Indraneel  Biswas Mr."/>
        <s v="Jain Saurabh Dr ."/>
        <s v="Jeyaraj  Sundaram Mr."/>
        <s v="John   Kiran  Mr."/>
        <s v="Karthik  Enumulla Mr."/>
        <s v="Katare  Snehalshivaling Mr."/>
        <s v="Keshri   Vaibhav  Mr."/>
        <s v="Kiran Anand Mr ."/>
        <s v="Kiran  John Mr."/>
        <s v="Kirti  Maheshwari Ms."/>
        <s v="Konduru  Muralidharraju Mr."/>
        <s v="Kothari   Varun  Mr."/>
        <s v="Krishna  Daliparthi Mr."/>
        <s v="Kumar   Nikhil  Mr."/>
        <s v="Kumar   Punita  Ms ."/>
        <s v="Kumar  N Kiran  Mr ."/>
        <s v="Kushal Pal Singh Mr."/>
        <s v="Kuthiala   Manni  Ms."/>
        <s v="Lal   Sameer  Mr."/>
        <s v="Lijo  Thomas Mr."/>
        <s v="Lin  Weihan Mr."/>
        <s v="Lingala   Vineet  Mr."/>
        <s v="Loka   Aparna  Ms."/>
        <s v="Maheep  Sharan Mr."/>
        <s v="Masahiro  Onuma Mr."/>
        <s v="Mitra   Sohini  Ms."/>
        <s v="Mittal   Punita  Ms."/>
        <s v="Monjoy  Majumdar Mr."/>
        <s v="Mukherjee Atish Mr ."/>
        <s v="Munjal   Asheena  Ms ."/>
        <s v="N  Kirankumar Mr."/>
        <s v="Narasimha   Deepika  Ms."/>
        <s v="Nayak   Bharath  Mr."/>
        <s v="Nayakcannanore  Aravind Mr."/>
        <s v="Nikita  Garg Ms."/>
        <s v="Pardeshi   Yogesh  Mr."/>
        <s v="Parikh   Sanjay  Dr ."/>
        <s v="Patil   Bhaskar R  Mr."/>
        <s v="Perasher   Rohit  Mr."/>
        <s v="Prabhakar   Karthik  Mr."/>
        <s v="Prabhu   Suhas  Mr."/>
        <s v="Prafula Chandra  Anand  Mr."/>
        <s v="Prasanth  John Mr."/>
        <s v="Punita  Mittal Ms."/>
        <s v="Rahul  Sharma Mr."/>
        <s v="Rajakumar   Bhaskar  Dr ."/>
        <s v="Rajesh  Nair Mr."/>
        <s v="Raman   Vikramadith  Mr ."/>
        <s v="Rao   Chithra  Ms ."/>
        <s v="Raviraj  Devadas Mr."/>
        <s v="Rikki  Goenka Ms."/>
        <s v="Rohan  Seth Mr."/>
        <s v="Roy   Sudeshna  Ms."/>
        <s v="Roy Choudhury   Amrita  Ms."/>
        <s v="Rupesh  Bajpai Mr."/>
        <s v="S  Rohan Mr."/>
        <s v="S D Mahaprabhu Mr."/>
        <s v="Sandeep  Gantotti Mr."/>
        <s v="Sanjay  Parikh Dr."/>
        <s v="Sanjay  Virmani Mr."/>
        <s v="Saurabh  Jain Mr."/>
        <s v="Seth   Rohan  Mr ."/>
        <s v="Sethi   Anurag  Mr."/>
        <s v="Shaikh   Arfa  Ms."/>
        <s v="Shailendra  Dhondiyal Mr."/>
        <s v="Sharanjit  Singh Mr."/>
        <s v="Sharma  Rahul Mr."/>
        <s v="Shetty   Swetha S  Ms."/>
        <s v="Singh   Sharanjit  Mr."/>
        <s v="Singh Damanbir Mr ."/>
        <s v="Singh Hardeep Mr ."/>
        <s v="Sivaraman   Nirupama  Ms."/>
        <s v="Somaiya   Jigna  Ms."/>
        <s v="Sridhar V Mr."/>
        <s v="Srihari S Mr ."/>
        <s v="Sudeshna  Roy Ms."/>
        <s v="Sudhir  Bhatt Mr."/>
        <s v="Suhas  Prabhu Mr."/>
        <s v="Surabhi  Koushik Ms."/>
        <s v="Sushant  Kumar Mr."/>
        <s v="Taharali  Wajiha Mrs."/>
        <s v="Tamhankar   Chetan  Mr."/>
        <s v="Tanvi  Srivastava Ms."/>
        <s v="Thyagarajan   Venkatraman  Mr."/>
        <s v="Upadhyay   Aditi  Ms."/>
        <s v="V P   Karthik  Mr."/>
        <s v="Varun  Bhargav Mr."/>
        <s v="Venkatraman  Thyagarajan Mr."/>
        <s v="Venuka  Khandelwal Ms."/>
        <s v="Virmani   Sanjay  Mr."/>
        <s v="Wei  Hanlin Mr."/>
        <s v="Yogesh  Pardeshi Mr."/>
        <m/>
        <s v="Tajdar  Ahmad Mr." u="1"/>
        <s v="Singh  Hardeep Mr." u="1"/>
        <s v="Arumugam   Harsha  Mr." u="1"/>
        <s v="Ratti  Bhalla Mr." u="1"/>
        <s v="Srivastava   Amit  Mr." u="1"/>
        <s v="Parikh   Sanjay  Mr." u="1"/>
        <s v="Garg   Nikita  Ms." u="1"/>
        <s v="Amit  Srivastava Mr." u="1"/>
        <s v="Raman  Vikramadith Mr." u="1"/>
        <s v="Kapoor  Gaurav Mr." u="1"/>
        <s v="Daga   Kapil  Mr ." u="1"/>
        <s v="Hirehalshafiulla  Tahira Ms." u="1"/>
        <s v="S  Srihari Mr." u="1"/>
        <s v="Srihari   S  Mr ." u="1"/>
        <s v="Daga  Kapil Mr." u="1"/>
        <s v="Samapti  Barai Ms." u="1"/>
        <s v="Shakun  Gidwani Mr." u="1"/>
        <s v="Shakun  Gidwani Ms." u="1"/>
        <s v="Karthikgiri  Enumulla Mr." u="1"/>
        <s v="Jain  Saurabh Mr." u="1"/>
        <s v="Harsha  Arumugam Mr." u="1"/>
        <s v="Parikh  Sanjay Dr." u="1"/>
        <s v="Samapti  Barai Mr." u="1"/>
        <s v="Bina  Patil Ms." u="1"/>
        <s v="Advani   Pradip  Mr ." u="1"/>
        <s v="Shetty  Swethasudhakar Ms." u="1"/>
        <s v="Munjal   Asheena  Ms." u="1"/>
        <s v="Dattani  Shyam Mr." u="1"/>
        <s v="Garg   Nikita  Ms ." u="1"/>
        <s v="Patil   Bina  Ms." u="1"/>
        <s v="Jain   Saurabh  Mr." u="1"/>
        <s v="Mukherjee  Atish Mr." u="1"/>
        <s v="Gauravkapoor Mr." u="1"/>
        <s v="Patil  Bhaskarrangnath Mr." u="1"/>
        <s v="Prafulachandranijegal  Anand Kiran Mr." u="1"/>
        <s v="Bellani  Vishalchandru Mr." u="1"/>
        <s v="Mukherjee   Atish  Mr." u="1"/>
        <s v="Chaudhuri   Vivek  Mr." u="1"/>
        <s v="Seth   Rohan  Mr." u="1"/>
        <s v="Srihari   S  Mr." u="1"/>
        <s v="Chaudhari   Vivek  Mr ." u="1"/>
        <s v="Chaudhuri   Vivek  Mr ." u="1"/>
        <s v="Sanjay  Parikh Mr." u="1"/>
        <s v="Ahmad  Tajdar Mr." u="1"/>
        <s v="Advani   Pradip  Mr." u="1"/>
        <s v="Arumugamrammohan  Harsha Mr." u="1"/>
        <s v="Ratti  Bhalla Ms." u="1"/>
        <s v="Vishal  Bellani Mr." u="1"/>
        <s v="Jain   Saurabh  Dr ." u="1"/>
        <s v="Gupta   Manish  Mr ." u="1"/>
        <s v="Srivastava   Amit  Mr ." u="1"/>
        <s v="Bina  Patil Mr." u="1"/>
        <s v="Advani  Pradip Mr." u="1"/>
        <s v="Bellani   Vishal  Mr." u="1"/>
        <s v="Sridhar   V  Mr ." u="1"/>
        <s v="Singh  Damanbir Mr." u="1"/>
        <s v="Gidwani   Shakun  Ms ." u="1"/>
        <s v="Srihari  S Mr." u="1"/>
        <s v="Sharma   Rahul  Mr." u="1"/>
        <s v="Kapil  Daga Mr." u="1"/>
        <s v="Bhalla   Ratti  Ms ." u="1"/>
        <s v="Gidwani  Shakun Ms." u="1"/>
        <s v="Barai   Samapti  Ms ." u="1"/>
        <s v="Byrisetty   Sunita  Ms." u="1"/>
        <s v="Mukherjee   Atish  Mr ." u="1"/>
        <s v="Amitsrivastava Mr." u="1"/>
        <s v="Raman   Vikramadith  Mr." u="1"/>
        <s v="V  Sridhar Mr." u="1"/>
        <s v="Gupta  Manish Mr." u="1"/>
        <s v="Sridhar  V Mr." u="1"/>
        <s v="Devadas   Raviraj  Mr." u="1"/>
        <s v="Singh   Hardeep  Mr ." u="1"/>
        <s v="Shyam  Dattani Mr." u="1"/>
        <s v="Singh   Damanbir  Mr." u="1"/>
        <s v="Bhalla   Ratti  Ms." u="1"/>
        <s v="Kiran   Anand  Mr." u="1"/>
        <s v="Barai   Samapti  Ms." u="1"/>
        <s v="Chaudhuri  Vivek Mr." u="1"/>
        <s v="Kiran   Anand  Mr ." u="1"/>
        <s v="Kapoor   Gaurav  Mr." u="1"/>
        <s v="Kumar N   Kiran  Mr." u="1"/>
        <s v="Saurabhjain Mr." u="1"/>
        <s v="Hardeep  Singh Mr." u="1"/>
        <s v="Gaurav  Kapoor Mr." u="1"/>
        <s v="Tajdar  Ahmed Mr." u="1"/>
        <s v="Vivek  Chaudhuri Mr." u="1"/>
        <s v="Bellani   Vishal  Mr ." u="1"/>
        <s v="Daga   Kapil  Mr." u="1"/>
        <s v="Ghai   Vivek  Mr." u="1"/>
        <s v="Singh   Damanbir  Mr ." u="1"/>
        <s v="Vivek  Chaudhari Mr." u="1"/>
        <s v="Jain  Saurabh Dr." u="1"/>
        <s v="Barai  Samapti Ms." u="1"/>
        <s v="Goenka   Abhay  Mr ." u="1"/>
        <s v="Parikh   Sanjay Suresh Mr." u="1"/>
        <s v="Dattani   Shyam  Mr." u="1"/>
        <s v="Prafula Chandranijegal  Anand  Mr." u="1"/>
        <s v="Rajakumar   Bhaskar  Mr." u="1"/>
        <s v="Rajakumar   Bhaskar  Mr ." u="1"/>
        <s v="Seth  Roshan Mr." u="1"/>
        <s v="Munjal  Asheena Ms." u="1"/>
        <s v="Kapoor   Gaurav  Mr ." u="1"/>
        <s v="Gidwani   Shakun  Ms." u="1"/>
        <s v="Singh   Hardeep  Mr." u="1"/>
        <s v="Gupta   Manish  Mr." u="1"/>
        <s v="Ahmad   Tajdar  Mr ." u="1"/>
        <s v="Byrisetty  Sunita Ms." u="1"/>
        <s v="Shakun   Gidwani  Ms." u="1"/>
        <s v="Ahmed   Tajdar  Mr." u="1"/>
        <s v="Srivastava  Amit Mr." u="1"/>
        <s v="Damanbir  Singh Mr." u="1"/>
        <s v="Loka  Aparna Ms." u="1"/>
        <s v="S   Srihari  Mr." u="1"/>
        <s v="Pradip  Advani Mr." u="1"/>
        <s v="Manish  Gupta Mr." u="1"/>
        <s v="Vijayarengachari  Sridharan Mr." u="1"/>
        <s v="Gaurav   Kapoor  Mr." u="1"/>
      </sharedItems>
    </cacheField>
    <cacheField name="Sectors From - To" numFmtId="0">
      <sharedItems containsBlank="1" count="118">
        <s v="BLR.Cy.Jn - Chennai.Central"/>
        <s v="Chennai.Central - BLR.Cy.Jn"/>
        <s v="BLR - BOM - JDH"/>
        <s v="BLR - CCU"/>
        <s v="Canada Visa Charges "/>
        <s v="CCU - BLR"/>
        <s v="BLR - BOM"/>
        <s v="BOM - BLR"/>
        <s v="BLR - BOM - BLR"/>
        <s v="BLR - HYD - BLR"/>
        <s v="BOM - HYD"/>
        <s v="GVA - CPH"/>
        <s v="HYD - BOM"/>
        <s v="HYD - DXB - LHR - DXB - BLR"/>
        <s v="HYD - LON - ZRH - CPH - LON - HYD"/>
        <s v="BLR - AMD - BLR"/>
        <s v="BLR - DEL - BLR"/>
        <s v="BLR - HKG - PVG - HKG - BLR"/>
        <s v="BLR - HYD"/>
        <s v="HYD - BLR"/>
        <s v="BLR - BOM - DEL"/>
        <s v="BLR - DEL"/>
        <s v="BOM - DEL"/>
        <s v="China Visa"/>
        <s v="DEL - BLR"/>
        <s v="DEL - BOM"/>
        <s v="HYD - DEL"/>
        <s v="China Visa Charges"/>
        <s v="AMD - BLR"/>
        <s v="BLR - LKO"/>
        <s v="COK - AMD"/>
        <s v="LKO - DEL"/>
        <s v="Switzerland Visa"/>
        <s v="BLR - KUL - BLR"/>
        <s v="BLR - SIN - BLR"/>
        <s v="BOM - BLR - BOM"/>
        <s v="BLR - BOM - DXB - IXE - BLR"/>
        <s v="Towards Dubai Visa Charges "/>
        <s v="BLR - BOM - HKG - BOM - BLR"/>
        <s v="BLR - AMD"/>
        <s v="BLR - LKO - BLR"/>
        <s v="BLR - MAA"/>
        <s v="MAA - BLR"/>
        <s v="BLR - GOI"/>
        <s v="BOM - GOI"/>
        <s v="BOM - HKG - BLR"/>
        <s v="Business"/>
        <s v="CCU - BOM - BLR"/>
        <s v="GOI - BLR"/>
        <s v="BLR - SIN"/>
        <s v="BOM - AMD"/>
        <s v="Malaysia Visa Charges "/>
        <s v="SIN - BLR"/>
        <s v="HYD - BLR - HYD"/>
        <s v="BLR - PNQ"/>
        <s v="PNQ - BLR"/>
        <s v="DEL - CJB"/>
        <s v="MAA - BOM"/>
        <s v="BLR - BOM - NYC - BOM - BLR"/>
        <s v="NYC - BOM - BLR"/>
        <s v="YUL - YYZ - NRT - YYZ - YUL"/>
        <s v="BLR - LHR - EWR - LHR - BLR"/>
        <s v="CCU - BOM"/>
        <s v="AMD - BOM - BLR"/>
        <s v="DEL - PNQ"/>
        <s v="BLR - DXB"/>
        <s v="DXB - BLR"/>
        <s v="Switzerland Visa Charges"/>
        <s v="BLR - SIN - SYD - SIN - BLR"/>
        <s v="BLR - IXC"/>
        <s v="IXC - BLR"/>
        <s v="DEL - BLR - DEL"/>
        <s v="FRA - BLR"/>
        <s v="YUL - YVR - ICN - PVG - YYZ"/>
        <s v="YYZ - YUL"/>
        <s v="HYD - LON - NCL - LON - HYD"/>
        <s v="NRT - SIN - BLR - SIN - NRT"/>
        <s v="BLR - FRA - BLR"/>
        <s v="DXB - FRA"/>
        <s v="ZRH - DXB - HYD - DEL - DXB"/>
        <s v="ZRH - TXL - MUC - TXL - ZRH"/>
        <s v="FRA - BOM - DEL - FRA"/>
        <s v="BLR - IXC - BLR"/>
        <s v="EWR - LHR - BLR"/>
        <s v="ZRH - TXL - MUC"/>
        <s v="BLR - BKK - SYD - BKK - BLR"/>
        <s v="BLR - PAT"/>
        <s v="BOM - IXE"/>
        <s v="DEL - ZRH - BOM - BLR"/>
        <s v="DEL - DXB - ZRH - DXB - BLR"/>
        <s v="BOM - ZRH - DEL - LKO"/>
        <s v="BLR - DXB - DFW - EWR - JFK - DXB - BLR"/>
        <s v="BOM - CDG - YUL - JFK - CDG"/>
        <s v="CDG - BLR"/>
        <s v="MON - NYC - PAR - BLR"/>
        <s v="BLR - BOM - EWR - BOM - BLR"/>
        <s v="Malaysia Visa"/>
        <s v="BLR - MAA - SIN - MAA - BLR"/>
        <s v="BLR - DXB - BLR"/>
        <s v="DEL - HYD"/>
        <s v="IXC - BOM"/>
        <s v="IXC - HYD"/>
        <s v="MAA - HKG - PEK - PVG - HKG - BLR"/>
        <s v="BRU - LHR"/>
        <s v="BRU - LHR - BRU"/>
        <s v="BSL - BRU"/>
        <s v="DEL - BOM - DEL"/>
        <s v="DEL - LHR - DEL"/>
        <s v="DEL - LON - BSL - BRU - LON"/>
        <s v="LHR - ZRH - CPH - LHR"/>
        <s v="LON - DEL"/>
        <s v="ZRH - MUC - GVA"/>
        <s v="AMD - BOM"/>
        <s v="BLR - LHR - ORD - LHR - BLR"/>
        <s v="IXC - DEL"/>
        <s v="IAH - DXB - BLR"/>
        <s v="ICN - PVG"/>
        <m/>
      </sharedItems>
    </cacheField>
    <cacheField name="A L" numFmtId="0">
      <sharedItems containsBlank="1" count="44">
        <s v="Train"/>
        <s v="AI - Air India"/>
        <s v="6E - Indigo"/>
        <s v="Visa"/>
        <s v="SG - Singapore Airlines"/>
        <s v="9W - Jet Airways"/>
        <s v="SK - Scandinavian Airlines"/>
        <s v="EK -  EMIRATES AIR"/>
        <s v="BA - British Airways"/>
        <s v="CX -  CATHAY PACIFIC AIRWAYS"/>
        <s v="MH - Malaysia Airlines"/>
        <s v="SQ - Singapore Airlines"/>
        <s v="G8 - Go Air"/>
        <s v="TR - Turkish Airlines"/>
        <s v="AC -Air Canada"/>
        <s v="LH - Lufthansa"/>
        <s v="EY"/>
        <s v="TG - Thai Airways"/>
        <s v="LX - Swissair"/>
        <s v="AF - Air France"/>
        <s v="SN - Brussels Airlines"/>
        <s v="DE"/>
        <s v="MU - China Eastern Airlines"/>
        <m/>
        <s v="" u="1"/>
        <s v="LX" u="1"/>
        <s v="MH" u="1"/>
        <s v="SG" u="1"/>
        <s v="SK" u="1"/>
        <s v="CX" u="1"/>
        <s v="TR" u="1"/>
        <s v="EK" u="1"/>
        <s v="6E" u="1"/>
        <s v="SQ" u="1"/>
        <s v="AC" u="1"/>
        <s v="TG" u="1"/>
        <s v="AI" u="1"/>
        <s v="G8" u="1"/>
        <s v="LH" u="1"/>
        <s v="SN" u="1"/>
        <s v="BA" u="1"/>
        <s v="MU" u="1"/>
        <s v="9W" u="1"/>
        <s v="AF" u="1"/>
      </sharedItems>
    </cacheField>
    <cacheField name="Ticket No" numFmtId="0">
      <sharedItems containsBlank="1"/>
    </cacheField>
    <cacheField name="Travel Date" numFmtId="0">
      <sharedItems containsDate="1" containsBlank="1" containsMixedTypes="1" minDate="2014-01-22T00:00:00" maxDate="2014-01-23T00:00:00"/>
    </cacheField>
    <cacheField name="Ticket Fare" numFmtId="0">
      <sharedItems containsString="0" containsBlank="1" containsNumber="1" containsInteger="1" minValue="0" maxValue="191425"/>
    </cacheField>
    <cacheField name="Airport &amp; Servic Tax" numFmtId="0">
      <sharedItems containsString="0" containsBlank="1" containsNumber="1" containsInteger="1" minValue="0" maxValue="67708"/>
    </cacheField>
    <cacheField name="Gross Total Payable" numFmtId="0">
      <sharedItems containsString="0" containsBlank="1" containsNumber="1" containsInteger="1" minValue="0" maxValue="222207"/>
    </cacheField>
    <cacheField name="Median" numFmtId="0">
      <sharedItems containsString="0" containsBlank="1" containsNumber="1" minValue="0" maxValue="222207"/>
    </cacheField>
    <cacheField name="GROSS TOTAL" numFmtId="0">
      <sharedItems containsString="0" containsBlank="1" containsNumber="1" containsInteger="1" minValue="0" maxValue="222207"/>
    </cacheField>
    <cacheField name="C N AMNT" numFmtId="0">
      <sharedItems containsBlank="1" containsMixedTypes="1" containsNumber="1" containsInteger="1" minValue="0" maxValue="59500"/>
    </cacheField>
    <cacheField name="Below Range(C)" numFmtId="0">
      <sharedItems containsString="0" containsBlank="1" containsNumber="1" containsInteger="1" minValue="0" maxValue="1"/>
    </cacheField>
    <cacheField name="In _x000a_Range(C)" numFmtId="0">
      <sharedItems containsString="0" containsBlank="1" containsNumber="1" containsInteger="1" minValue="0" maxValue="1"/>
    </cacheField>
    <cacheField name="Above Range(C)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8">
  <r>
    <s v="06/04/2013"/>
    <s v="RA0000004"/>
    <m/>
    <s v="INTERNAL"/>
    <s v="A Sheikh Imtiyaz Mr."/>
    <x v="0"/>
    <s v=""/>
    <s v="669287559"/>
    <s v="24-APR-13"/>
    <n v="842"/>
    <n v="112"/>
    <n v="954"/>
    <n v="749"/>
    <n v="954"/>
    <m/>
    <n v="0"/>
    <n v="0"/>
    <n v="1"/>
    <n v="0"/>
    <n v="0"/>
    <n v="954"/>
    <n v="54"/>
  </r>
  <r>
    <s v="06/04/2013"/>
    <s v="RA0000004"/>
    <m/>
    <s v="INTERNAL"/>
    <s v="A Sheikh Imtiyaz Mr."/>
    <x v="1"/>
    <s v=""/>
    <s v="669291089"/>
    <s v="26-APR-13"/>
    <n v="712"/>
    <n v="112"/>
    <n v="824"/>
    <n v="824"/>
    <n v="824"/>
    <m/>
    <n v="0"/>
    <n v="1"/>
    <n v="0"/>
    <n v="0"/>
    <n v="824"/>
    <n v="0"/>
    <n v="0"/>
  </r>
  <r>
    <s v="20/06/2013"/>
    <s v="AI0012294"/>
    <m/>
    <m/>
    <s v="Abhay  Goenka Mr."/>
    <x v="2"/>
    <s v="AI"/>
    <s v="0983975550359"/>
    <s v="22-JUN-13"/>
    <n v="5090"/>
    <n v="4601"/>
    <n v="9691"/>
    <n v="9753.5"/>
    <n v="9691"/>
    <m/>
    <n v="0"/>
    <n v="1"/>
    <n v="0"/>
    <n v="0"/>
    <n v="9691"/>
    <n v="0"/>
    <n v="0"/>
  </r>
  <r>
    <s v="08/05/2013"/>
    <s v="AI0005713"/>
    <m/>
    <m/>
    <s v="Abhay  Goenka Mr."/>
    <x v="3"/>
    <s v="6E"/>
    <s v="6EXSJ7BP"/>
    <s v="17-MAY-13"/>
    <n v="8256"/>
    <n v="1194"/>
    <n v="9450"/>
    <n v="9450"/>
    <n v="9450"/>
    <m/>
    <n v="0"/>
    <n v="1"/>
    <n v="0"/>
    <n v="0"/>
    <n v="9450"/>
    <n v="0"/>
    <n v="0"/>
  </r>
  <r>
    <s v="12/12/2013"/>
    <s v="VI0003176"/>
    <m/>
    <m/>
    <s v="Abhay  Goenka Mr."/>
    <x v="4"/>
    <s v=""/>
    <s v="Canada"/>
    <s v=""/>
    <n v="9985"/>
    <n v="515"/>
    <n v="10500"/>
    <n v="10500"/>
    <n v="10500"/>
    <n v="0"/>
    <n v="0"/>
    <n v="1"/>
    <n v="0"/>
    <n v="0"/>
    <n v="10500"/>
    <n v="0"/>
    <n v="0"/>
  </r>
  <r>
    <s v="08/05/2013"/>
    <s v="AI0005714"/>
    <m/>
    <m/>
    <s v="Abhay  Goenka Mr."/>
    <x v="5"/>
    <s v="6E"/>
    <s v="6EMSHSBZ"/>
    <s v="20-MAY-13"/>
    <n v="8256"/>
    <n v="1169"/>
    <n v="9425"/>
    <n v="9425"/>
    <n v="9425"/>
    <m/>
    <n v="0"/>
    <n v="1"/>
    <n v="0"/>
    <n v="0"/>
    <n v="9425"/>
    <n v="0"/>
    <n v="0"/>
  </r>
  <r>
    <s v="30/09/2013"/>
    <s v="AI0026978"/>
    <m/>
    <m/>
    <s v="Abir  Banerjee Mr."/>
    <x v="6"/>
    <s v="6E"/>
    <s v="6EO2IIPR"/>
    <s v="01-OCT-13"/>
    <n v="6256"/>
    <n v="960"/>
    <n v="7216"/>
    <n v="7412.5"/>
    <n v="14432"/>
    <n v="0"/>
    <n v="0"/>
    <n v="0"/>
    <n v="1"/>
    <n v="0"/>
    <n v="0"/>
    <n v="14432"/>
    <n v="6232"/>
  </r>
  <r>
    <s v="30/09/2013"/>
    <s v="AI0026980"/>
    <m/>
    <m/>
    <s v="Abir  Banerjee Mr."/>
    <x v="7"/>
    <s v="6E"/>
    <s v="6ED2HQMH"/>
    <s v="01-OCT-13"/>
    <n v="6306"/>
    <n v="1045"/>
    <n v="7351"/>
    <n v="7234"/>
    <n v="14702"/>
    <n v="0"/>
    <n v="0"/>
    <n v="0"/>
    <n v="1"/>
    <n v="0"/>
    <n v="0"/>
    <n v="14702"/>
    <n v="6702"/>
  </r>
  <r>
    <s v="08/01/2014"/>
    <s v="AI0040892"/>
    <m/>
    <m/>
    <s v="Aditi  Upadhyay Mr."/>
    <x v="8"/>
    <s v="6E"/>
    <s v="6EJ1SYYL"/>
    <s v="13-JAN-14"/>
    <n v="8900"/>
    <n v="7267"/>
    <n v="16167"/>
    <n v="14406"/>
    <n v="16167"/>
    <m/>
    <n v="0"/>
    <n v="0"/>
    <n v="1"/>
    <n v="0"/>
    <n v="0"/>
    <n v="16167"/>
    <n v="267"/>
  </r>
  <r>
    <s v="14/05/2013"/>
    <s v="AI0006531"/>
    <m/>
    <m/>
    <s v="Advani Pradip Mr."/>
    <x v="6"/>
    <s v="SG"/>
    <s v="775F4EYUC1"/>
    <s v="15-MAY-13"/>
    <n v="4213"/>
    <n v="3394"/>
    <n v="7607"/>
    <n v="7412.5"/>
    <n v="7607"/>
    <m/>
    <n v="0"/>
    <n v="1"/>
    <n v="0"/>
    <n v="0"/>
    <n v="7607"/>
    <n v="0"/>
    <n v="0"/>
  </r>
  <r>
    <s v="27/08/2013"/>
    <s v="AI0021399"/>
    <m/>
    <m/>
    <s v="Advani Pradip Mr."/>
    <x v="6"/>
    <s v="9W"/>
    <s v="5894146108824"/>
    <s v="29-AUG-13"/>
    <n v="2540"/>
    <n v="1699"/>
    <n v="4239"/>
    <n v="7412.5"/>
    <n v="8355"/>
    <n v="0"/>
    <n v="0"/>
    <n v="0"/>
    <n v="1"/>
    <n v="0"/>
    <n v="0"/>
    <n v="8355"/>
    <n v="155"/>
  </r>
  <r>
    <s v="14/11/2013"/>
    <s v="AI0033332"/>
    <m/>
    <m/>
    <s v="Advani Pradip Mr."/>
    <x v="6"/>
    <s v="6E"/>
    <s v="6EI3IFTA"/>
    <s v="19-NOV-13"/>
    <n v="6256"/>
    <n v="960"/>
    <n v="7216"/>
    <n v="7412.5"/>
    <n v="7216"/>
    <n v="0"/>
    <n v="0"/>
    <n v="1"/>
    <n v="0"/>
    <n v="0"/>
    <n v="7216"/>
    <n v="0"/>
    <n v="0"/>
  </r>
  <r>
    <s v="12/11/2013"/>
    <s v="AI0032823"/>
    <m/>
    <m/>
    <s v="Advani Pradip Mr."/>
    <x v="9"/>
    <s v="6E"/>
    <s v="6EC3IGMA"/>
    <s v="14-NOV-13"/>
    <n v="8670"/>
    <n v="1927"/>
    <n v="10597"/>
    <n v="10597"/>
    <n v="10597"/>
    <n v="0"/>
    <n v="0"/>
    <n v="1"/>
    <n v="0"/>
    <n v="0"/>
    <n v="10597"/>
    <n v="0"/>
    <n v="0"/>
  </r>
  <r>
    <s v="14/05/2013"/>
    <s v="AI0006531"/>
    <m/>
    <m/>
    <s v="Advani Pradip Mr."/>
    <x v="7"/>
    <s v="6E"/>
    <s v="6EVTZBBW2"/>
    <s v="16-MAY-13"/>
    <n v="3720"/>
    <n v="3481"/>
    <n v="7201"/>
    <n v="7234"/>
    <n v="7201"/>
    <m/>
    <n v="0"/>
    <n v="1"/>
    <n v="0"/>
    <n v="0"/>
    <n v="7201"/>
    <n v="0"/>
    <n v="0"/>
  </r>
  <r>
    <s v="16/05/2013"/>
    <s v="AI0007006"/>
    <m/>
    <m/>
    <s v="Advani Pradip Mr."/>
    <x v="7"/>
    <s v="SG"/>
    <s v="775H6U9PJ"/>
    <s v="16-MAY-13"/>
    <n v="3779"/>
    <n v="3214"/>
    <n v="6993"/>
    <n v="7234"/>
    <n v="6993"/>
    <m/>
    <n v="0"/>
    <n v="1"/>
    <n v="0"/>
    <n v="0"/>
    <n v="6993"/>
    <n v="0"/>
    <n v="0"/>
  </r>
  <r>
    <s v="27/08/2013"/>
    <s v="AI0021399"/>
    <m/>
    <m/>
    <s v="Advani Pradip Mr."/>
    <x v="7"/>
    <s v="9W"/>
    <s v="5894146108825"/>
    <s v="30-AUG-13"/>
    <n v="2345"/>
    <n v="1771"/>
    <n v="4116"/>
    <n v="7234"/>
    <n v="4116"/>
    <n v="0"/>
    <n v="1"/>
    <n v="0"/>
    <n v="0"/>
    <n v="4116"/>
    <n v="0"/>
    <n v="0"/>
    <n v="0"/>
  </r>
  <r>
    <s v="29/01/2014"/>
    <s v="AI0043883"/>
    <m/>
    <m/>
    <s v="Advani Pradip Mr."/>
    <x v="7"/>
    <s v="6E"/>
    <s v="6EW3W54F"/>
    <s v="04-02-14"/>
    <n v="5816"/>
    <n v="1139"/>
    <n v="6955"/>
    <n v="7234"/>
    <n v="6955"/>
    <n v="0"/>
    <n v="0"/>
    <n v="1"/>
    <n v="0"/>
    <n v="0"/>
    <n v="6955"/>
    <n v="0"/>
    <n v="0"/>
  </r>
  <r>
    <s v="14/11/2013"/>
    <s v="AI0033289"/>
    <m/>
    <m/>
    <s v="Advani Pradip Mr."/>
    <x v="10"/>
    <s v="9W"/>
    <s v="5894339562942"/>
    <s v="21-NOV-13"/>
    <n v="3600"/>
    <n v="1525"/>
    <n v="5125"/>
    <n v="5814"/>
    <n v="5125"/>
    <n v="0"/>
    <n v="1"/>
    <n v="0"/>
    <n v="0"/>
    <n v="5125"/>
    <n v="0"/>
    <n v="0"/>
    <n v="0"/>
  </r>
  <r>
    <s v="30/01/2014"/>
    <s v="AI0044172"/>
    <m/>
    <m/>
    <s v="Advani Pradip Mr."/>
    <x v="11"/>
    <s v="SK"/>
    <s v="1174342956464"/>
    <s v="18-02-14"/>
    <n v="13215"/>
    <n v="6785"/>
    <n v="20000"/>
    <n v="21000"/>
    <n v="20000"/>
    <n v="0"/>
    <n v="0"/>
    <n v="1"/>
    <n v="0"/>
    <n v="0"/>
    <n v="20000"/>
    <n v="0"/>
    <n v="0"/>
  </r>
  <r>
    <s v="29/01/2014"/>
    <s v="AI0043881"/>
    <m/>
    <m/>
    <s v="Advani Pradip Mr."/>
    <x v="12"/>
    <s v="6E"/>
    <s v="6EXEZWYH"/>
    <s v="03-02-14"/>
    <n v="3870"/>
    <n v="1130"/>
    <n v="5000"/>
    <n v="5519"/>
    <n v="5000"/>
    <n v="0"/>
    <n v="0"/>
    <n v="1"/>
    <n v="0"/>
    <n v="0"/>
    <n v="5000"/>
    <n v="0"/>
    <n v="0"/>
  </r>
  <r>
    <s v="02/12/2013"/>
    <s v="AI0035843"/>
    <m/>
    <m/>
    <s v="Advani Pradip Mr."/>
    <x v="13"/>
    <s v="EK"/>
    <s v="1764340465137"/>
    <s v="09-DEC-13"/>
    <n v="66445"/>
    <n v="20055"/>
    <n v="86500"/>
    <n v="86500"/>
    <n v="86500"/>
    <n v="0"/>
    <n v="0"/>
    <n v="1"/>
    <n v="0"/>
    <n v="0"/>
    <n v="86500"/>
    <n v="0"/>
    <n v="0"/>
  </r>
  <r>
    <s v="30/01/2014"/>
    <s v="AI0044174"/>
    <m/>
    <m/>
    <s v="Advani Pradip Mr."/>
    <x v="14"/>
    <s v="BA"/>
    <s v="1254342637970/1"/>
    <s v="11-02-14"/>
    <n v="28250"/>
    <n v="49950"/>
    <n v="78200"/>
    <n v="78200"/>
    <n v="78200"/>
    <n v="0"/>
    <n v="0"/>
    <n v="1"/>
    <n v="0"/>
    <n v="0"/>
    <n v="78200"/>
    <n v="0"/>
    <n v="0"/>
  </r>
  <r>
    <s v="26/09/2013"/>
    <s v="AI0026335"/>
    <m/>
    <m/>
    <s v="Ahmad Tajdar Mr ."/>
    <x v="15"/>
    <s v="6E"/>
    <s v="6EO2E3TL"/>
    <s v="29-SEP-13"/>
    <n v="16848"/>
    <n v="2030"/>
    <n v="18878"/>
    <n v="19030"/>
    <n v="18878"/>
    <n v="0"/>
    <n v="0"/>
    <n v="1"/>
    <n v="0"/>
    <n v="0"/>
    <n v="18878"/>
    <n v="0"/>
    <n v="0"/>
  </r>
  <r>
    <s v="05/09/2013"/>
    <s v="AI0022974"/>
    <s v="AR0003259"/>
    <m/>
    <s v="Ahmad Tajdar Mr ."/>
    <x v="6"/>
    <s v="6E"/>
    <s v="6EP1S4TB1"/>
    <s v="06-SEP-13"/>
    <n v="3940"/>
    <n v="3361"/>
    <n v="7301"/>
    <n v="7412.5"/>
    <n v="14651"/>
    <n v="6201"/>
    <n v="0"/>
    <n v="0"/>
    <n v="1"/>
    <n v="0"/>
    <n v="0"/>
    <n v="14651"/>
    <n v="6451"/>
  </r>
  <r>
    <s v="06/09/2013"/>
    <s v="AI0023205"/>
    <m/>
    <m/>
    <s v="Ahmad Tajdar Mr ."/>
    <x v="6"/>
    <s v="6E"/>
    <s v="6EZ1TFND"/>
    <s v="06-SEP-13"/>
    <n v="6011"/>
    <n v="946"/>
    <n v="6957"/>
    <n v="7412.5"/>
    <n v="6957"/>
    <n v="0"/>
    <n v="0"/>
    <n v="1"/>
    <n v="0"/>
    <n v="0"/>
    <n v="6957"/>
    <n v="0"/>
    <n v="0"/>
  </r>
  <r>
    <s v="27/06/2013"/>
    <s v="AI0013059"/>
    <m/>
    <m/>
    <s v="Ahmad Tajdar Mr ."/>
    <x v="8"/>
    <s v="6E"/>
    <s v="6EIUV8AS1"/>
    <s v="28-JUN-13"/>
    <n v="6280"/>
    <n v="5566"/>
    <n v="11846"/>
    <n v="14406"/>
    <n v="11846"/>
    <m/>
    <n v="1"/>
    <n v="0"/>
    <n v="0"/>
    <n v="11846"/>
    <n v="0"/>
    <n v="0"/>
    <n v="0"/>
  </r>
  <r>
    <s v="30/07/2013"/>
    <s v="AI0017681"/>
    <m/>
    <m/>
    <s v="Ahmad Tajdar Mr ."/>
    <x v="8"/>
    <s v="6E"/>
    <s v="6EXZWBPM1"/>
    <s v="31-JUL-13"/>
    <n v="964"/>
    <n v="4937"/>
    <n v="5901"/>
    <n v="14406"/>
    <n v="5901"/>
    <m/>
    <n v="1"/>
    <n v="0"/>
    <n v="0"/>
    <n v="5901"/>
    <n v="0"/>
    <n v="0"/>
    <n v="0"/>
  </r>
  <r>
    <s v="18/12/2013"/>
    <s v="AI0038465"/>
    <m/>
    <m/>
    <s v="Ahmad Tajdar Mr ."/>
    <x v="8"/>
    <s v="AI"/>
    <s v="0984341198626"/>
    <s v="20-DEC-13"/>
    <n v="8471"/>
    <n v="6163"/>
    <n v="14634"/>
    <n v="14406"/>
    <n v="14634"/>
    <n v="0"/>
    <n v="0"/>
    <n v="1"/>
    <n v="0"/>
    <n v="0"/>
    <n v="14634"/>
    <n v="0"/>
    <n v="0"/>
  </r>
  <r>
    <s v="02/05/2013"/>
    <s v="AI0004890"/>
    <m/>
    <m/>
    <s v="Ahmad Tajdar Mr ."/>
    <x v="16"/>
    <s v="6E"/>
    <s v="6EYRUWAQ"/>
    <s v="06-MAY-13"/>
    <n v="16562"/>
    <n v="2933"/>
    <n v="19495"/>
    <n v="20521"/>
    <n v="19495"/>
    <m/>
    <n v="0"/>
    <n v="1"/>
    <n v="0"/>
    <n v="0"/>
    <n v="19495"/>
    <n v="0"/>
    <n v="0"/>
  </r>
  <r>
    <s v="05/09/2013"/>
    <s v="AI0023029"/>
    <m/>
    <m/>
    <s v="Ahmad Tajdar Mr ."/>
    <x v="16"/>
    <s v="6E"/>
    <s v="6EM1S1NT"/>
    <s v="07-SEP-13"/>
    <n v="17424"/>
    <n v="2981"/>
    <n v="20405"/>
    <n v="20521"/>
    <n v="20405"/>
    <n v="0"/>
    <n v="0"/>
    <n v="1"/>
    <n v="0"/>
    <n v="0"/>
    <n v="20405"/>
    <n v="0"/>
    <n v="0"/>
  </r>
  <r>
    <s v="02/12/2013"/>
    <s v="AI0036368"/>
    <m/>
    <m/>
    <s v="Ahmad Tajdar Mr ."/>
    <x v="16"/>
    <s v="6E"/>
    <s v="6EC1TBKI"/>
    <s v="06-DEC-13"/>
    <n v="17326"/>
    <n v="2976"/>
    <n v="20302"/>
    <n v="20521"/>
    <n v="20302"/>
    <n v="0"/>
    <n v="0"/>
    <n v="1"/>
    <n v="0"/>
    <n v="0"/>
    <n v="20302"/>
    <n v="0"/>
    <n v="0"/>
  </r>
  <r>
    <s v="26/02/2014"/>
    <s v="AI0048428"/>
    <m/>
    <m/>
    <s v="Ahmad Tajdar Mr ."/>
    <x v="16"/>
    <s v="6E"/>
    <s v="6EHYNDQN"/>
    <s v="28-FEB-14"/>
    <n v="17534"/>
    <n v="2987"/>
    <n v="20521"/>
    <n v="20521"/>
    <n v="41042"/>
    <e v="#REF!"/>
    <n v="0"/>
    <n v="0"/>
    <n v="1"/>
    <n v="0"/>
    <n v="0"/>
    <n v="41042"/>
    <n v="18442"/>
  </r>
  <r>
    <s v="21/10/2013"/>
    <s v="AI0029930"/>
    <m/>
    <m/>
    <s v="Ahmad Tajdar Mr ."/>
    <x v="17"/>
    <s v="CX"/>
    <s v="1604338903397"/>
    <s v="25-10-13"/>
    <n v="21880"/>
    <n v="23120"/>
    <n v="45000"/>
    <n v="45000"/>
    <n v="45000"/>
    <n v="0"/>
    <n v="0"/>
    <n v="1"/>
    <n v="0"/>
    <n v="0"/>
    <n v="45000"/>
    <n v="0"/>
    <n v="0"/>
  </r>
  <r>
    <s v="29/08/2013"/>
    <s v="AI0022109"/>
    <m/>
    <m/>
    <s v="Ahmad Tajdar Mr ."/>
    <x v="18"/>
    <s v="6E"/>
    <s v="6EQ1LCPW"/>
    <s v="30-AUG-13"/>
    <n v="2967"/>
    <n v="777"/>
    <n v="3744"/>
    <n v="5161"/>
    <n v="3744"/>
    <n v="0"/>
    <n v="1"/>
    <n v="0"/>
    <n v="0"/>
    <n v="3744"/>
    <n v="0"/>
    <n v="0"/>
    <n v="0"/>
  </r>
  <r>
    <s v="05/09/2013"/>
    <s v="AI0022974"/>
    <m/>
    <m/>
    <s v="Ahmad Tajdar Mr ."/>
    <x v="7"/>
    <s v="9W"/>
    <s v="5894146516100"/>
    <s v="06-SEP-13"/>
    <n v="5410"/>
    <n v="1940"/>
    <n v="7350"/>
    <n v="7234"/>
    <n v="7350"/>
    <n v="0"/>
    <n v="0"/>
    <n v="1"/>
    <n v="0"/>
    <n v="0"/>
    <n v="7350"/>
    <n v="0"/>
    <n v="0"/>
  </r>
  <r>
    <s v="29/08/2013"/>
    <s v="AI0022073"/>
    <m/>
    <m/>
    <s v="Ahmad Tajdar Mr ."/>
    <x v="19"/>
    <s v="6E"/>
    <s v="6EF1LRTF1"/>
    <s v="30-AUG-13"/>
    <n v="2699"/>
    <n v="2615"/>
    <n v="5314"/>
    <n v="5438"/>
    <n v="5314"/>
    <n v="0"/>
    <n v="0"/>
    <n v="1"/>
    <n v="0"/>
    <n v="0"/>
    <n v="5314"/>
    <n v="0"/>
    <n v="0"/>
  </r>
  <r>
    <s v="28/12/2013"/>
    <s v="AI0039456"/>
    <m/>
    <m/>
    <s v="Amit Srivastava Mr."/>
    <x v="6"/>
    <s v="9W"/>
    <s v="5894341518565"/>
    <s v="06-JAN-14"/>
    <n v="5100"/>
    <n v="1840"/>
    <n v="6940"/>
    <n v="7412.5"/>
    <n v="6940"/>
    <n v="0"/>
    <n v="0"/>
    <n v="1"/>
    <n v="0"/>
    <n v="0"/>
    <n v="6940"/>
    <n v="0"/>
    <n v="0"/>
  </r>
  <r>
    <s v="19/01/2014"/>
    <s v="AI0042325"/>
    <m/>
    <m/>
    <s v="Amit Srivastava Mr."/>
    <x v="6"/>
    <s v="9W"/>
    <s v="5894342346791"/>
    <s v="20-JAN-14"/>
    <n v="5500"/>
    <n v="1837"/>
    <n v="7337"/>
    <n v="7412.5"/>
    <n v="7337"/>
    <n v="0"/>
    <n v="0"/>
    <n v="1"/>
    <n v="0"/>
    <n v="0"/>
    <n v="7337"/>
    <n v="0"/>
    <n v="0"/>
  </r>
  <r>
    <s v="28/01/2014"/>
    <s v="AI0043707"/>
    <m/>
    <m/>
    <s v="Amit Srivastava Mr."/>
    <x v="6"/>
    <s v="9W"/>
    <s v="5894342458471"/>
    <s v="29-01-14"/>
    <n v="6100"/>
    <n v="1896"/>
    <n v="7996"/>
    <n v="7412.5"/>
    <n v="7996"/>
    <n v="0"/>
    <n v="0"/>
    <n v="1"/>
    <n v="0"/>
    <n v="0"/>
    <n v="7996"/>
    <n v="0"/>
    <n v="0"/>
  </r>
  <r>
    <s v="05/02/2014"/>
    <s v="AI0045205"/>
    <m/>
    <m/>
    <s v="Amit Srivastava Mr."/>
    <x v="6"/>
    <s v="9W"/>
    <s v="5894342969666"/>
    <s v="07-02-14"/>
    <n v="6400"/>
    <n v="1912"/>
    <n v="8312"/>
    <n v="7412.5"/>
    <n v="8312"/>
    <n v="0"/>
    <n v="0"/>
    <n v="0"/>
    <n v="1"/>
    <n v="0"/>
    <n v="0"/>
    <n v="8312"/>
    <n v="112"/>
  </r>
  <r>
    <s v="28/11/2013"/>
    <s v="AI0035488"/>
    <m/>
    <m/>
    <s v="Amit Srivastava Mr."/>
    <x v="20"/>
    <s v="9W"/>
    <s v="5894340320965"/>
    <s v="02-DEC-13"/>
    <n v="13750"/>
    <n v="5316"/>
    <n v="19066"/>
    <n v="18882"/>
    <n v="19066"/>
    <n v="0"/>
    <n v="0"/>
    <n v="1"/>
    <n v="0"/>
    <n v="0"/>
    <n v="19066"/>
    <n v="0"/>
    <n v="0"/>
  </r>
  <r>
    <s v="12/12/2013"/>
    <s v="AI0037584"/>
    <m/>
    <m/>
    <s v="Amit Srivastava Mr."/>
    <x v="21"/>
    <s v="9W"/>
    <s v="5894340894712"/>
    <s v="15-DEC-13"/>
    <n v="6400"/>
    <n v="4029"/>
    <n v="10429"/>
    <n v="10605"/>
    <n v="10429"/>
    <n v="0"/>
    <n v="0"/>
    <n v="1"/>
    <n v="0"/>
    <n v="0"/>
    <n v="10429"/>
    <n v="0"/>
    <n v="0"/>
  </r>
  <r>
    <s v="20/12/2013"/>
    <s v="AI0038797"/>
    <s v="AR0005900"/>
    <m/>
    <s v="Amit Srivastava Mr."/>
    <x v="21"/>
    <s v="9W"/>
    <s v="5894341198732"/>
    <s v="23-DEC-13"/>
    <n v="6400"/>
    <n v="4104"/>
    <n v="10504"/>
    <n v="10605"/>
    <n v="20868"/>
    <e v="#REF!"/>
    <n v="0"/>
    <n v="0"/>
    <n v="1"/>
    <n v="0"/>
    <n v="0"/>
    <n v="20868"/>
    <n v="9168"/>
  </r>
  <r>
    <s v="23/12/2013"/>
    <s v="AI0038956"/>
    <m/>
    <m/>
    <s v="Amit Srivastava Mr."/>
    <x v="21"/>
    <s v="9W"/>
    <s v="5894341343085"/>
    <s v="23-DEC-13"/>
    <n v="6100"/>
    <n v="4013"/>
    <n v="10113"/>
    <n v="10605"/>
    <n v="10113"/>
    <n v="0"/>
    <n v="0"/>
    <n v="1"/>
    <n v="0"/>
    <n v="0"/>
    <n v="10113"/>
    <n v="0"/>
    <n v="0"/>
  </r>
  <r>
    <s v="29/01/2014"/>
    <s v="AI0043775"/>
    <m/>
    <m/>
    <s v="Amit Srivastava Mr."/>
    <x v="18"/>
    <s v="9W"/>
    <s v="5894342458490"/>
    <s v="03-02-14"/>
    <n v="4170"/>
    <n v="1474"/>
    <n v="5644"/>
    <n v="5161"/>
    <n v="5644"/>
    <n v="0"/>
    <n v="0"/>
    <n v="1"/>
    <n v="0"/>
    <n v="0"/>
    <n v="5644"/>
    <n v="0"/>
    <n v="0"/>
  </r>
  <r>
    <s v="12/12/2013"/>
    <s v="AI0037586"/>
    <m/>
    <m/>
    <s v="Amit Srivastava Mr."/>
    <x v="7"/>
    <s v="9W"/>
    <s v="5894340894714"/>
    <s v="19-DEC-13"/>
    <n v="5500"/>
    <n v="1970"/>
    <n v="7470"/>
    <n v="7234"/>
    <n v="7470"/>
    <n v="0"/>
    <n v="0"/>
    <n v="1"/>
    <n v="0"/>
    <n v="0"/>
    <n v="7470"/>
    <n v="0"/>
    <n v="0"/>
  </r>
  <r>
    <s v="05/02/2014"/>
    <s v="AI0045226"/>
    <s v="AR0006647"/>
    <m/>
    <s v="Amit Srivastava Mr."/>
    <x v="7"/>
    <s v="6E"/>
    <s v="6EW4N42C"/>
    <s v="07-02-14"/>
    <n v="4292"/>
    <n v="933"/>
    <n v="5225"/>
    <n v="7234"/>
    <n v="5225"/>
    <n v="5125"/>
    <n v="1"/>
    <n v="0"/>
    <n v="0"/>
    <n v="5225"/>
    <n v="0"/>
    <n v="0"/>
    <n v="0"/>
  </r>
  <r>
    <s v="06/02/2014"/>
    <s v="AI0045397"/>
    <m/>
    <m/>
    <s v="Amit Srivastava Mr."/>
    <x v="7"/>
    <s v="9W"/>
    <s v="5894342969705"/>
    <s v="07-02-14"/>
    <n v="5920"/>
    <n v="1969"/>
    <n v="7889"/>
    <n v="7234"/>
    <n v="7889"/>
    <n v="0"/>
    <n v="0"/>
    <n v="1"/>
    <n v="0"/>
    <n v="0"/>
    <n v="7889"/>
    <n v="0"/>
    <n v="0"/>
  </r>
  <r>
    <s v="14/02/2014"/>
    <s v="AI0046458"/>
    <m/>
    <m/>
    <s v="Amit Srivastava Mr."/>
    <x v="7"/>
    <s v="9W"/>
    <s v="5894343391150"/>
    <s v="14-02-14"/>
    <n v="8200"/>
    <n v="2095"/>
    <n v="10295"/>
    <n v="7234"/>
    <n v="10295"/>
    <n v="0"/>
    <n v="0"/>
    <n v="0"/>
    <n v="1"/>
    <n v="0"/>
    <n v="0"/>
    <n v="10295"/>
    <n v="2295"/>
  </r>
  <r>
    <s v="03/12/2013"/>
    <s v="AI0036203"/>
    <m/>
    <m/>
    <s v="Amit Srivastava Mr."/>
    <x v="22"/>
    <s v="9W"/>
    <s v="5894340476850"/>
    <s v="05-DEC-13"/>
    <n v="7650"/>
    <n v="3422"/>
    <n v="11072"/>
    <n v="10079"/>
    <n v="11072"/>
    <n v="0"/>
    <n v="0"/>
    <n v="1"/>
    <n v="0"/>
    <n v="0"/>
    <n v="11072"/>
    <n v="0"/>
    <n v="0"/>
  </r>
  <r>
    <s v="21/01/2014"/>
    <s v="AI0042421"/>
    <m/>
    <m/>
    <s v="Amit Srivastava Mr."/>
    <x v="22"/>
    <s v="9W"/>
    <s v="5894342108986"/>
    <s v="22-01-14"/>
    <n v="7650"/>
    <n v="3422"/>
    <n v="11072"/>
    <n v="10079"/>
    <n v="11072"/>
    <n v="0"/>
    <n v="0"/>
    <n v="1"/>
    <n v="0"/>
    <n v="0"/>
    <n v="11072"/>
    <n v="0"/>
    <n v="0"/>
  </r>
  <r>
    <s v="28/01/2014"/>
    <s v="AI0043708"/>
    <m/>
    <m/>
    <s v="Amit Srivastava Mr."/>
    <x v="22"/>
    <s v="9W"/>
    <s v="5894342458472"/>
    <s v="30-01-14"/>
    <n v="7650"/>
    <n v="3422"/>
    <n v="11072"/>
    <n v="10079"/>
    <n v="11072"/>
    <n v="0"/>
    <n v="0"/>
    <n v="1"/>
    <n v="0"/>
    <n v="0"/>
    <n v="11072"/>
    <n v="0"/>
    <n v="0"/>
  </r>
  <r>
    <s v="07/02/2014"/>
    <s v="AI0045587"/>
    <m/>
    <m/>
    <s v="Amit Srivastava Mr."/>
    <x v="22"/>
    <s v="9W"/>
    <s v="5894342969742"/>
    <s v="12-02-14"/>
    <n v="7650"/>
    <n v="3422"/>
    <n v="11072"/>
    <n v="10079"/>
    <n v="11072"/>
    <n v="0"/>
    <n v="0"/>
    <n v="1"/>
    <n v="0"/>
    <n v="0"/>
    <n v="11072"/>
    <n v="0"/>
    <n v="0"/>
  </r>
  <r>
    <s v="31/01/2014"/>
    <s v="VI0003705"/>
    <m/>
    <m/>
    <s v="Amit Srivastava Mr."/>
    <x v="23"/>
    <s v=""/>
    <s v="China"/>
    <s v=""/>
    <n v="14565"/>
    <n v="435"/>
    <n v="15000"/>
    <n v="15000"/>
    <n v="15000"/>
    <n v="0"/>
    <n v="0"/>
    <n v="1"/>
    <n v="0"/>
    <n v="0"/>
    <n v="15000"/>
    <n v="0"/>
    <n v="0"/>
  </r>
  <r>
    <s v="04/12/2013"/>
    <s v="AI0036374"/>
    <m/>
    <m/>
    <s v="Amit Srivastava Mr."/>
    <x v="24"/>
    <s v="SG"/>
    <s v="775JZE9VB"/>
    <s v="06-DEC-13"/>
    <n v="8451"/>
    <n v="1406"/>
    <n v="9857"/>
    <n v="10332"/>
    <n v="19714"/>
    <n v="0"/>
    <n v="0"/>
    <n v="0"/>
    <n v="1"/>
    <n v="0"/>
    <n v="0"/>
    <n v="19714"/>
    <n v="8314"/>
  </r>
  <r>
    <s v="20/12/2013"/>
    <s v="AI0038797"/>
    <m/>
    <m/>
    <s v="Amit Srivastava Mr."/>
    <x v="24"/>
    <s v="9W"/>
    <s v="5894341198733"/>
    <s v="25-DEC-13"/>
    <n v="6400"/>
    <n v="3964"/>
    <n v="10364"/>
    <n v="10332"/>
    <n v="10364"/>
    <n v="0"/>
    <n v="0"/>
    <n v="1"/>
    <n v="0"/>
    <n v="0"/>
    <n v="10364"/>
    <n v="0"/>
    <n v="0"/>
  </r>
  <r>
    <s v="21/01/2014"/>
    <s v="AI0042426"/>
    <m/>
    <m/>
    <s v="Amit Srivastava Mr."/>
    <x v="24"/>
    <s v="9W"/>
    <s v="5894342108987"/>
    <s v="23-01-14"/>
    <n v="7950"/>
    <n v="3951"/>
    <n v="11901"/>
    <n v="10332"/>
    <n v="11901"/>
    <n v="0"/>
    <n v="0"/>
    <n v="0"/>
    <n v="1"/>
    <n v="0"/>
    <n v="0"/>
    <n v="11901"/>
    <n v="501"/>
  </r>
  <r>
    <s v="28/01/2014"/>
    <s v="AI0043724"/>
    <m/>
    <m/>
    <s v="Amit Srivastava Mr."/>
    <x v="24"/>
    <s v="6E"/>
    <s v="6ES4EZSF"/>
    <s v="31-01-14"/>
    <n v="8688"/>
    <n v="1601"/>
    <n v="10289"/>
    <n v="10332"/>
    <n v="10289"/>
    <n v="0"/>
    <n v="0"/>
    <n v="1"/>
    <n v="0"/>
    <n v="0"/>
    <n v="10289"/>
    <n v="0"/>
    <n v="0"/>
  </r>
  <r>
    <s v="04/02/2014"/>
    <s v="AI0044843"/>
    <m/>
    <m/>
    <s v="Amit Srivastava Mr."/>
    <x v="24"/>
    <s v="9W"/>
    <s v="5894342969627"/>
    <s v="04-02-14"/>
    <n v="7400"/>
    <n v="3920"/>
    <n v="11320"/>
    <n v="10332"/>
    <n v="11320"/>
    <n v="0"/>
    <n v="0"/>
    <n v="1"/>
    <n v="0"/>
    <n v="0"/>
    <n v="11320"/>
    <n v="0"/>
    <n v="0"/>
  </r>
  <r>
    <s v="12/12/2013"/>
    <s v="AI0037585"/>
    <m/>
    <m/>
    <s v="Amit Srivastava Mr."/>
    <x v="25"/>
    <s v="9W"/>
    <s v="5894340894713"/>
    <s v="16-DEC-13"/>
    <n v="7330"/>
    <n v="3206"/>
    <n v="10536"/>
    <n v="9855"/>
    <n v="10536"/>
    <n v="0"/>
    <n v="0"/>
    <n v="1"/>
    <n v="0"/>
    <n v="0"/>
    <n v="10536"/>
    <n v="0"/>
    <n v="0"/>
  </r>
  <r>
    <s v="07/02/2014"/>
    <s v="AI0045590"/>
    <m/>
    <m/>
    <s v="Amit Srivastava Mr."/>
    <x v="25"/>
    <s v="9W"/>
    <s v="5894342969743"/>
    <s v="13-02-14"/>
    <n v="7650"/>
    <n v="3199"/>
    <n v="10849"/>
    <n v="9855"/>
    <n v="10849"/>
    <n v="0"/>
    <n v="0"/>
    <n v="1"/>
    <n v="0"/>
    <n v="0"/>
    <n v="10849"/>
    <n v="0"/>
    <n v="0"/>
  </r>
  <r>
    <s v="29/01/2014"/>
    <s v="AI0043775"/>
    <m/>
    <m/>
    <s v="Amit Srivastava Mr."/>
    <x v="19"/>
    <s v="9W"/>
    <s v="5894342458491"/>
    <s v="03-02-14"/>
    <n v="4170"/>
    <n v="1698"/>
    <n v="5868"/>
    <n v="5438"/>
    <n v="11512"/>
    <n v="0"/>
    <n v="0"/>
    <n v="0"/>
    <n v="1"/>
    <n v="0"/>
    <n v="0"/>
    <n v="11512"/>
    <n v="5512"/>
  </r>
  <r>
    <s v="01/02/2014"/>
    <s v="AI0044678"/>
    <m/>
    <m/>
    <s v="Amit Srivastava Mr."/>
    <x v="26"/>
    <s v="6E"/>
    <s v="6ES81CUJ"/>
    <s v="03-02-14"/>
    <n v="8449"/>
    <n v="1948"/>
    <n v="10397"/>
    <n v="7911"/>
    <n v="10397"/>
    <n v="0"/>
    <n v="0"/>
    <n v="0"/>
    <n v="1"/>
    <n v="0"/>
    <n v="0"/>
    <n v="10397"/>
    <n v="1597"/>
  </r>
  <r>
    <s v="16/01/2014"/>
    <s v="VI0003503"/>
    <m/>
    <m/>
    <s v="Amitkumar  Aggarwal Mr."/>
    <x v="27"/>
    <s v=""/>
    <s v="China"/>
    <s v=""/>
    <n v="5114"/>
    <n v="500"/>
    <n v="5614"/>
    <n v="6580.5"/>
    <n v="5614"/>
    <n v="0"/>
    <n v="1"/>
    <n v="0"/>
    <n v="0"/>
    <n v="5614"/>
    <n v="0"/>
    <n v="0"/>
    <n v="0"/>
  </r>
  <r>
    <s v="14/02/2014"/>
    <s v="AI0046490"/>
    <m/>
    <m/>
    <s v="Anand  Kiran Mr."/>
    <x v="28"/>
    <s v="6E"/>
    <s v="6EHYR8VN"/>
    <s v="23-02-14"/>
    <n v="8617"/>
    <n v="963"/>
    <n v="9580"/>
    <n v="9066"/>
    <n v="19160"/>
    <n v="0"/>
    <n v="0"/>
    <n v="0"/>
    <n v="1"/>
    <n v="0"/>
    <n v="0"/>
    <n v="19160"/>
    <n v="9160"/>
  </r>
  <r>
    <s v="10/08/2013"/>
    <s v="AI0019363"/>
    <s v="AR0002765"/>
    <m/>
    <s v="Anand  Kiran Mr."/>
    <x v="8"/>
    <s v="6E"/>
    <s v="6ER15VNH"/>
    <s v="12-AUG-13"/>
    <n v="7956"/>
    <n v="1747"/>
    <n v="9703"/>
    <n v="14406"/>
    <n v="9703"/>
    <n v="4695"/>
    <n v="1"/>
    <n v="0"/>
    <n v="0"/>
    <n v="9703"/>
    <n v="0"/>
    <n v="0"/>
    <n v="0"/>
  </r>
  <r>
    <s v="24/09/2013"/>
    <s v="AI0026113"/>
    <s v="AR0003780"/>
    <m/>
    <s v="Anand  Kiran Mr."/>
    <x v="21"/>
    <s v="6E"/>
    <s v="6EN2CJTF"/>
    <s v="01-OCT-13"/>
    <n v="9128"/>
    <n v="1585"/>
    <n v="10713"/>
    <n v="10605"/>
    <n v="21426"/>
    <n v="21226"/>
    <n v="0"/>
    <n v="0"/>
    <n v="1"/>
    <n v="0"/>
    <n v="0"/>
    <n v="21426"/>
    <n v="9726"/>
  </r>
  <r>
    <s v="20/09/2013"/>
    <s v="AI0025294"/>
    <s v="AR0003605"/>
    <m/>
    <s v="Anand  Kiran Mr."/>
    <x v="16"/>
    <s v="6E"/>
    <s v="6EM2B1RN"/>
    <s v="02-OCT-13"/>
    <n v="18306"/>
    <n v="3030"/>
    <n v="21336"/>
    <n v="20521"/>
    <n v="21336"/>
    <n v="10488"/>
    <n v="0"/>
    <n v="1"/>
    <n v="0"/>
    <n v="0"/>
    <n v="21336"/>
    <n v="0"/>
    <n v="0"/>
  </r>
  <r>
    <s v="02/12/2013"/>
    <s v="AI0036058"/>
    <s v="AR0005543"/>
    <m/>
    <s v="Anand  Kiran Mr."/>
    <x v="18"/>
    <s v="6E"/>
    <s v="6ES4SS6P"/>
    <s v="19-DEC-13"/>
    <n v="4310"/>
    <n v="851"/>
    <n v="5161"/>
    <n v="5161"/>
    <n v="10322"/>
    <n v="10122"/>
    <n v="0"/>
    <n v="0"/>
    <n v="1"/>
    <n v="0"/>
    <n v="0"/>
    <n v="10322"/>
    <n v="4622"/>
  </r>
  <r>
    <s v="17/12/2013"/>
    <s v="AI0038206"/>
    <s v="AR0005544"/>
    <m/>
    <s v="Anand  Kiran Mr."/>
    <x v="18"/>
    <s v="6E"/>
    <s v="6EEYGJWN"/>
    <s v="18-DEC-13"/>
    <n v="4310"/>
    <n v="851"/>
    <n v="5161"/>
    <n v="5161"/>
    <n v="10322"/>
    <n v="5061"/>
    <n v="0"/>
    <n v="0"/>
    <n v="1"/>
    <n v="0"/>
    <n v="0"/>
    <n v="10322"/>
    <n v="4622"/>
  </r>
  <r>
    <s v="29/01/2014"/>
    <s v="AI0043880"/>
    <m/>
    <m/>
    <s v="Anand  Kiran Mr."/>
    <x v="29"/>
    <s v="6E"/>
    <s v="6EK8DE2D"/>
    <s v="03-02-14"/>
    <n v="9128"/>
    <n v="1311"/>
    <n v="10439"/>
    <n v="10439"/>
    <n v="10439"/>
    <n v="0"/>
    <n v="0"/>
    <n v="1"/>
    <n v="0"/>
    <n v="0"/>
    <n v="10439"/>
    <n v="0"/>
    <n v="0"/>
  </r>
  <r>
    <s v="31/05/2013"/>
    <s v="AI0009387"/>
    <s v="AR0001253"/>
    <m/>
    <s v="Anand  Kiran Mr."/>
    <x v="7"/>
    <s v="6E"/>
    <s v="6EMTTKCN"/>
    <s v="04-JUN-13"/>
    <n v="5924"/>
    <n v="1024"/>
    <n v="6948"/>
    <n v="7234"/>
    <n v="6948"/>
    <n v="6848"/>
    <n v="0"/>
    <n v="1"/>
    <n v="0"/>
    <n v="0"/>
    <n v="6948"/>
    <n v="0"/>
    <n v="0"/>
  </r>
  <r>
    <s v="31/05/2013"/>
    <s v="AI0009389"/>
    <m/>
    <m/>
    <s v="Anand  Kiran Mr."/>
    <x v="7"/>
    <s v="6E"/>
    <s v="6EZTW6ER"/>
    <s v="04-JUN-13"/>
    <n v="5924"/>
    <n v="1024"/>
    <n v="6948"/>
    <n v="7234"/>
    <n v="6948"/>
    <m/>
    <n v="0"/>
    <n v="1"/>
    <n v="0"/>
    <n v="0"/>
    <n v="6948"/>
    <n v="0"/>
    <n v="0"/>
  </r>
  <r>
    <s v="17/09/2013"/>
    <s v="AI0024674"/>
    <m/>
    <m/>
    <s v="Anand  Kiran Mr."/>
    <x v="7"/>
    <s v="6E"/>
    <s v="6EY24SSC"/>
    <s v="20-SEP-13"/>
    <n v="6306"/>
    <n v="1045"/>
    <n v="7351"/>
    <n v="7234"/>
    <n v="7351"/>
    <n v="0"/>
    <n v="0"/>
    <n v="1"/>
    <n v="0"/>
    <n v="0"/>
    <n v="7351"/>
    <n v="0"/>
    <n v="0"/>
  </r>
  <r>
    <s v="28/01/2014"/>
    <s v="AI0043742"/>
    <m/>
    <m/>
    <s v="Anand  Kiran Mr."/>
    <x v="7"/>
    <s v="6E"/>
    <s v="6EG7H7PW"/>
    <s v="29-01-14"/>
    <n v="5816"/>
    <n v="1139"/>
    <n v="6955"/>
    <n v="7234"/>
    <n v="6955"/>
    <n v="0"/>
    <n v="0"/>
    <n v="1"/>
    <n v="0"/>
    <n v="0"/>
    <n v="6955"/>
    <n v="0"/>
    <n v="0"/>
  </r>
  <r>
    <s v="21/01/2014"/>
    <s v="AI0042651"/>
    <m/>
    <m/>
    <s v="Anand  Kiran Mr."/>
    <x v="30"/>
    <s v="6E"/>
    <s v="6EP3BR8F"/>
    <s v="21-02-14"/>
    <n v="2150"/>
    <n v="4717"/>
    <n v="6867"/>
    <n v="6867"/>
    <n v="6867"/>
    <n v="0"/>
    <n v="0"/>
    <n v="1"/>
    <n v="0"/>
    <n v="0"/>
    <n v="6867"/>
    <n v="0"/>
    <n v="0"/>
  </r>
  <r>
    <s v="02/12/2013"/>
    <s v="AI0036056"/>
    <s v="AR0005541"/>
    <m/>
    <s v="Anand  Kiran Mr."/>
    <x v="19"/>
    <s v="6E"/>
    <s v="6EX2WBHY"/>
    <s v="19-DEC-13"/>
    <n v="4360"/>
    <n v="1078"/>
    <n v="5438"/>
    <n v="5438"/>
    <n v="21752"/>
    <n v="21352"/>
    <n v="0"/>
    <n v="0"/>
    <n v="1"/>
    <n v="0"/>
    <n v="0"/>
    <n v="21752"/>
    <n v="15752"/>
  </r>
  <r>
    <s v="17/12/2013"/>
    <s v="AI0038205"/>
    <s v="AR0005604"/>
    <m/>
    <s v="Anand  Kiran Mr."/>
    <x v="19"/>
    <s v="6E"/>
    <s v="6EE9DU3N"/>
    <s v="19-DEC-13"/>
    <n v="4360"/>
    <n v="1078"/>
    <n v="5438"/>
    <n v="5438"/>
    <n v="21752"/>
    <n v="5338"/>
    <n v="0"/>
    <n v="0"/>
    <n v="1"/>
    <n v="0"/>
    <n v="0"/>
    <n v="21752"/>
    <n v="15752"/>
  </r>
  <r>
    <s v="28/01/2014"/>
    <s v="AI0043725"/>
    <s v="AR0006432"/>
    <m/>
    <s v="Anand  Kiran Mr."/>
    <x v="31"/>
    <s v="6E"/>
    <s v="6EVB9PFN"/>
    <s v="03-02-14"/>
    <n v="4360"/>
    <n v="925"/>
    <n v="5285"/>
    <n v="5455"/>
    <n v="5285"/>
    <n v="5185"/>
    <n v="0"/>
    <n v="1"/>
    <n v="0"/>
    <n v="0"/>
    <n v="5285"/>
    <n v="0"/>
    <n v="0"/>
  </r>
  <r>
    <s v="28/01/2014"/>
    <s v="VI0003637"/>
    <m/>
    <m/>
    <s v="Anandkirannijegal Mr."/>
    <x v="32"/>
    <s v=""/>
    <s v="Switzerland"/>
    <s v=""/>
    <n v="6492"/>
    <n v="1008"/>
    <n v="7500"/>
    <n v="7500"/>
    <n v="7500"/>
    <n v="0"/>
    <n v="0"/>
    <n v="1"/>
    <n v="0"/>
    <n v="0"/>
    <n v="7500"/>
    <n v="0"/>
    <n v="0"/>
  </r>
  <r>
    <s v="30/09/2013"/>
    <s v="AI0026978"/>
    <m/>
    <m/>
    <s v="Aparna  Jha Ms."/>
    <x v="6"/>
    <s v="6E"/>
    <s v="6EO2IIPR"/>
    <s v="01-OCT-13"/>
    <n v="6256"/>
    <n v="960"/>
    <n v="7216"/>
    <n v="7412.5"/>
    <n v="7216"/>
    <n v="0"/>
    <n v="0"/>
    <n v="1"/>
    <n v="0"/>
    <n v="0"/>
    <n v="7216"/>
    <n v="0"/>
    <n v="0"/>
  </r>
  <r>
    <s v="30/09/2013"/>
    <s v="AI0026980"/>
    <m/>
    <m/>
    <s v="Aparna  Jha Ms."/>
    <x v="7"/>
    <s v="6E"/>
    <s v="6ED2HQMH"/>
    <s v="01-OCT-13"/>
    <n v="6306"/>
    <n v="1045"/>
    <n v="7351"/>
    <n v="7234"/>
    <n v="7351"/>
    <n v="0"/>
    <n v="0"/>
    <n v="1"/>
    <n v="0"/>
    <n v="0"/>
    <n v="7351"/>
    <n v="0"/>
    <n v="0"/>
  </r>
  <r>
    <s v="16/01/2014"/>
    <s v="AI0041839"/>
    <m/>
    <m/>
    <s v="Arthideiva  Sigamani Ms."/>
    <x v="9"/>
    <s v="6E"/>
    <s v="6EE1WGNY1"/>
    <s v="22-JAN-14"/>
    <n v="8670"/>
    <n v="2108"/>
    <n v="10778"/>
    <n v="10597"/>
    <n v="10778"/>
    <n v="0"/>
    <n v="0"/>
    <n v="1"/>
    <n v="0"/>
    <n v="0"/>
    <n v="10778"/>
    <n v="0"/>
    <n v="0"/>
  </r>
  <r>
    <s v="10/07/2013"/>
    <s v="AI0014902"/>
    <m/>
    <m/>
    <s v="Arumugam Harsha Mr."/>
    <x v="6"/>
    <s v="6E"/>
    <s v="6EQZ74PR"/>
    <s v="10/07/2013"/>
    <n v="5864"/>
    <n v="937"/>
    <n v="6801"/>
    <n v="7412.5"/>
    <n v="6801"/>
    <m/>
    <n v="0"/>
    <n v="1"/>
    <n v="0"/>
    <n v="0"/>
    <n v="6801"/>
    <n v="0"/>
    <n v="0"/>
  </r>
  <r>
    <s v="22/05/2013"/>
    <s v="AI0007970"/>
    <m/>
    <m/>
    <s v="Arumugam Harsha Mr."/>
    <x v="8"/>
    <s v="6E"/>
    <s v="6EOT96AN"/>
    <s v="28-MAY-13"/>
    <n v="11798"/>
    <n v="1960"/>
    <n v="13758"/>
    <n v="14406"/>
    <n v="13758"/>
    <m/>
    <n v="0"/>
    <n v="1"/>
    <n v="0"/>
    <n v="0"/>
    <n v="13758"/>
    <n v="0"/>
    <n v="0"/>
  </r>
  <r>
    <s v="06/12/2013"/>
    <s v="AI0036770"/>
    <m/>
    <m/>
    <s v="Arumugam Harsha Mr."/>
    <x v="33"/>
    <s v="MH"/>
    <s v="2324340765299"/>
    <s v="11-DEC-13"/>
    <n v="22665"/>
    <n v="4835"/>
    <n v="27500"/>
    <n v="33500"/>
    <n v="27500"/>
    <n v="0"/>
    <n v="1"/>
    <n v="0"/>
    <n v="0"/>
    <n v="27500"/>
    <n v="0"/>
    <n v="0"/>
    <n v="0"/>
  </r>
  <r>
    <s v="11/12/2013"/>
    <s v="AI0037351"/>
    <m/>
    <m/>
    <s v="Arumugam Harsha Mr."/>
    <x v="34"/>
    <s v="SQ"/>
    <s v="6184340925076"/>
    <s v="16-DEC-13"/>
    <n v="24500"/>
    <n v="23000"/>
    <n v="47500"/>
    <n v="37293"/>
    <n v="47500"/>
    <n v="0"/>
    <n v="0"/>
    <n v="0"/>
    <n v="1"/>
    <n v="0"/>
    <n v="0"/>
    <n v="47500"/>
    <n v="6400"/>
  </r>
  <r>
    <s v="10/07/2013"/>
    <s v="AI0014885"/>
    <m/>
    <m/>
    <s v="Arumugam Harsha Mr."/>
    <x v="7"/>
    <s v="6E"/>
    <s v="6EIZ84SN1"/>
    <s v="10/07/2013"/>
    <n v="744"/>
    <n v="2572"/>
    <n v="3316"/>
    <n v="7234"/>
    <n v="3316"/>
    <m/>
    <n v="1"/>
    <n v="0"/>
    <n v="0"/>
    <n v="3316"/>
    <n v="0"/>
    <n v="0"/>
    <n v="0"/>
  </r>
  <r>
    <s v="19/04/2013"/>
    <s v="AI0003250"/>
    <m/>
    <m/>
    <s v="Atish  Mukherjee Mr."/>
    <x v="6"/>
    <s v="6E"/>
    <s v="6EARN6LX"/>
    <s v="23-APR-13"/>
    <n v="5482"/>
    <n v="916"/>
    <n v="6398"/>
    <n v="7412.5"/>
    <n v="6398"/>
    <m/>
    <n v="1"/>
    <n v="0"/>
    <n v="0"/>
    <n v="6398"/>
    <n v="0"/>
    <n v="0"/>
    <n v="0"/>
  </r>
  <r>
    <s v="08/04/2013"/>
    <s v="AI0001442"/>
    <m/>
    <s v="INTERNAL"/>
    <s v="Atish  Mukherjee Mr."/>
    <x v="8"/>
    <s v="6E"/>
    <s v="6EFR1UDW"/>
    <s v="09-APR-13"/>
    <n v="10814"/>
    <n v="1905"/>
    <n v="12719"/>
    <n v="14406"/>
    <n v="12719"/>
    <m/>
    <n v="1"/>
    <n v="0"/>
    <n v="0"/>
    <n v="12719"/>
    <n v="0"/>
    <n v="0"/>
    <n v="0"/>
  </r>
  <r>
    <s v="10/06/2013"/>
    <s v="AI0010613"/>
    <m/>
    <m/>
    <s v="Atish  Mukherjee Mr."/>
    <x v="7"/>
    <s v="6E"/>
    <s v="6ELTU7AR"/>
    <s v="16-JUN-13"/>
    <n v="5924"/>
    <n v="1024"/>
    <n v="6948"/>
    <n v="7234"/>
    <n v="6948"/>
    <m/>
    <n v="0"/>
    <n v="1"/>
    <n v="0"/>
    <n v="0"/>
    <n v="6948"/>
    <n v="0"/>
    <n v="0"/>
  </r>
  <r>
    <s v="24/06/2013"/>
    <s v="AI0012653"/>
    <m/>
    <m/>
    <s v="Atish  Mukherjee Mr."/>
    <x v="7"/>
    <s v="6E"/>
    <s v="6EPUNGER"/>
    <s v="30-JUN-13"/>
    <n v="5914"/>
    <n v="1023"/>
    <n v="6937"/>
    <n v="7234"/>
    <n v="6937"/>
    <m/>
    <n v="0"/>
    <n v="1"/>
    <n v="0"/>
    <n v="0"/>
    <n v="6937"/>
    <n v="0"/>
    <n v="0"/>
  </r>
  <r>
    <s v="22/04/2013"/>
    <s v="AI0003589"/>
    <m/>
    <m/>
    <s v="Atish  Mukherjee Mr."/>
    <x v="19"/>
    <s v="SG"/>
    <s v="775CCTE8R"/>
    <s v="24-APR-13"/>
    <n v="2140"/>
    <n v="2949"/>
    <n v="5089"/>
    <n v="5438"/>
    <n v="5089"/>
    <m/>
    <n v="0"/>
    <n v="1"/>
    <n v="0"/>
    <n v="0"/>
    <n v="5089"/>
    <n v="0"/>
    <n v="0"/>
  </r>
  <r>
    <s v="22/01/2014"/>
    <s v="AI0042608"/>
    <m/>
    <m/>
    <s v="Bandyopadhyay   Anantadeb  Mr."/>
    <x v="35"/>
    <s v="9W"/>
    <s v="5894342458274"/>
    <s v="06-02-14"/>
    <n v="7400"/>
    <n v="3480"/>
    <n v="10880"/>
    <n v="11722"/>
    <n v="21760"/>
    <n v="0"/>
    <n v="0"/>
    <n v="0"/>
    <n v="1"/>
    <n v="0"/>
    <n v="0"/>
    <n v="21760"/>
    <n v="8860"/>
  </r>
  <r>
    <s v="16/01/2014"/>
    <s v="AI0041798"/>
    <m/>
    <m/>
    <s v="Banerjee   Abir  Mr."/>
    <x v="8"/>
    <s v="9W"/>
    <s v="5894342108891"/>
    <s v="17-JAN-14"/>
    <n v="10800"/>
    <n v="3669"/>
    <n v="14469"/>
    <n v="14406"/>
    <n v="14469"/>
    <n v="0"/>
    <n v="0"/>
    <n v="1"/>
    <n v="0"/>
    <n v="0"/>
    <n v="14469"/>
    <n v="0"/>
    <n v="0"/>
  </r>
  <r>
    <s v="11/02/2014"/>
    <s v="AI0045992"/>
    <m/>
    <m/>
    <s v="Banerjee   Abir  Mr."/>
    <x v="8"/>
    <s v="9W"/>
    <s v="5894343391085"/>
    <s v="12-02-14"/>
    <n v="10800"/>
    <n v="3669"/>
    <n v="14469"/>
    <n v="14406"/>
    <n v="14469"/>
    <n v="0"/>
    <n v="0"/>
    <n v="1"/>
    <n v="0"/>
    <n v="0"/>
    <n v="14469"/>
    <n v="0"/>
    <n v="0"/>
  </r>
  <r>
    <s v="08/07/2013"/>
    <s v="AI0014572"/>
    <m/>
    <m/>
    <s v="Barai Samapti Ms."/>
    <x v="6"/>
    <s v="9W"/>
    <s v="5893976187170"/>
    <s v="08/07/2013"/>
    <n v="3010"/>
    <n v="2983"/>
    <n v="5993"/>
    <n v="7412.5"/>
    <n v="5993"/>
    <m/>
    <n v="1"/>
    <n v="0"/>
    <n v="0"/>
    <n v="5993"/>
    <n v="0"/>
    <n v="0"/>
    <n v="0"/>
  </r>
  <r>
    <s v="08/10/2013"/>
    <s v="AI0028047"/>
    <m/>
    <m/>
    <s v="Barai Samapti Ms."/>
    <x v="6"/>
    <s v="AI"/>
    <s v="0984147816675"/>
    <s v="10-OCT-13"/>
    <n v="4820"/>
    <n v="3136"/>
    <n v="7956"/>
    <n v="7412.5"/>
    <n v="15982"/>
    <n v="0"/>
    <n v="0"/>
    <n v="0"/>
    <n v="1"/>
    <n v="0"/>
    <n v="0"/>
    <n v="15982"/>
    <n v="7782"/>
  </r>
  <r>
    <s v="08/11/2013"/>
    <s v="AI0032255"/>
    <m/>
    <m/>
    <s v="Barai Samapti Ms."/>
    <x v="6"/>
    <s v="9W"/>
    <s v="5894339562792"/>
    <s v="12-NOV-13"/>
    <n v="6100"/>
    <n v="1896"/>
    <n v="7996"/>
    <n v="7412.5"/>
    <n v="15992"/>
    <n v="0"/>
    <n v="0"/>
    <n v="0"/>
    <n v="1"/>
    <n v="0"/>
    <n v="0"/>
    <n v="15992"/>
    <n v="7792"/>
  </r>
  <r>
    <s v="08/01/2014"/>
    <s v="AI0040612"/>
    <m/>
    <m/>
    <s v="Barai Samapti Ms."/>
    <x v="6"/>
    <s v="9W"/>
    <s v="5894341697668"/>
    <s v="10-JAN-14"/>
    <n v="6100"/>
    <n v="1896"/>
    <n v="7996"/>
    <n v="7412.5"/>
    <n v="7996"/>
    <m/>
    <n v="0"/>
    <n v="1"/>
    <n v="0"/>
    <n v="0"/>
    <n v="7996"/>
    <n v="0"/>
    <n v="0"/>
  </r>
  <r>
    <s v="17/01/2014"/>
    <s v="AI0042068"/>
    <m/>
    <m/>
    <s v="Barai Samapti Ms."/>
    <x v="8"/>
    <s v="6E"/>
    <s v="6EG4KKFP"/>
    <s v="20-JAN-14"/>
    <n v="7580"/>
    <n v="7083"/>
    <n v="14663"/>
    <n v="14406"/>
    <n v="14663"/>
    <n v="0"/>
    <n v="0"/>
    <n v="1"/>
    <n v="0"/>
    <n v="0"/>
    <n v="14663"/>
    <n v="0"/>
    <n v="0"/>
  </r>
  <r>
    <s v="29/01/2014"/>
    <s v="AI0043840"/>
    <m/>
    <m/>
    <s v="Barai Samapti Ms."/>
    <x v="8"/>
    <s v="9W"/>
    <s v="5894342956280"/>
    <s v="31-01-14"/>
    <n v="11430"/>
    <n v="3704"/>
    <n v="15134"/>
    <n v="14406"/>
    <n v="15134"/>
    <n v="0"/>
    <n v="0"/>
    <n v="1"/>
    <n v="0"/>
    <n v="0"/>
    <n v="15134"/>
    <n v="0"/>
    <n v="0"/>
  </r>
  <r>
    <s v="10/12/2013"/>
    <s v="AI0037350"/>
    <m/>
    <m/>
    <s v="Barai Samapti Ms."/>
    <x v="36"/>
    <s v="9W"/>
    <s v="5894340894579"/>
    <s v="11-DEC-13"/>
    <n v="30630"/>
    <n v="11570"/>
    <n v="42200"/>
    <n v="42200"/>
    <n v="42200"/>
    <n v="0"/>
    <n v="0"/>
    <n v="1"/>
    <n v="0"/>
    <n v="0"/>
    <n v="42200"/>
    <n v="0"/>
    <n v="0"/>
  </r>
  <r>
    <s v="16/09/2013"/>
    <s v="AI0024434"/>
    <s v="AR0003438"/>
    <m/>
    <s v="Barai Samapti Ms."/>
    <x v="16"/>
    <s v="6E"/>
    <s v="6EK271MW"/>
    <s v="17-SEP-13"/>
    <n v="18306"/>
    <n v="3030"/>
    <n v="21336"/>
    <n v="20521"/>
    <n v="21336"/>
    <n v="10399"/>
    <n v="0"/>
    <n v="1"/>
    <n v="0"/>
    <n v="0"/>
    <n v="21336"/>
    <n v="0"/>
    <n v="0"/>
  </r>
  <r>
    <s v="12/02/2014"/>
    <s v="AI0046086"/>
    <m/>
    <m/>
    <s v="Barai Samapti Ms."/>
    <x v="16"/>
    <s v="6E"/>
    <s v="6ERDG53E"/>
    <s v="13-02-14"/>
    <n v="17592"/>
    <n v="2991"/>
    <n v="20583"/>
    <n v="20521"/>
    <n v="20583"/>
    <n v="0"/>
    <n v="0"/>
    <n v="1"/>
    <n v="0"/>
    <n v="0"/>
    <n v="20583"/>
    <n v="0"/>
    <n v="0"/>
  </r>
  <r>
    <s v="01/08/2013"/>
    <s v="AI0018522"/>
    <m/>
    <m/>
    <s v="Barai Samapti Ms."/>
    <x v="34"/>
    <s v="SQ"/>
    <s v="6184144934344"/>
    <s v="03-AUG-13"/>
    <n v="19000"/>
    <n v="18975"/>
    <n v="37975"/>
    <n v="37293"/>
    <n v="37975"/>
    <m/>
    <n v="0"/>
    <n v="1"/>
    <n v="0"/>
    <n v="0"/>
    <n v="37975"/>
    <n v="0"/>
    <n v="0"/>
  </r>
  <r>
    <s v="02/08/2013"/>
    <s v="AI0018521"/>
    <m/>
    <m/>
    <s v="Barai Samapti Ms."/>
    <x v="34"/>
    <s v="SQ"/>
    <s v="6184145062027"/>
    <s v="12-AUG-13"/>
    <n v="16000"/>
    <n v="21786"/>
    <n v="37786"/>
    <n v="37293"/>
    <n v="37786"/>
    <m/>
    <n v="0"/>
    <n v="1"/>
    <n v="0"/>
    <n v="0"/>
    <n v="37786"/>
    <n v="0"/>
    <n v="0"/>
  </r>
  <r>
    <s v="08/08/2013"/>
    <s v="AI0019406"/>
    <m/>
    <m/>
    <s v="Barai Samapti Ms."/>
    <x v="34"/>
    <s v="SQ"/>
    <s v="6184145349924"/>
    <s v="13-AUG-13"/>
    <n v="0"/>
    <n v="2000"/>
    <n v="2000"/>
    <n v="37293"/>
    <n v="2000"/>
    <m/>
    <n v="1"/>
    <n v="0"/>
    <n v="0"/>
    <n v="2000"/>
    <n v="0"/>
    <n v="0"/>
    <n v="0"/>
  </r>
  <r>
    <s v="28/01/2014"/>
    <s v="AI0043828"/>
    <m/>
    <m/>
    <s v="Barai Samapti Ms."/>
    <x v="34"/>
    <s v="SQ"/>
    <s v="6184342903867"/>
    <s v="04-02-14"/>
    <n v="16000"/>
    <n v="21800"/>
    <n v="37800"/>
    <n v="37293"/>
    <n v="37800"/>
    <n v="0"/>
    <n v="0"/>
    <n v="1"/>
    <n v="0"/>
    <n v="0"/>
    <n v="37800"/>
    <n v="0"/>
    <n v="0"/>
  </r>
  <r>
    <s v="08/07/2013"/>
    <s v="AI0014507"/>
    <m/>
    <m/>
    <s v="Barai Samapti Ms."/>
    <x v="7"/>
    <s v="6E"/>
    <s v="6ETZ5FMB1"/>
    <s v="08/07/2013"/>
    <n v="745"/>
    <n v="2572"/>
    <n v="3317"/>
    <n v="7234"/>
    <n v="3317"/>
    <m/>
    <n v="1"/>
    <n v="0"/>
    <n v="0"/>
    <n v="3317"/>
    <n v="0"/>
    <n v="0"/>
    <n v="0"/>
  </r>
  <r>
    <s v="08/10/2013"/>
    <s v="AI0028047"/>
    <m/>
    <m/>
    <s v="Barai Samapti Ms."/>
    <x v="7"/>
    <s v="9W"/>
    <s v="5894147816676"/>
    <s v="10-OCT-13"/>
    <n v="6050"/>
    <n v="1976"/>
    <n v="8026"/>
    <n v="7234"/>
    <n v="8026"/>
    <n v="0"/>
    <n v="0"/>
    <n v="0"/>
    <n v="1"/>
    <n v="0"/>
    <n v="0"/>
    <n v="8026"/>
    <n v="26"/>
  </r>
  <r>
    <s v="08/11/2013"/>
    <s v="AI0032276"/>
    <s v="AR0005030"/>
    <m/>
    <s v="Barai Samapti Ms."/>
    <x v="7"/>
    <s v="AI"/>
    <s v="0984339562795"/>
    <s v="13-NOV-13"/>
    <n v="4620"/>
    <n v="3208"/>
    <n v="7828"/>
    <n v="7234"/>
    <n v="7828"/>
    <n v="6128"/>
    <n v="0"/>
    <n v="1"/>
    <n v="0"/>
    <n v="0"/>
    <n v="7828"/>
    <n v="0"/>
    <n v="0"/>
  </r>
  <r>
    <s v="11/11/2013"/>
    <s v="AI0032740"/>
    <m/>
    <m/>
    <s v="Barai Samapti Ms."/>
    <x v="7"/>
    <s v="9W"/>
    <s v="5894339562862"/>
    <s v="12-NOV-13"/>
    <n v="6340"/>
    <n v="1992"/>
    <n v="8332"/>
    <n v="7234"/>
    <n v="8332"/>
    <n v="0"/>
    <n v="0"/>
    <n v="0"/>
    <n v="1"/>
    <n v="0"/>
    <n v="0"/>
    <n v="8332"/>
    <n v="332"/>
  </r>
  <r>
    <s v="08/01/2014"/>
    <s v="AI0040612"/>
    <m/>
    <m/>
    <s v="Barai Samapti Ms."/>
    <x v="7"/>
    <s v="9W"/>
    <s v="5894341697669"/>
    <s v="15-JAN-14"/>
    <n v="5300"/>
    <n v="1934"/>
    <n v="7234"/>
    <n v="7234"/>
    <n v="15230"/>
    <m/>
    <n v="0"/>
    <n v="0"/>
    <n v="1"/>
    <n v="0"/>
    <n v="0"/>
    <n v="15230"/>
    <n v="7230"/>
  </r>
  <r>
    <s v="30/01/2014"/>
    <s v="AI0044076"/>
    <m/>
    <m/>
    <s v="Barai Samapti Ms."/>
    <x v="7"/>
    <s v="6E"/>
    <s v="6EVDMN2E"/>
    <s v="04-02-14"/>
    <n v="5816"/>
    <n v="1139"/>
    <n v="6955"/>
    <n v="7234"/>
    <n v="6955"/>
    <n v="0"/>
    <n v="0"/>
    <n v="1"/>
    <n v="0"/>
    <n v="0"/>
    <n v="6955"/>
    <n v="0"/>
    <n v="0"/>
  </r>
  <r>
    <s v="17/09/2013"/>
    <s v="AI0024656"/>
    <m/>
    <m/>
    <s v="Barai Samapti Ms."/>
    <x v="24"/>
    <s v="6E"/>
    <s v="6EF26BPB"/>
    <s v="18-SEP-13"/>
    <n v="9178"/>
    <n v="1446"/>
    <n v="10624"/>
    <n v="10332"/>
    <n v="10624"/>
    <n v="0"/>
    <n v="0"/>
    <n v="1"/>
    <n v="0"/>
    <n v="0"/>
    <n v="10624"/>
    <n v="0"/>
    <n v="0"/>
  </r>
  <r>
    <s v="10/12/2013"/>
    <s v="VI0003143"/>
    <m/>
    <m/>
    <s v="Barai Samapti Ms."/>
    <x v="37"/>
    <s v=""/>
    <s v="Dubai"/>
    <s v=""/>
    <n v="4800"/>
    <n v="580"/>
    <n v="5380"/>
    <n v="5380"/>
    <n v="5380"/>
    <n v="0"/>
    <n v="0"/>
    <n v="1"/>
    <n v="0"/>
    <n v="0"/>
    <n v="5380"/>
    <n v="0"/>
    <n v="0"/>
  </r>
  <r>
    <s v="25/06/2013"/>
    <s v="AI0012792"/>
    <m/>
    <m/>
    <s v="Baweja   Gaurav  Mr."/>
    <x v="21"/>
    <s v="SG"/>
    <s v="775D7FKXW2"/>
    <s v="28-JUN-13"/>
    <n v="4487"/>
    <n v="5560"/>
    <n v="10047"/>
    <n v="10605"/>
    <n v="10047"/>
    <m/>
    <n v="0"/>
    <n v="1"/>
    <n v="0"/>
    <n v="0"/>
    <n v="10047"/>
    <n v="0"/>
    <n v="0"/>
  </r>
  <r>
    <s v="25/06/2013"/>
    <s v="AI0012792"/>
    <m/>
    <m/>
    <s v="Baweja   Gaurav  Mr."/>
    <x v="24"/>
    <s v="9W"/>
    <s v="5893975712796"/>
    <s v="28-JUN-13"/>
    <n v="6470"/>
    <n v="4551"/>
    <n v="11021"/>
    <n v="10332"/>
    <n v="11021"/>
    <m/>
    <n v="0"/>
    <n v="1"/>
    <n v="0"/>
    <n v="0"/>
    <n v="11021"/>
    <n v="0"/>
    <n v="0"/>
  </r>
  <r>
    <s v="08/01/2014"/>
    <s v="AI0040754"/>
    <m/>
    <m/>
    <s v="Bellani Vishal Mr ."/>
    <x v="6"/>
    <s v="9W"/>
    <s v="5894341697683"/>
    <s v="09-JAN-14"/>
    <n v="6100"/>
    <n v="1896"/>
    <n v="7996"/>
    <n v="7412.5"/>
    <n v="7996"/>
    <m/>
    <n v="0"/>
    <n v="1"/>
    <n v="0"/>
    <n v="0"/>
    <n v="7996"/>
    <n v="0"/>
    <n v="0"/>
  </r>
  <r>
    <s v="06/02/2014"/>
    <s v="AI0045259"/>
    <s v="AR0006701"/>
    <m/>
    <s v="Bellani Vishal Mr ."/>
    <x v="6"/>
    <s v="9W"/>
    <s v="5894342969681"/>
    <s v="07-02-14"/>
    <n v="6400"/>
    <n v="1912"/>
    <n v="8312"/>
    <n v="7412.5"/>
    <n v="8312"/>
    <n v="6562"/>
    <n v="0"/>
    <n v="0"/>
    <n v="1"/>
    <n v="0"/>
    <n v="0"/>
    <n v="8312"/>
    <n v="112"/>
  </r>
  <r>
    <s v="29/01/2014"/>
    <s v="AI0043853"/>
    <m/>
    <m/>
    <s v="Bellani Vishal Mr ."/>
    <x v="8"/>
    <s v="9W"/>
    <s v="5894342956252"/>
    <s v="30-01-14"/>
    <n v="10800"/>
    <n v="3668"/>
    <n v="14468"/>
    <n v="14406"/>
    <n v="14468"/>
    <n v="0"/>
    <n v="0"/>
    <n v="1"/>
    <n v="0"/>
    <n v="0"/>
    <n v="14468"/>
    <n v="0"/>
    <n v="0"/>
  </r>
  <r>
    <s v="17/01/2014"/>
    <s v="AI0042096"/>
    <m/>
    <m/>
    <s v="Bellani Vishal Mr ."/>
    <x v="38"/>
    <s v="9W"/>
    <s v="5894342242974"/>
    <s v="20-JAN-14"/>
    <n v="6465"/>
    <n v="22035"/>
    <n v="28500"/>
    <n v="28500"/>
    <n v="28500"/>
    <n v="0"/>
    <n v="0"/>
    <n v="1"/>
    <n v="0"/>
    <n v="0"/>
    <n v="28500"/>
    <n v="0"/>
    <n v="0"/>
  </r>
  <r>
    <s v="26/02/2014"/>
    <s v="AI0048458"/>
    <m/>
    <m/>
    <s v="Bellani Vishal Mr ."/>
    <x v="21"/>
    <s v="6E"/>
    <s v="6EG9WL3N"/>
    <s v="28-FEB-14"/>
    <n v="7550"/>
    <n v="4601"/>
    <n v="12151"/>
    <n v="10605"/>
    <n v="12151"/>
    <e v="#REF!"/>
    <n v="0"/>
    <n v="0"/>
    <n v="1"/>
    <n v="0"/>
    <n v="0"/>
    <n v="12151"/>
    <n v="451"/>
  </r>
  <r>
    <s v="12/02/2014"/>
    <s v="AI0046070"/>
    <m/>
    <m/>
    <s v="Bellani Vishal Mr ."/>
    <x v="16"/>
    <s v="6E"/>
    <s v="6EH391VV"/>
    <s v="13-02-14"/>
    <n v="17592"/>
    <n v="2991"/>
    <n v="20583"/>
    <n v="20521"/>
    <n v="20583"/>
    <n v="0"/>
    <n v="0"/>
    <n v="1"/>
    <n v="0"/>
    <n v="0"/>
    <n v="20583"/>
    <n v="0"/>
    <n v="0"/>
  </r>
  <r>
    <s v="13/01/2014"/>
    <s v="AI0041256"/>
    <m/>
    <m/>
    <s v="Bellani Vishal Mr ."/>
    <x v="7"/>
    <s v="9W"/>
    <s v="5894342108763"/>
    <s v="14-JAN-14"/>
    <n v="6100"/>
    <n v="1979"/>
    <n v="8079"/>
    <n v="7234"/>
    <n v="8079"/>
    <m/>
    <n v="0"/>
    <n v="0"/>
    <n v="1"/>
    <n v="0"/>
    <n v="0"/>
    <n v="8079"/>
    <n v="79"/>
  </r>
  <r>
    <s v="06/02/2014"/>
    <s v="AI0045322"/>
    <s v="AR0006667"/>
    <m/>
    <s v="Bellani Vishal Mr ."/>
    <x v="7"/>
    <s v="6E"/>
    <s v="6ENBT8KK"/>
    <s v="07-02-14"/>
    <n v="4292"/>
    <n v="933"/>
    <n v="5225"/>
    <n v="7234"/>
    <n v="5225"/>
    <n v="5125"/>
    <n v="1"/>
    <n v="0"/>
    <n v="0"/>
    <n v="5225"/>
    <n v="0"/>
    <n v="0"/>
    <n v="0"/>
  </r>
  <r>
    <s v="26/02/2014"/>
    <s v="AI0048457"/>
    <m/>
    <m/>
    <s v="Bellani Vishal Mr ."/>
    <x v="24"/>
    <s v="9W"/>
    <s v="5894815144203"/>
    <s v="28-FEB-14"/>
    <n v="10840"/>
    <n v="4113"/>
    <n v="14953"/>
    <n v="10332"/>
    <n v="14953"/>
    <e v="#REF!"/>
    <n v="0"/>
    <n v="0"/>
    <n v="1"/>
    <n v="0"/>
    <n v="0"/>
    <n v="14953"/>
    <n v="3553"/>
  </r>
  <r>
    <s v="11/11/2013"/>
    <s v="AI0032634"/>
    <s v="AR0004968"/>
    <m/>
    <s v="Bhalla Ratti Ms ."/>
    <x v="6"/>
    <s v="9W"/>
    <s v="5894339562845"/>
    <s v="13-NOV-13"/>
    <n v="6100"/>
    <n v="1896"/>
    <n v="7996"/>
    <n v="7412.5"/>
    <n v="7996"/>
    <e v="#REF!"/>
    <n v="0"/>
    <n v="1"/>
    <n v="0"/>
    <n v="0"/>
    <n v="7996"/>
    <n v="0"/>
    <n v="0"/>
  </r>
  <r>
    <s v="12/11/2013"/>
    <s v="AI0032870"/>
    <m/>
    <m/>
    <s v="Bhalla Ratti Ms ."/>
    <x v="6"/>
    <s v="9W"/>
    <s v="5894339562887"/>
    <s v="14-NOV-13"/>
    <n v="6100"/>
    <n v="1896"/>
    <n v="7996"/>
    <n v="7412.5"/>
    <n v="16035"/>
    <n v="0"/>
    <n v="0"/>
    <n v="0"/>
    <n v="1"/>
    <n v="0"/>
    <n v="0"/>
    <n v="16035"/>
    <n v="7835"/>
  </r>
  <r>
    <s v="22/11/2013"/>
    <s v="AI0034778"/>
    <m/>
    <m/>
    <s v="Bhalla Ratti Ms ."/>
    <x v="6"/>
    <s v="6E"/>
    <s v="6EV92D4D"/>
    <s v="24-NOV-13"/>
    <n v="4450"/>
    <n v="3422"/>
    <n v="7872"/>
    <n v="7412.5"/>
    <n v="7872"/>
    <n v="0"/>
    <n v="0"/>
    <n v="1"/>
    <n v="0"/>
    <n v="0"/>
    <n v="7872"/>
    <n v="0"/>
    <n v="0"/>
  </r>
  <r>
    <s v="16/01/2014"/>
    <s v="AI0042220"/>
    <m/>
    <m/>
    <s v="Bhalla Ratti Ms ."/>
    <x v="6"/>
    <s v="6E"/>
    <s v="6EA24GTI"/>
    <s v="17-JAN-14"/>
    <n v="4450"/>
    <n v="3561"/>
    <n v="8011"/>
    <n v="7412.5"/>
    <n v="8011"/>
    <n v="0"/>
    <n v="0"/>
    <n v="1"/>
    <n v="0"/>
    <n v="0"/>
    <n v="8011"/>
    <n v="0"/>
    <n v="0"/>
  </r>
  <r>
    <s v="30/09/2013"/>
    <s v="AI0026875"/>
    <m/>
    <m/>
    <s v="Bhalla Ratti Ms ."/>
    <x v="8"/>
    <s v="6E"/>
    <s v="6EM2H3NA"/>
    <s v="01-OCT-13"/>
    <n v="12562"/>
    <n v="2003"/>
    <n v="14565"/>
    <n v="14406"/>
    <n v="14565"/>
    <n v="0"/>
    <n v="0"/>
    <n v="1"/>
    <n v="0"/>
    <n v="0"/>
    <n v="14565"/>
    <n v="0"/>
    <n v="0"/>
  </r>
  <r>
    <s v="09/10/2013"/>
    <s v="AI0028321"/>
    <m/>
    <m/>
    <s v="Bhalla Ratti Ms ."/>
    <x v="8"/>
    <s v="AI"/>
    <s v="0984148057139"/>
    <s v="10-OCT-13"/>
    <n v="7719"/>
    <n v="6121"/>
    <n v="13840"/>
    <n v="14406"/>
    <n v="13840"/>
    <n v="0"/>
    <n v="0"/>
    <n v="1"/>
    <n v="0"/>
    <n v="0"/>
    <n v="13840"/>
    <n v="0"/>
    <n v="0"/>
  </r>
  <r>
    <s v="24/02/2014"/>
    <s v="AI0047793"/>
    <m/>
    <m/>
    <s v="Bhalla Ratti Ms ."/>
    <x v="8"/>
    <s v="9W"/>
    <s v="5894815144124"/>
    <s v="25-FEB-14"/>
    <n v="10800"/>
    <n v="3669"/>
    <n v="14469"/>
    <n v="14406"/>
    <n v="14469"/>
    <e v="#REF!"/>
    <n v="0"/>
    <n v="1"/>
    <n v="0"/>
    <n v="0"/>
    <n v="14469"/>
    <n v="0"/>
    <n v="0"/>
  </r>
  <r>
    <s v="28/02/2014"/>
    <s v="AI0048583"/>
    <m/>
    <m/>
    <s v="Bhalla Ratti Ms ."/>
    <x v="8"/>
    <s v="9W"/>
    <s v="5894815563003"/>
    <s v="02-MAR-14"/>
    <n v="10800"/>
    <n v="3669"/>
    <n v="14469"/>
    <n v="14406"/>
    <n v="14469"/>
    <e v="#REF!"/>
    <n v="0"/>
    <n v="1"/>
    <n v="0"/>
    <n v="0"/>
    <n v="14469"/>
    <n v="0"/>
    <n v="0"/>
  </r>
  <r>
    <s v="18/10/2013"/>
    <s v="AI0029583"/>
    <m/>
    <m/>
    <s v="Bhalla Ratti Ms ."/>
    <x v="16"/>
    <s v="SG"/>
    <s v="775Q2T4VY"/>
    <s v="21-10-13"/>
    <n v="17412"/>
    <n v="2980"/>
    <n v="20392"/>
    <n v="20521"/>
    <n v="20392"/>
    <n v="0"/>
    <n v="0"/>
    <n v="1"/>
    <n v="0"/>
    <n v="0"/>
    <n v="20392"/>
    <n v="0"/>
    <n v="0"/>
  </r>
  <r>
    <s v="08/01/2014"/>
    <s v="AI0040784"/>
    <m/>
    <m/>
    <s v="Bhalla Ratti Ms ."/>
    <x v="16"/>
    <s v="9W"/>
    <s v="5894341890559"/>
    <s v="10-JAN-14"/>
    <n v="12800"/>
    <n v="7868"/>
    <n v="20668"/>
    <n v="20521"/>
    <n v="20668"/>
    <m/>
    <n v="0"/>
    <n v="1"/>
    <n v="0"/>
    <n v="0"/>
    <n v="20668"/>
    <n v="0"/>
    <n v="0"/>
  </r>
  <r>
    <s v="11/11/2013"/>
    <s v="AI0032634"/>
    <s v="AR0004969"/>
    <m/>
    <s v="Bhalla Ratti Ms ."/>
    <x v="7"/>
    <s v="9W"/>
    <s v="5894339562846"/>
    <s v="13-NOV-13"/>
    <n v="6100"/>
    <n v="1979"/>
    <n v="8079"/>
    <n v="7234"/>
    <n v="16075"/>
    <e v="#REF!"/>
    <n v="0"/>
    <n v="0"/>
    <n v="1"/>
    <n v="0"/>
    <n v="0"/>
    <n v="16075"/>
    <n v="8075"/>
  </r>
  <r>
    <s v="12/11/2013"/>
    <s v="AI0032870"/>
    <m/>
    <m/>
    <s v="Bhalla Ratti Ms ."/>
    <x v="7"/>
    <s v="AI"/>
    <s v="0984339562888"/>
    <s v="14-NOV-13"/>
    <n v="4820"/>
    <n v="3219"/>
    <n v="8039"/>
    <n v="7234"/>
    <n v="8039"/>
    <n v="0"/>
    <n v="0"/>
    <n v="0"/>
    <n v="1"/>
    <n v="0"/>
    <n v="0"/>
    <n v="8039"/>
    <n v="39"/>
  </r>
  <r>
    <s v="22/11/2013"/>
    <s v="AI0034780"/>
    <m/>
    <m/>
    <s v="Bhalla Ratti Ms ."/>
    <x v="7"/>
    <s v="9W"/>
    <s v="5894339996116"/>
    <s v="25-NOV-13"/>
    <n v="6100"/>
    <n v="1979"/>
    <n v="8079"/>
    <n v="7234"/>
    <n v="8079"/>
    <n v="0"/>
    <n v="0"/>
    <n v="0"/>
    <n v="1"/>
    <n v="0"/>
    <n v="0"/>
    <n v="8079"/>
    <n v="79"/>
  </r>
  <r>
    <s v="16/01/2014"/>
    <s v="AI0042226"/>
    <m/>
    <m/>
    <s v="Bhalla Ratti Ms ."/>
    <x v="7"/>
    <s v="9W"/>
    <s v="5894342108882"/>
    <s v="17-JAN-14"/>
    <n v="6550"/>
    <n v="2004"/>
    <n v="8554"/>
    <n v="7234"/>
    <n v="8554"/>
    <n v="0"/>
    <n v="0"/>
    <n v="0"/>
    <n v="1"/>
    <n v="0"/>
    <n v="0"/>
    <n v="8554"/>
    <n v="554"/>
  </r>
  <r>
    <s v="25/10/2013"/>
    <s v="AI0030443"/>
    <m/>
    <m/>
    <s v="Bhalla Ratti Ms ."/>
    <x v="22"/>
    <s v="9W"/>
    <s v="5894339005561"/>
    <s v="30-10-13"/>
    <n v="7650"/>
    <n v="3422"/>
    <n v="11072"/>
    <n v="10079"/>
    <n v="11072"/>
    <n v="0"/>
    <n v="0"/>
    <n v="1"/>
    <n v="0"/>
    <n v="0"/>
    <n v="11072"/>
    <n v="0"/>
    <n v="0"/>
  </r>
  <r>
    <s v="25/10/2013"/>
    <s v="AI0030446"/>
    <m/>
    <m/>
    <s v="Bhalla Ratti Ms ."/>
    <x v="24"/>
    <s v="AI"/>
    <s v="0984339005562"/>
    <s v="30-10-13"/>
    <n v="6440"/>
    <n v="5126"/>
    <n v="11566"/>
    <n v="10332"/>
    <n v="11566"/>
    <n v="0"/>
    <n v="0"/>
    <n v="0"/>
    <n v="1"/>
    <n v="0"/>
    <n v="0"/>
    <n v="11566"/>
    <n v="166"/>
  </r>
  <r>
    <s v="29/07/2013"/>
    <s v="AI0017473"/>
    <m/>
    <m/>
    <s v="Bhargav   Varun  Mr."/>
    <x v="28"/>
    <s v="6E"/>
    <s v="6EFZNZSS1"/>
    <s v="30-JUL-13"/>
    <n v="1418"/>
    <n v="3313"/>
    <n v="4731"/>
    <n v="9066"/>
    <n v="4731"/>
    <m/>
    <n v="1"/>
    <n v="0"/>
    <n v="0"/>
    <n v="4731"/>
    <n v="0"/>
    <n v="0"/>
    <n v="0"/>
  </r>
  <r>
    <s v="26/07/2013"/>
    <s v="AI0017363"/>
    <m/>
    <m/>
    <s v="Bhargav   Varun  Mr."/>
    <x v="39"/>
    <s v="6E"/>
    <s v="6EAZWNSA1"/>
    <s v="30-JUL-13"/>
    <n v="1418"/>
    <n v="3396"/>
    <n v="4814"/>
    <n v="9477"/>
    <n v="4814"/>
    <m/>
    <n v="1"/>
    <n v="0"/>
    <n v="0"/>
    <n v="4814"/>
    <n v="0"/>
    <n v="0"/>
    <n v="0"/>
  </r>
  <r>
    <s v="10/07/2013"/>
    <s v="AI0015024"/>
    <m/>
    <m/>
    <s v="Bhargav   Varun  Mr."/>
    <x v="6"/>
    <s v="6E"/>
    <s v="6ENZ7GTV2"/>
    <s v="10/07/2013"/>
    <n v="744"/>
    <n v="2427"/>
    <n v="3171"/>
    <n v="7412.5"/>
    <n v="3171"/>
    <m/>
    <n v="1"/>
    <n v="0"/>
    <n v="0"/>
    <n v="3171"/>
    <n v="0"/>
    <n v="0"/>
    <n v="0"/>
  </r>
  <r>
    <s v="08/08/2013"/>
    <s v="AI0019159"/>
    <s v="AR0002764"/>
    <m/>
    <s v="Bhaskar  Rajakumar Mr."/>
    <x v="8"/>
    <s v="6E"/>
    <s v="6EH12NTX"/>
    <s v="12-AUG-13"/>
    <n v="7956"/>
    <n v="1747"/>
    <n v="9703"/>
    <n v="14406"/>
    <n v="9703"/>
    <n v="4795"/>
    <n v="1"/>
    <n v="0"/>
    <n v="0"/>
    <n v="9703"/>
    <n v="0"/>
    <n v="0"/>
    <n v="0"/>
  </r>
  <r>
    <s v="31/05/2013"/>
    <s v="AI0009429"/>
    <m/>
    <m/>
    <s v="Bhaskar  Rajakumar Mr."/>
    <x v="7"/>
    <s v="6E"/>
    <s v="6EWTLIDV"/>
    <s v="04-JUN-13"/>
    <n v="5924"/>
    <n v="1024"/>
    <n v="6948"/>
    <n v="7234"/>
    <n v="6948"/>
    <m/>
    <n v="0"/>
    <n v="1"/>
    <n v="0"/>
    <n v="0"/>
    <n v="6948"/>
    <n v="0"/>
    <n v="0"/>
  </r>
  <r>
    <s v="23/09/2013"/>
    <s v="AI0025662"/>
    <m/>
    <m/>
    <s v="Bhaskar  Rajakumar Mr."/>
    <x v="7"/>
    <s v="G8"/>
    <s v="104F6IJS2"/>
    <s v="23-SEP-13"/>
    <n v="3940"/>
    <n v="3297"/>
    <n v="7237"/>
    <n v="7234"/>
    <n v="7237"/>
    <n v="0"/>
    <n v="0"/>
    <n v="1"/>
    <n v="0"/>
    <n v="0"/>
    <n v="7237"/>
    <n v="0"/>
    <n v="0"/>
  </r>
  <r>
    <s v="15/11/2013"/>
    <s v="AI0033508"/>
    <m/>
    <m/>
    <s v="Bhatt N   Sudhir  Mr."/>
    <x v="6"/>
    <s v="9W"/>
    <s v="5894339562964"/>
    <s v="19-NOV-13"/>
    <n v="6100"/>
    <n v="1896"/>
    <n v="7996"/>
    <n v="7412.5"/>
    <n v="15824"/>
    <n v="0"/>
    <n v="0"/>
    <n v="0"/>
    <n v="1"/>
    <n v="0"/>
    <n v="0"/>
    <n v="15824"/>
    <n v="7624"/>
  </r>
  <r>
    <s v="15/11/2013"/>
    <s v="AI0033508"/>
    <m/>
    <m/>
    <s v="Bhatt N   Sudhir  Mr."/>
    <x v="7"/>
    <s v="AI"/>
    <s v="0984339562965"/>
    <s v="19-NOV-13"/>
    <n v="4620"/>
    <n v="3208"/>
    <n v="7828"/>
    <n v="7234"/>
    <n v="7828"/>
    <n v="0"/>
    <n v="0"/>
    <n v="1"/>
    <n v="0"/>
    <n v="0"/>
    <n v="7828"/>
    <n v="0"/>
    <n v="0"/>
  </r>
  <r>
    <s v="14/02/2014"/>
    <s v="AI0046489"/>
    <m/>
    <m/>
    <s v="Bina Patil Mr."/>
    <x v="15"/>
    <s v="6E"/>
    <s v="6EX1P22L"/>
    <s v="21-02-14"/>
    <n v="17184"/>
    <n v="2049"/>
    <n v="19233"/>
    <n v="19030"/>
    <n v="38466"/>
    <n v="0"/>
    <n v="0"/>
    <n v="0"/>
    <n v="1"/>
    <n v="0"/>
    <n v="0"/>
    <n v="38466"/>
    <n v="17466"/>
  </r>
  <r>
    <s v="12/09/2013"/>
    <s v="AI0023986"/>
    <m/>
    <m/>
    <s v="Bina Patil Mr."/>
    <x v="6"/>
    <s v="AI"/>
    <s v="0984146953050"/>
    <s v="18-SEP-13"/>
    <n v="4110"/>
    <n v="3097"/>
    <n v="7207"/>
    <n v="7412.5"/>
    <n v="7207"/>
    <n v="0"/>
    <n v="0"/>
    <n v="1"/>
    <n v="0"/>
    <n v="0"/>
    <n v="7207"/>
    <n v="0"/>
    <n v="0"/>
  </r>
  <r>
    <s v="27/01/2014"/>
    <s v="AI0043359"/>
    <m/>
    <m/>
    <s v="Bina Patil Mr."/>
    <x v="8"/>
    <s v="G8"/>
    <s v="104YSYU552"/>
    <s v="29-01-14"/>
    <n v="8450"/>
    <n v="6979"/>
    <n v="15429"/>
    <n v="14406"/>
    <n v="15429"/>
    <n v="0"/>
    <n v="0"/>
    <n v="1"/>
    <n v="0"/>
    <n v="0"/>
    <n v="15429"/>
    <n v="0"/>
    <n v="0"/>
  </r>
  <r>
    <s v="02/12/2013"/>
    <s v="AI0036057"/>
    <m/>
    <m/>
    <s v="Bina Patil Mr."/>
    <x v="18"/>
    <s v="6E"/>
    <s v="6EXB6STA"/>
    <s v="18-DEC-13"/>
    <n v="4310"/>
    <n v="851"/>
    <n v="5161"/>
    <n v="5161"/>
    <n v="5161"/>
    <n v="0"/>
    <n v="0"/>
    <n v="1"/>
    <n v="0"/>
    <n v="0"/>
    <n v="5161"/>
    <n v="0"/>
    <n v="0"/>
  </r>
  <r>
    <s v="29/01/2014"/>
    <s v="AI0043879"/>
    <m/>
    <m/>
    <s v="Bina Patil Mr."/>
    <x v="40"/>
    <s v="6E"/>
    <s v="6EX2I4ML"/>
    <s v="03-02-14"/>
    <n v="18306"/>
    <n v="2371"/>
    <n v="20677"/>
    <n v="20677"/>
    <n v="41354"/>
    <n v="0"/>
    <n v="0"/>
    <n v="0"/>
    <n v="1"/>
    <n v="0"/>
    <n v="0"/>
    <n v="41354"/>
    <n v="18554"/>
  </r>
  <r>
    <s v="12/09/2013"/>
    <s v="AI0023994"/>
    <m/>
    <m/>
    <s v="Bina Patil Mr."/>
    <x v="7"/>
    <s v="AI"/>
    <s v="0984146953053"/>
    <s v="21-SEP-13"/>
    <n v="3130"/>
    <n v="3126"/>
    <n v="6256"/>
    <n v="7234"/>
    <n v="6256"/>
    <n v="0"/>
    <n v="1"/>
    <n v="0"/>
    <n v="0"/>
    <n v="6256"/>
    <n v="0"/>
    <n v="0"/>
    <n v="0"/>
  </r>
  <r>
    <s v="28/01/2014"/>
    <s v="AI0043595"/>
    <m/>
    <m/>
    <s v="Bina Patil Mr."/>
    <x v="7"/>
    <s v="6E"/>
    <s v="6EQ71J9J"/>
    <s v="29-01-14"/>
    <n v="5816"/>
    <n v="1139"/>
    <n v="6955"/>
    <n v="7234"/>
    <n v="20865"/>
    <n v="0"/>
    <n v="0"/>
    <n v="0"/>
    <n v="1"/>
    <n v="0"/>
    <n v="0"/>
    <n v="20865"/>
    <n v="12865"/>
  </r>
  <r>
    <s v="02/12/2013"/>
    <s v="AI0036056"/>
    <m/>
    <m/>
    <s v="Bina Patil Mr."/>
    <x v="19"/>
    <s v="6E"/>
    <s v="6EX2WBHY"/>
    <s v="19-DEC-13"/>
    <n v="4360"/>
    <n v="1078"/>
    <n v="5438"/>
    <n v="5438"/>
    <n v="5438"/>
    <n v="0"/>
    <n v="0"/>
    <n v="1"/>
    <n v="0"/>
    <n v="0"/>
    <n v="5438"/>
    <n v="0"/>
    <n v="0"/>
  </r>
  <r>
    <s v="17/12/2013"/>
    <s v="AI0038205"/>
    <m/>
    <m/>
    <s v="Bina Patil Mr."/>
    <x v="19"/>
    <s v="6E"/>
    <s v="6EE9DU3N"/>
    <s v="19-DEC-13"/>
    <n v="4360"/>
    <n v="1078"/>
    <n v="5438"/>
    <n v="5438"/>
    <n v="5438"/>
    <n v="0"/>
    <n v="0"/>
    <n v="1"/>
    <n v="0"/>
    <n v="0"/>
    <n v="5438"/>
    <n v="0"/>
    <n v="0"/>
  </r>
  <r>
    <s v="21/10/2013"/>
    <s v="AI0029931"/>
    <m/>
    <m/>
    <s v="Byrisetty Sunita Ms."/>
    <x v="17"/>
    <s v="CX"/>
    <s v="1604338903398"/>
    <s v="25-10-13"/>
    <n v="21880"/>
    <n v="23120"/>
    <n v="45000"/>
    <n v="45000"/>
    <n v="45000"/>
    <n v="0"/>
    <n v="0"/>
    <n v="1"/>
    <n v="0"/>
    <n v="0"/>
    <n v="45000"/>
    <n v="0"/>
    <n v="0"/>
  </r>
  <r>
    <s v="24/09/2013"/>
    <s v="AI0025809"/>
    <m/>
    <m/>
    <s v="Byrisetty Sunita Ms."/>
    <x v="41"/>
    <s v="9W"/>
    <s v="5894147356560"/>
    <s v="06-OCT-13"/>
    <n v="3600"/>
    <n v="1442"/>
    <n v="5042"/>
    <n v="5042"/>
    <n v="19830"/>
    <n v="0"/>
    <n v="0"/>
    <n v="0"/>
    <n v="1"/>
    <n v="0"/>
    <n v="0"/>
    <n v="19830"/>
    <n v="14230"/>
  </r>
  <r>
    <s v="24/09/2013"/>
    <s v="AI0025809"/>
    <m/>
    <m/>
    <s v="Byrisetty Sunita Ms."/>
    <x v="42"/>
    <s v="SG"/>
    <s v="775X9ZP8T3"/>
    <s v="06-OCT-13"/>
    <n v="2205"/>
    <n v="2668"/>
    <n v="4873"/>
    <n v="4873"/>
    <n v="4873"/>
    <n v="0"/>
    <n v="0"/>
    <n v="1"/>
    <n v="0"/>
    <n v="0"/>
    <n v="4873"/>
    <n v="0"/>
    <n v="0"/>
  </r>
  <r>
    <s v="24/04/2013"/>
    <s v="AI0003781"/>
    <m/>
    <m/>
    <s v="Chaudhari Vivek Mr ."/>
    <x v="6"/>
    <s v="9W"/>
    <s v="5893972579103"/>
    <s v="26-APR-13"/>
    <n v="4500"/>
    <n v="3171"/>
    <n v="7671"/>
    <n v="7412.5"/>
    <n v="7671"/>
    <m/>
    <n v="0"/>
    <n v="1"/>
    <n v="0"/>
    <n v="0"/>
    <n v="7671"/>
    <n v="0"/>
    <n v="0"/>
  </r>
  <r>
    <s v="02/05/2013"/>
    <s v="AI0004917"/>
    <m/>
    <m/>
    <s v="Chaudhari Vivek Mr ."/>
    <x v="6"/>
    <s v="9W"/>
    <s v="5893972579240"/>
    <s v="03-MAY-13"/>
    <n v="4500"/>
    <n v="3171"/>
    <n v="7671"/>
    <n v="7412.5"/>
    <n v="7671"/>
    <m/>
    <n v="0"/>
    <n v="1"/>
    <n v="0"/>
    <n v="0"/>
    <n v="7671"/>
    <n v="0"/>
    <n v="0"/>
  </r>
  <r>
    <s v="20/05/2013"/>
    <s v="AI0007412"/>
    <m/>
    <m/>
    <s v="Chaudhari Vivek Mr ."/>
    <x v="6"/>
    <s v="9W"/>
    <s v="5893973926372"/>
    <s v="24-MAY-13"/>
    <n v="4500"/>
    <n v="3171"/>
    <n v="7671"/>
    <n v="7412.5"/>
    <n v="7671"/>
    <m/>
    <n v="0"/>
    <n v="1"/>
    <n v="0"/>
    <n v="0"/>
    <n v="7671"/>
    <n v="0"/>
    <n v="0"/>
  </r>
  <r>
    <s v="23/05/2013"/>
    <s v="AI0008057"/>
    <m/>
    <m/>
    <s v="Chaudhari Vivek Mr ."/>
    <x v="6"/>
    <s v="9W"/>
    <s v="5893973926485"/>
    <s v="24-MAY-13"/>
    <n v="4500"/>
    <n v="3171"/>
    <n v="7671"/>
    <n v="7412.5"/>
    <n v="7671"/>
    <m/>
    <n v="0"/>
    <n v="1"/>
    <n v="0"/>
    <n v="0"/>
    <n v="7671"/>
    <n v="0"/>
    <n v="0"/>
  </r>
  <r>
    <s v="20/06/2013"/>
    <s v="AI0012240"/>
    <m/>
    <m/>
    <s v="Chaudhari Vivek Mr ."/>
    <x v="6"/>
    <s v="9W"/>
    <s v="5893975550331"/>
    <s v="24-JUN-13"/>
    <n v="4550"/>
    <n v="3121"/>
    <n v="7671"/>
    <n v="7412.5"/>
    <n v="7671"/>
    <m/>
    <n v="0"/>
    <n v="1"/>
    <n v="0"/>
    <n v="0"/>
    <n v="7671"/>
    <n v="0"/>
    <n v="0"/>
  </r>
  <r>
    <s v="08/07/2013"/>
    <s v="AI0014573"/>
    <m/>
    <m/>
    <s v="Chaudhari Vivek Mr ."/>
    <x v="6"/>
    <s v="9W"/>
    <s v="5893976187169"/>
    <s v="08/07/2013"/>
    <n v="3010"/>
    <n v="2983"/>
    <n v="5993"/>
    <n v="7412.5"/>
    <n v="5993"/>
    <m/>
    <n v="1"/>
    <n v="0"/>
    <n v="0"/>
    <n v="5993"/>
    <n v="0"/>
    <n v="0"/>
    <n v="0"/>
  </r>
  <r>
    <s v="17/07/2013"/>
    <s v="AI0015913"/>
    <m/>
    <m/>
    <s v="Chaudhari Vivek Mr ."/>
    <x v="6"/>
    <s v="9W"/>
    <s v="5893976529126"/>
    <s v="18-JUL-13"/>
    <n v="2540"/>
    <n v="1541"/>
    <n v="4081"/>
    <n v="7412.5"/>
    <n v="4081"/>
    <m/>
    <n v="1"/>
    <n v="0"/>
    <n v="0"/>
    <n v="4081"/>
    <n v="0"/>
    <n v="0"/>
    <n v="0"/>
  </r>
  <r>
    <s v="24/07/2013"/>
    <s v="AI0016937"/>
    <m/>
    <m/>
    <s v="Chaudhari Vivek Mr ."/>
    <x v="6"/>
    <s v="9W"/>
    <s v="5894144546054"/>
    <s v="24-JUL-13"/>
    <n v="1382"/>
    <n v="1477"/>
    <n v="2859"/>
    <n v="7412.5"/>
    <n v="2859"/>
    <m/>
    <n v="1"/>
    <n v="0"/>
    <n v="0"/>
    <n v="2859"/>
    <n v="0"/>
    <n v="0"/>
    <n v="0"/>
  </r>
  <r>
    <s v="01/08/2013"/>
    <s v="AI0018174"/>
    <m/>
    <m/>
    <s v="Chaudhari Vivek Mr ."/>
    <x v="6"/>
    <s v="9W"/>
    <s v="5894144900911"/>
    <s v="05-AUG-13"/>
    <n v="1382"/>
    <n v="1476"/>
    <n v="2858"/>
    <n v="7412.5"/>
    <n v="2858"/>
    <m/>
    <n v="1"/>
    <n v="0"/>
    <n v="0"/>
    <n v="2858"/>
    <n v="0"/>
    <n v="0"/>
    <n v="0"/>
  </r>
  <r>
    <s v="10/09/2013"/>
    <s v="AI0023504"/>
    <m/>
    <m/>
    <s v="Chaudhari Vivek Mr ."/>
    <x v="6"/>
    <s v="9W"/>
    <s v="5894146516224"/>
    <s v="12-SEP-13"/>
    <n v="5540"/>
    <n v="1865"/>
    <n v="7405"/>
    <n v="7412.5"/>
    <n v="7405"/>
    <n v="0"/>
    <n v="0"/>
    <n v="1"/>
    <n v="0"/>
    <n v="0"/>
    <n v="7405"/>
    <n v="0"/>
    <n v="0"/>
  </r>
  <r>
    <s v="24/10/2013"/>
    <s v="AI0030399"/>
    <s v="AR0004402"/>
    <m/>
    <s v="Chaudhari Vivek Mr ."/>
    <x v="6"/>
    <s v="9W"/>
    <s v="5894339005552"/>
    <s v="26-10-13"/>
    <n v="6100"/>
    <n v="1896"/>
    <n v="7996"/>
    <n v="7412.5"/>
    <n v="7996"/>
    <n v="6317"/>
    <n v="0"/>
    <n v="1"/>
    <n v="0"/>
    <n v="0"/>
    <n v="7996"/>
    <n v="0"/>
    <n v="0"/>
  </r>
  <r>
    <s v="26/10/2013"/>
    <s v="AI0030625"/>
    <m/>
    <m/>
    <s v="Chaudhari Vivek Mr ."/>
    <x v="6"/>
    <s v="9W"/>
    <s v="5894339005589"/>
    <s v="26-10-13"/>
    <n v="5800"/>
    <n v="1879"/>
    <n v="7679"/>
    <n v="7412.5"/>
    <n v="7679"/>
    <n v="0"/>
    <n v="0"/>
    <n v="1"/>
    <n v="0"/>
    <n v="0"/>
    <n v="7679"/>
    <n v="0"/>
    <n v="0"/>
  </r>
  <r>
    <s v="08/01/2014"/>
    <s v="AI0040754"/>
    <m/>
    <m/>
    <s v="Chaudhari Vivek Mr ."/>
    <x v="6"/>
    <s v="9W"/>
    <s v="5894341697684"/>
    <s v="09-JAN-14"/>
    <n v="6100"/>
    <n v="1896"/>
    <n v="7996"/>
    <n v="7412.5"/>
    <n v="15992"/>
    <m/>
    <n v="0"/>
    <n v="0"/>
    <n v="1"/>
    <n v="0"/>
    <n v="0"/>
    <n v="15992"/>
    <n v="7792"/>
  </r>
  <r>
    <s v="12/02/2014"/>
    <s v="AI0046239"/>
    <m/>
    <m/>
    <s v="Chaudhari Vivek Mr ."/>
    <x v="6"/>
    <s v="9W"/>
    <s v="5894343391107"/>
    <s v="13-02-14"/>
    <n v="6100"/>
    <n v="1896"/>
    <n v="7996"/>
    <n v="7412.5"/>
    <n v="7996"/>
    <n v="0"/>
    <n v="0"/>
    <n v="1"/>
    <n v="0"/>
    <n v="0"/>
    <n v="7996"/>
    <n v="0"/>
    <n v="0"/>
  </r>
  <r>
    <s v="09/10/2013"/>
    <s v="AI0028251"/>
    <m/>
    <m/>
    <s v="Chaudhari Vivek Mr ."/>
    <x v="8"/>
    <s v="9W"/>
    <s v="5894148057108"/>
    <s v="10-OCT-13"/>
    <n v="9345"/>
    <n v="3588"/>
    <n v="12933"/>
    <n v="14406"/>
    <n v="12933"/>
    <n v="0"/>
    <n v="0"/>
    <n v="1"/>
    <n v="0"/>
    <n v="0"/>
    <n v="12933"/>
    <n v="0"/>
    <n v="0"/>
  </r>
  <r>
    <s v="02/12/2013"/>
    <s v="AI0036017"/>
    <s v="AR0005557"/>
    <m/>
    <s v="Chaudhari Vivek Mr ."/>
    <x v="20"/>
    <s v="9W"/>
    <s v="5894340465225"/>
    <s v="04-DEC-13"/>
    <n v="13750"/>
    <n v="4948"/>
    <n v="18698"/>
    <n v="18882"/>
    <n v="18698"/>
    <n v="8383"/>
    <n v="0"/>
    <n v="1"/>
    <n v="0"/>
    <n v="0"/>
    <n v="18698"/>
    <n v="0"/>
    <n v="0"/>
  </r>
  <r>
    <s v="23/04/2013"/>
    <s v="AI0003754"/>
    <m/>
    <m/>
    <s v="Chaudhari Vivek Mr ."/>
    <x v="21"/>
    <s v="9W"/>
    <s v="5893972916916"/>
    <s v="29-APR-13"/>
    <n v="5870"/>
    <n v="5287"/>
    <n v="11157"/>
    <n v="10605"/>
    <n v="11157"/>
    <m/>
    <n v="0"/>
    <n v="1"/>
    <n v="0"/>
    <n v="0"/>
    <n v="11157"/>
    <n v="0"/>
    <n v="0"/>
  </r>
  <r>
    <s v="13/12/2013"/>
    <s v="AI0037803"/>
    <m/>
    <m/>
    <s v="Chaudhari Vivek Mr ."/>
    <x v="21"/>
    <s v="9W"/>
    <s v="5894341035318"/>
    <s v="15-DEC-13"/>
    <n v="6400"/>
    <n v="4129"/>
    <n v="10529"/>
    <n v="10605"/>
    <n v="10529"/>
    <n v="0"/>
    <n v="0"/>
    <n v="1"/>
    <n v="0"/>
    <n v="0"/>
    <n v="10529"/>
    <n v="0"/>
    <n v="0"/>
  </r>
  <r>
    <s v="24/12/2013"/>
    <s v="AI0039207"/>
    <m/>
    <m/>
    <s v="Chaudhari Vivek Mr ."/>
    <x v="43"/>
    <s v="6E"/>
    <s v="6E1312248487"/>
    <s v="29-DEC-13"/>
    <n v="5749"/>
    <n v="931"/>
    <n v="6680"/>
    <n v="6680"/>
    <n v="6680"/>
    <n v="0"/>
    <n v="0"/>
    <n v="1"/>
    <n v="0"/>
    <n v="0"/>
    <n v="6680"/>
    <n v="0"/>
    <n v="0"/>
  </r>
  <r>
    <s v="24/04/2013"/>
    <s v="AI0003781"/>
    <m/>
    <m/>
    <s v="Chaudhari Vivek Mr ."/>
    <x v="7"/>
    <s v="9W"/>
    <s v="5893972579104"/>
    <s v="27-APR-13"/>
    <n v="3940"/>
    <n v="3223"/>
    <n v="7163"/>
    <n v="7234"/>
    <n v="7163"/>
    <m/>
    <n v="0"/>
    <n v="1"/>
    <n v="0"/>
    <n v="0"/>
    <n v="7163"/>
    <n v="0"/>
    <n v="0"/>
  </r>
  <r>
    <s v="02/05/2013"/>
    <s v="AI0004917"/>
    <m/>
    <m/>
    <s v="Chaudhari Vivek Mr ."/>
    <x v="7"/>
    <s v="9W"/>
    <s v="5893972579241"/>
    <s v="03-MAY-13"/>
    <n v="3940"/>
    <n v="3223"/>
    <n v="7163"/>
    <n v="7234"/>
    <n v="7163"/>
    <m/>
    <n v="0"/>
    <n v="1"/>
    <n v="0"/>
    <n v="0"/>
    <n v="7163"/>
    <n v="0"/>
    <n v="0"/>
  </r>
  <r>
    <s v="20/06/2013"/>
    <s v="AI0012241"/>
    <m/>
    <m/>
    <s v="Chaudhari Vivek Mr ."/>
    <x v="7"/>
    <s v="9W"/>
    <s v="5893975550332"/>
    <s v="25-JUN-13"/>
    <n v="3990"/>
    <n v="3173"/>
    <n v="7163"/>
    <n v="7234"/>
    <n v="7163"/>
    <m/>
    <n v="0"/>
    <n v="1"/>
    <n v="0"/>
    <n v="0"/>
    <n v="7163"/>
    <n v="0"/>
    <n v="0"/>
  </r>
  <r>
    <s v="08/07/2013"/>
    <s v="AI0014591"/>
    <m/>
    <m/>
    <s v="Chaudhari Vivek Mr ."/>
    <x v="7"/>
    <s v="9W"/>
    <s v="5893976120125"/>
    <s v="08/07/2013"/>
    <n v="3010"/>
    <n v="3120"/>
    <n v="6130"/>
    <n v="7234"/>
    <n v="6130"/>
    <m/>
    <n v="1"/>
    <n v="0"/>
    <n v="0"/>
    <n v="6130"/>
    <n v="0"/>
    <n v="0"/>
    <n v="0"/>
  </r>
  <r>
    <s v="19/07/2013"/>
    <s v="AI0016398"/>
    <m/>
    <m/>
    <s v="Chaudhari Vivek Mr ."/>
    <x v="7"/>
    <s v="9W"/>
    <s v="5893976529196"/>
    <s v="20-JUL-13"/>
    <n v="1482"/>
    <n v="1617"/>
    <n v="3099"/>
    <n v="7234"/>
    <n v="3099"/>
    <m/>
    <n v="1"/>
    <n v="0"/>
    <n v="0"/>
    <n v="3099"/>
    <n v="0"/>
    <n v="0"/>
    <n v="0"/>
  </r>
  <r>
    <s v="30/07/2013"/>
    <s v="AI0017869"/>
    <m/>
    <m/>
    <s v="Chaudhari Vivek Mr ."/>
    <x v="7"/>
    <s v="SG"/>
    <s v="775T4CEQF1"/>
    <s v="31-JUL-13"/>
    <n v="2004"/>
    <n v="2721"/>
    <n v="4725"/>
    <n v="7234"/>
    <n v="4725"/>
    <m/>
    <n v="1"/>
    <n v="0"/>
    <n v="0"/>
    <n v="4725"/>
    <n v="0"/>
    <n v="0"/>
    <n v="0"/>
  </r>
  <r>
    <s v="04/08/2013"/>
    <s v="AI0018500"/>
    <m/>
    <m/>
    <s v="Chaudhari Vivek Mr ."/>
    <x v="7"/>
    <s v="9W"/>
    <s v="5894144897703"/>
    <s v="05-AUG-13"/>
    <n v="2345"/>
    <n v="1771"/>
    <n v="4116"/>
    <n v="7234"/>
    <n v="4116"/>
    <m/>
    <n v="1"/>
    <n v="0"/>
    <n v="0"/>
    <n v="4116"/>
    <n v="0"/>
    <n v="0"/>
    <n v="0"/>
  </r>
  <r>
    <s v="21/09/2013"/>
    <s v="AI0025613"/>
    <m/>
    <m/>
    <s v="Chaudhari Vivek Mr ."/>
    <x v="7"/>
    <s v="9W"/>
    <s v="5894147397514"/>
    <s v="22-SEP-13"/>
    <n v="5540"/>
    <n v="1947"/>
    <n v="7487"/>
    <n v="7234"/>
    <n v="7487"/>
    <n v="0"/>
    <n v="0"/>
    <n v="1"/>
    <n v="0"/>
    <n v="0"/>
    <n v="7487"/>
    <n v="0"/>
    <n v="0"/>
  </r>
  <r>
    <s v="06/11/2013"/>
    <s v="AI0031831"/>
    <m/>
    <m/>
    <s v="Chaudhari Vivek Mr ."/>
    <x v="7"/>
    <s v="9W"/>
    <s v="5894339005731"/>
    <s v="07-NOV-13"/>
    <n v="5800"/>
    <n v="1962"/>
    <n v="7762"/>
    <n v="7234"/>
    <n v="7762"/>
    <n v="0"/>
    <n v="0"/>
    <n v="1"/>
    <n v="0"/>
    <n v="0"/>
    <n v="7762"/>
    <n v="0"/>
    <n v="0"/>
  </r>
  <r>
    <s v="23/02/2014"/>
    <s v="AI0047694"/>
    <m/>
    <m/>
    <s v="Chaudhari Vivek Mr ."/>
    <x v="7"/>
    <s v="6E"/>
    <s v="6ERCPEMX"/>
    <s v="24-FEB-14"/>
    <n v="9220"/>
    <n v="1206"/>
    <n v="10426"/>
    <n v="7234"/>
    <n v="10426"/>
    <e v="#REF!"/>
    <n v="0"/>
    <n v="0"/>
    <n v="1"/>
    <n v="0"/>
    <n v="0"/>
    <n v="10426"/>
    <n v="2426"/>
  </r>
  <r>
    <s v="03/12/2013"/>
    <s v="AI0036260"/>
    <m/>
    <m/>
    <s v="Chaudhari Vivek Mr ."/>
    <x v="22"/>
    <s v="9W"/>
    <s v="5894340476860"/>
    <s v="05-DEC-13"/>
    <n v="7650"/>
    <n v="3422"/>
    <n v="11072"/>
    <n v="10079"/>
    <n v="11072"/>
    <n v="0"/>
    <n v="0"/>
    <n v="1"/>
    <n v="0"/>
    <n v="0"/>
    <n v="11072"/>
    <n v="0"/>
    <n v="0"/>
  </r>
  <r>
    <s v="13/12/2013"/>
    <s v="AI0037788"/>
    <m/>
    <m/>
    <s v="Chaudhari Vivek Mr ."/>
    <x v="44"/>
    <s v="G8"/>
    <s v="104H5ZL4Y1"/>
    <s v="19-DEC-13"/>
    <n v="5340"/>
    <n v="3332"/>
    <n v="8672"/>
    <n v="6944"/>
    <n v="8672"/>
    <n v="0"/>
    <n v="0"/>
    <n v="0"/>
    <n v="1"/>
    <n v="0"/>
    <n v="0"/>
    <n v="8672"/>
    <n v="972"/>
  </r>
  <r>
    <s v="17/01/2014"/>
    <s v="AI0042086"/>
    <m/>
    <m/>
    <s v="Chaudhari Vivek Mr ."/>
    <x v="45"/>
    <s v="CX"/>
    <s v="1604342242972"/>
    <s v="21-JAN-14"/>
    <n v="14015"/>
    <n v="20985"/>
    <n v="35000"/>
    <n v="35000"/>
    <n v="35000"/>
    <n v="0"/>
    <n v="0"/>
    <n v="1"/>
    <n v="0"/>
    <n v="0"/>
    <n v="35000"/>
    <n v="0"/>
    <n v="0"/>
  </r>
  <r>
    <s v="07/08/2013"/>
    <s v="VI0001681"/>
    <m/>
    <m/>
    <s v="Chaudhari Vivek Mr ."/>
    <x v="46"/>
    <s v=""/>
    <s v="Switzerland"/>
    <s v=""/>
    <n v="5655"/>
    <n v="2345"/>
    <n v="8000"/>
    <n v="8000"/>
    <n v="8000"/>
    <m/>
    <n v="0"/>
    <n v="1"/>
    <n v="0"/>
    <n v="0"/>
    <n v="8000"/>
    <n v="0"/>
    <n v="0"/>
  </r>
  <r>
    <s v="21/11/2013"/>
    <s v="AI0034564"/>
    <m/>
    <m/>
    <s v="Chaudhari Vivek Mr ."/>
    <x v="47"/>
    <s v="9W"/>
    <s v="5894340177000"/>
    <s v="26-NOV-13"/>
    <n v="11535"/>
    <n v="3325"/>
    <n v="14860"/>
    <n v="14860"/>
    <n v="14860"/>
    <n v="0"/>
    <n v="0"/>
    <n v="1"/>
    <n v="0"/>
    <n v="0"/>
    <n v="14860"/>
    <n v="0"/>
    <n v="0"/>
  </r>
  <r>
    <s v="17/04/2013"/>
    <s v="AI0002450"/>
    <m/>
    <m/>
    <s v="Chaudhari Vivek Mr ."/>
    <x v="24"/>
    <s v="9W"/>
    <s v="5893513821203"/>
    <s v="19-APR-13"/>
    <n v="5000"/>
    <n v="5099"/>
    <n v="10099"/>
    <n v="10332"/>
    <n v="10099"/>
    <m/>
    <n v="0"/>
    <n v="1"/>
    <n v="0"/>
    <n v="0"/>
    <n v="10099"/>
    <n v="0"/>
    <n v="0"/>
  </r>
  <r>
    <s v="23/04/2013"/>
    <s v="AI0003755"/>
    <m/>
    <m/>
    <s v="Chaudhari Vivek Mr ."/>
    <x v="24"/>
    <s v="9W"/>
    <s v="5893972916917"/>
    <s v="29-APR-13"/>
    <n v="5870"/>
    <n v="5147"/>
    <n v="11017"/>
    <n v="10332"/>
    <n v="11017"/>
    <m/>
    <n v="0"/>
    <n v="1"/>
    <n v="0"/>
    <n v="0"/>
    <n v="11017"/>
    <n v="0"/>
    <n v="0"/>
  </r>
  <r>
    <s v="04/12/2013"/>
    <s v="AI0036374"/>
    <m/>
    <m/>
    <s v="Chaudhari Vivek Mr ."/>
    <x v="24"/>
    <s v="SG"/>
    <s v="775JZE9VB"/>
    <s v="06-DEC-13"/>
    <n v="8451"/>
    <n v="1406"/>
    <n v="9857"/>
    <n v="10332"/>
    <n v="9857"/>
    <n v="0"/>
    <n v="0"/>
    <n v="1"/>
    <n v="0"/>
    <n v="0"/>
    <n v="9857"/>
    <n v="0"/>
    <n v="0"/>
  </r>
  <r>
    <s v="13/12/2013"/>
    <s v="AI0037804"/>
    <m/>
    <m/>
    <s v="Chaudhari Vivek Mr ."/>
    <x v="25"/>
    <s v="9W"/>
    <s v="5894341035319"/>
    <s v="16-DEC-13"/>
    <n v="7330"/>
    <n v="3306"/>
    <n v="10636"/>
    <n v="9855"/>
    <n v="10636"/>
    <n v="0"/>
    <n v="0"/>
    <n v="1"/>
    <n v="0"/>
    <n v="0"/>
    <n v="10636"/>
    <n v="0"/>
    <n v="0"/>
  </r>
  <r>
    <s v="20/05/2013"/>
    <s v="AI0007413"/>
    <m/>
    <m/>
    <s v="Chaudhari Vivek Mr ."/>
    <x v="48"/>
    <s v="6E"/>
    <s v="6ENSUDDW1"/>
    <s v="02-JUN-13"/>
    <n v="1640"/>
    <n v="2540"/>
    <n v="4180"/>
    <n v="8768.5"/>
    <n v="4180"/>
    <m/>
    <n v="1"/>
    <n v="0"/>
    <n v="0"/>
    <n v="4180"/>
    <n v="0"/>
    <n v="0"/>
    <n v="0"/>
  </r>
  <r>
    <s v="24/12/2013"/>
    <s v="AI0039206"/>
    <m/>
    <m/>
    <s v="Chaudhari Vivek Mr ."/>
    <x v="48"/>
    <s v="9W"/>
    <s v="5894341343192"/>
    <s v="02-JAN-14"/>
    <n v="11646"/>
    <n v="1711"/>
    <n v="13357"/>
    <n v="8768.5"/>
    <n v="13357"/>
    <n v="0"/>
    <n v="0"/>
    <n v="0"/>
    <n v="1"/>
    <n v="0"/>
    <n v="0"/>
    <n v="13357"/>
    <n v="3657"/>
  </r>
  <r>
    <s v="08/10/2013"/>
    <s v="AI0028147"/>
    <m/>
    <m/>
    <s v="Chunangad   Gopal  Mr."/>
    <x v="6"/>
    <s v="9W"/>
    <s v="5894147816685"/>
    <s v="09-OCT-13"/>
    <n v="6050"/>
    <n v="1893"/>
    <n v="7943"/>
    <n v="7412.5"/>
    <n v="7943"/>
    <n v="0"/>
    <n v="0"/>
    <n v="1"/>
    <n v="0"/>
    <n v="0"/>
    <n v="7943"/>
    <n v="0"/>
    <n v="0"/>
  </r>
  <r>
    <s v="07/10/2013"/>
    <s v="AI0027828"/>
    <m/>
    <m/>
    <s v="Chunangad   Gopal  Mr."/>
    <x v="7"/>
    <s v="9W"/>
    <s v="5894147816631"/>
    <s v="09-OCT-13"/>
    <n v="6050"/>
    <n v="1976"/>
    <n v="8026"/>
    <n v="7234"/>
    <n v="8026"/>
    <n v="0"/>
    <n v="0"/>
    <n v="0"/>
    <n v="1"/>
    <n v="0"/>
    <n v="0"/>
    <n v="8026"/>
    <n v="26"/>
  </r>
  <r>
    <s v="29/08/2013"/>
    <s v="AI0022072"/>
    <m/>
    <m/>
    <s v="Daga Kapil Mr ."/>
    <x v="28"/>
    <s v="6E"/>
    <s v="6EO1MUPL1"/>
    <s v="30-AUG-13"/>
    <n v="849"/>
    <n v="3246"/>
    <n v="4095"/>
    <n v="9066"/>
    <n v="4095"/>
    <n v="0"/>
    <n v="1"/>
    <n v="0"/>
    <n v="0"/>
    <n v="4095"/>
    <n v="0"/>
    <n v="0"/>
    <n v="0"/>
  </r>
  <r>
    <s v="03/10/2013"/>
    <s v="AI0027522"/>
    <m/>
    <m/>
    <s v="Daga Kapil Mr ."/>
    <x v="15"/>
    <s v="6E"/>
    <s v="6EP2HKRM"/>
    <s v="04-OCT-13"/>
    <n v="16848"/>
    <n v="2030"/>
    <n v="18878"/>
    <n v="19030"/>
    <n v="37756"/>
    <n v="0"/>
    <n v="0"/>
    <n v="0"/>
    <n v="1"/>
    <n v="0"/>
    <n v="0"/>
    <n v="37756"/>
    <n v="16756"/>
  </r>
  <r>
    <s v="11/07/2013"/>
    <s v="AI0015179"/>
    <m/>
    <m/>
    <s v="Daga Kapil Mr ."/>
    <x v="6"/>
    <s v="AI"/>
    <s v="0983976120208"/>
    <s v="11/07/2013"/>
    <n v="2585"/>
    <n v="3013"/>
    <n v="5598"/>
    <n v="7412.5"/>
    <n v="5598"/>
    <m/>
    <n v="1"/>
    <n v="0"/>
    <n v="0"/>
    <n v="5598"/>
    <n v="0"/>
    <n v="0"/>
    <n v="0"/>
  </r>
  <r>
    <s v="26/07/2013"/>
    <s v="AI0017294"/>
    <m/>
    <m/>
    <s v="Daga Kapil Mr ."/>
    <x v="6"/>
    <s v="SG"/>
    <s v="775A8PF6A1"/>
    <s v="29-JUL-13"/>
    <n v="472"/>
    <n v="2394"/>
    <n v="2866"/>
    <n v="7412.5"/>
    <n v="2866"/>
    <m/>
    <n v="1"/>
    <n v="0"/>
    <n v="0"/>
    <n v="2866"/>
    <n v="0"/>
    <n v="0"/>
    <n v="0"/>
  </r>
  <r>
    <s v="01/08/2013"/>
    <s v="AI0018175"/>
    <m/>
    <m/>
    <s v="Daga Kapil Mr ."/>
    <x v="6"/>
    <s v="9W"/>
    <s v="5894144900912"/>
    <s v="05-AUG-13"/>
    <n v="1382"/>
    <n v="1476"/>
    <n v="2858"/>
    <n v="7412.5"/>
    <n v="2858"/>
    <m/>
    <n v="1"/>
    <n v="0"/>
    <n v="0"/>
    <n v="2858"/>
    <n v="0"/>
    <n v="0"/>
    <n v="0"/>
  </r>
  <r>
    <s v="13/08/2013"/>
    <s v="AI0019649"/>
    <m/>
    <m/>
    <s v="Daga Kapil Mr ."/>
    <x v="6"/>
    <s v="9W"/>
    <s v="5894145426143"/>
    <s v="14-AUG-13"/>
    <n v="1382"/>
    <n v="1633"/>
    <n v="3015"/>
    <n v="7412.5"/>
    <n v="3015"/>
    <m/>
    <n v="1"/>
    <n v="0"/>
    <n v="0"/>
    <n v="3015"/>
    <n v="0"/>
    <n v="0"/>
    <n v="0"/>
  </r>
  <r>
    <s v="19/08/2013"/>
    <s v="AI0020392"/>
    <m/>
    <m/>
    <s v="Daga Kapil Mr ."/>
    <x v="6"/>
    <s v="AI"/>
    <s v="0984145809046"/>
    <s v="20-AUG-13"/>
    <n v="1716"/>
    <n v="2964"/>
    <n v="4680"/>
    <n v="7412.5"/>
    <n v="4680"/>
    <n v="0"/>
    <n v="1"/>
    <n v="0"/>
    <n v="0"/>
    <n v="4680"/>
    <n v="0"/>
    <n v="0"/>
    <n v="0"/>
  </r>
  <r>
    <s v="27/08/2013"/>
    <s v="AI0021436"/>
    <m/>
    <m/>
    <s v="Daga Kapil Mr ."/>
    <x v="6"/>
    <s v="6E"/>
    <s v="6EP1L8TS1"/>
    <s v="28-AUG-13"/>
    <n v="1295"/>
    <n v="2492"/>
    <n v="3787"/>
    <n v="7412.5"/>
    <n v="3787"/>
    <n v="0"/>
    <n v="1"/>
    <n v="0"/>
    <n v="0"/>
    <n v="3787"/>
    <n v="0"/>
    <n v="0"/>
    <n v="0"/>
  </r>
  <r>
    <s v="07/10/2013"/>
    <s v="AI0027835"/>
    <m/>
    <m/>
    <s v="Daga Kapil Mr ."/>
    <x v="6"/>
    <s v="AI"/>
    <s v="0984147816632"/>
    <s v="09-OCT-13"/>
    <n v="4820"/>
    <n v="3136"/>
    <n v="7956"/>
    <n v="7412.5"/>
    <n v="7956"/>
    <n v="0"/>
    <n v="0"/>
    <n v="1"/>
    <n v="0"/>
    <n v="0"/>
    <n v="7956"/>
    <n v="0"/>
    <n v="0"/>
  </r>
  <r>
    <s v="25/10/2013"/>
    <s v="AI0030471"/>
    <m/>
    <m/>
    <s v="Daga Kapil Mr ."/>
    <x v="6"/>
    <s v="AI"/>
    <s v="0984339005563"/>
    <s v="31-10-13"/>
    <n v="4620"/>
    <n v="3125"/>
    <n v="7745"/>
    <n v="7412.5"/>
    <n v="7745"/>
    <n v="0"/>
    <n v="0"/>
    <n v="1"/>
    <n v="0"/>
    <n v="0"/>
    <n v="7745"/>
    <n v="0"/>
    <n v="0"/>
  </r>
  <r>
    <s v="07/11/2013"/>
    <s v="AI0032079"/>
    <m/>
    <m/>
    <s v="Daga Kapil Mr ."/>
    <x v="6"/>
    <s v="6E"/>
    <s v="6EB39IPM"/>
    <s v="12-NOV-13"/>
    <n v="6256"/>
    <n v="960"/>
    <n v="7216"/>
    <n v="7412.5"/>
    <n v="7216"/>
    <n v="0"/>
    <n v="0"/>
    <n v="1"/>
    <n v="0"/>
    <n v="0"/>
    <n v="7216"/>
    <n v="0"/>
    <n v="0"/>
  </r>
  <r>
    <s v="20/11/2013"/>
    <s v="AI0034246"/>
    <m/>
    <m/>
    <s v="Daga Kapil Mr ."/>
    <x v="6"/>
    <s v="9W"/>
    <s v="5894339996085"/>
    <s v="21-NOV-13"/>
    <n v="6100"/>
    <n v="1896"/>
    <n v="7996"/>
    <n v="7412.5"/>
    <n v="16328"/>
    <n v="0"/>
    <n v="0"/>
    <n v="0"/>
    <n v="1"/>
    <n v="0"/>
    <n v="0"/>
    <n v="16328"/>
    <n v="8128"/>
  </r>
  <r>
    <s v="22/11/2013"/>
    <s v="AI0034624"/>
    <m/>
    <m/>
    <s v="Daga Kapil Mr ."/>
    <x v="6"/>
    <s v="AI"/>
    <s v="0984339996119"/>
    <s v="25-NOV-13"/>
    <n v="5020"/>
    <n v="3148"/>
    <n v="8168"/>
    <n v="7412.5"/>
    <n v="16247"/>
    <n v="0"/>
    <n v="0"/>
    <n v="0"/>
    <n v="1"/>
    <n v="0"/>
    <n v="0"/>
    <n v="16247"/>
    <n v="8047"/>
  </r>
  <r>
    <s v="10/12/2013"/>
    <s v="AI0037236"/>
    <m/>
    <m/>
    <s v="Daga Kapil Mr ."/>
    <x v="6"/>
    <s v="9W"/>
    <s v="5894340476999"/>
    <s v="11-DEC-13"/>
    <n v="6100"/>
    <n v="1896"/>
    <n v="7996"/>
    <n v="7412.5"/>
    <n v="7996"/>
    <n v="0"/>
    <n v="0"/>
    <n v="1"/>
    <n v="0"/>
    <n v="0"/>
    <n v="7996"/>
    <n v="0"/>
    <n v="0"/>
  </r>
  <r>
    <s v="17/12/2013"/>
    <s v="AI0038297"/>
    <s v="AR0005728"/>
    <m/>
    <s v="Daga Kapil Mr ."/>
    <x v="6"/>
    <s v="AI"/>
    <s v="0984340930172"/>
    <s v="20-DEC-13"/>
    <n v="4620"/>
    <n v="3125"/>
    <n v="7745"/>
    <n v="7412.5"/>
    <n v="15996"/>
    <n v="7098"/>
    <n v="0"/>
    <n v="0"/>
    <n v="1"/>
    <n v="0"/>
    <n v="0"/>
    <n v="15996"/>
    <n v="7796"/>
  </r>
  <r>
    <s v="12/02/2014"/>
    <s v="AI0046043"/>
    <m/>
    <m/>
    <s v="Daga Kapil Mr ."/>
    <x v="6"/>
    <s v="9W"/>
    <s v="5894343391091"/>
    <s v="15-02-14"/>
    <n v="6100"/>
    <n v="1896"/>
    <n v="7996"/>
    <n v="7412.5"/>
    <n v="7996"/>
    <n v="0"/>
    <n v="0"/>
    <n v="1"/>
    <n v="0"/>
    <n v="0"/>
    <n v="7996"/>
    <n v="0"/>
    <n v="0"/>
  </r>
  <r>
    <s v="28/01/2014"/>
    <s v="AI0043529"/>
    <m/>
    <m/>
    <s v="Daga Kapil Mr ."/>
    <x v="8"/>
    <s v="9W"/>
    <s v="5894342458420"/>
    <s v="29-01-14"/>
    <n v="11018"/>
    <n v="3422"/>
    <n v="14440"/>
    <n v="14406"/>
    <n v="14440"/>
    <n v="0"/>
    <n v="0"/>
    <n v="1"/>
    <n v="0"/>
    <n v="0"/>
    <n v="14440"/>
    <n v="0"/>
    <n v="0"/>
  </r>
  <r>
    <s v="12/02/2014"/>
    <s v="AI0046215"/>
    <m/>
    <m/>
    <s v="Daga Kapil Mr ."/>
    <x v="8"/>
    <s v="9W"/>
    <s v="5894343391106"/>
    <s v="13-02-14"/>
    <n v="10800"/>
    <n v="3669"/>
    <n v="14469"/>
    <n v="14406"/>
    <n v="14469"/>
    <n v="0"/>
    <n v="0"/>
    <n v="1"/>
    <n v="0"/>
    <n v="0"/>
    <n v="14469"/>
    <n v="0"/>
    <n v="0"/>
  </r>
  <r>
    <s v="17/10/2013"/>
    <s v="AI0029283"/>
    <s v="AR0004778"/>
    <m/>
    <s v="Daga Kapil Mr ."/>
    <x v="21"/>
    <s v="AI"/>
    <s v="0984148187153"/>
    <s v="21-10-13"/>
    <n v="6440"/>
    <n v="5266"/>
    <n v="11706"/>
    <n v="10605"/>
    <n v="11706"/>
    <n v="10027"/>
    <n v="0"/>
    <n v="0"/>
    <n v="1"/>
    <n v="0"/>
    <n v="0"/>
    <n v="11706"/>
    <n v="6"/>
  </r>
  <r>
    <s v="17/10/2013"/>
    <s v="AI0029324"/>
    <m/>
    <m/>
    <s v="Daga Kapil Mr ."/>
    <x v="21"/>
    <s v="SG"/>
    <s v="775QEJJHR"/>
    <s v="21-10-13"/>
    <n v="8731"/>
    <n v="1421"/>
    <n v="10152"/>
    <n v="10605"/>
    <n v="20304"/>
    <n v="0"/>
    <n v="0"/>
    <n v="0"/>
    <n v="1"/>
    <n v="0"/>
    <n v="0"/>
    <n v="20304"/>
    <n v="8604"/>
  </r>
  <r>
    <s v="18/10/2013"/>
    <s v="AI0029447"/>
    <m/>
    <m/>
    <s v="Daga Kapil Mr ."/>
    <x v="21"/>
    <s v="6E"/>
    <s v="6ER2U4RF"/>
    <s v="20-10-13"/>
    <n v="9128"/>
    <n v="1585"/>
    <n v="10713"/>
    <n v="10605"/>
    <n v="10713"/>
    <n v="0"/>
    <n v="0"/>
    <n v="1"/>
    <n v="0"/>
    <n v="0"/>
    <n v="10713"/>
    <n v="0"/>
    <n v="0"/>
  </r>
  <r>
    <s v="20/01/2014"/>
    <s v="AI0042232"/>
    <m/>
    <m/>
    <s v="Daga Kapil Mr ."/>
    <x v="49"/>
    <s v="SQ"/>
    <s v="6184342313229"/>
    <s v="20-JAN-14"/>
    <n v="9600"/>
    <n v="11200"/>
    <n v="20800"/>
    <n v="20800"/>
    <n v="20800"/>
    <n v="0"/>
    <n v="0"/>
    <n v="1"/>
    <n v="0"/>
    <n v="0"/>
    <n v="20800"/>
    <n v="0"/>
    <n v="0"/>
  </r>
  <r>
    <s v="28/08/2013"/>
    <s v="AI0021640"/>
    <m/>
    <m/>
    <s v="Daga Kapil Mr ."/>
    <x v="50"/>
    <s v="9W"/>
    <s v="5894146108864"/>
    <s v="29-AUG-13"/>
    <n v="1763"/>
    <n v="1423"/>
    <n v="3186"/>
    <n v="3186"/>
    <n v="3186"/>
    <n v="0"/>
    <n v="0"/>
    <n v="1"/>
    <n v="0"/>
    <n v="0"/>
    <n v="3186"/>
    <n v="0"/>
    <n v="0"/>
  </r>
  <r>
    <s v="29/08/2013"/>
    <s v="AI0021857"/>
    <m/>
    <m/>
    <s v="Daga Kapil Mr ."/>
    <x v="50"/>
    <s v="AI"/>
    <s v="0984146108882"/>
    <s v="30-AUG-13"/>
    <n v="540"/>
    <n v="2143"/>
    <n v="2683"/>
    <n v="3186"/>
    <n v="2683"/>
    <n v="0"/>
    <n v="1"/>
    <n v="0"/>
    <n v="0"/>
    <n v="2683"/>
    <n v="0"/>
    <n v="0"/>
    <n v="0"/>
  </r>
  <r>
    <s v="11/07/2013"/>
    <s v="AI0015117"/>
    <m/>
    <m/>
    <s v="Daga Kapil Mr ."/>
    <x v="7"/>
    <s v="SG"/>
    <s v="775E2NJNV"/>
    <s v="11/07/2013"/>
    <n v="4703"/>
    <n v="3698"/>
    <n v="8401"/>
    <n v="7234"/>
    <n v="8401"/>
    <m/>
    <n v="0"/>
    <n v="0"/>
    <n v="1"/>
    <n v="0"/>
    <n v="0"/>
    <n v="8401"/>
    <n v="401"/>
  </r>
  <r>
    <s v="26/07/2013"/>
    <s v="AI0017294"/>
    <s v="AR0002556"/>
    <m/>
    <s v="Daga Kapil Mr ."/>
    <x v="7"/>
    <s v="AI"/>
    <s v="0984144546108"/>
    <s v="29-JUL-13"/>
    <n v="582"/>
    <n v="2460"/>
    <n v="3042"/>
    <n v="7234"/>
    <n v="3042"/>
    <n v="1285"/>
    <n v="1"/>
    <n v="0"/>
    <n v="0"/>
    <n v="3042"/>
    <n v="0"/>
    <n v="0"/>
    <n v="0"/>
  </r>
  <r>
    <s v="29/07/2013"/>
    <s v="AI0017517"/>
    <m/>
    <m/>
    <s v="Daga Kapil Mr ."/>
    <x v="7"/>
    <s v="G8"/>
    <s v="1046BJ0AR1"/>
    <s v="29-JUL-13"/>
    <n v="533"/>
    <n v="2540"/>
    <n v="3073"/>
    <n v="7234"/>
    <n v="3073"/>
    <m/>
    <n v="1"/>
    <n v="0"/>
    <n v="0"/>
    <n v="3073"/>
    <n v="0"/>
    <n v="0"/>
    <n v="0"/>
  </r>
  <r>
    <s v="05/08/2013"/>
    <s v="AI0018537"/>
    <m/>
    <m/>
    <s v="Daga Kapil Mr ."/>
    <x v="7"/>
    <s v="6E"/>
    <s v="6ESZUNPW1"/>
    <s v="05-AUG-13"/>
    <n v="738"/>
    <n v="2572"/>
    <n v="3310"/>
    <n v="7234"/>
    <n v="3310"/>
    <m/>
    <n v="1"/>
    <n v="0"/>
    <n v="0"/>
    <n v="3310"/>
    <n v="0"/>
    <n v="0"/>
    <n v="0"/>
  </r>
  <r>
    <s v="13/08/2013"/>
    <s v="AI0019650"/>
    <m/>
    <m/>
    <s v="Daga Kapil Mr ."/>
    <x v="7"/>
    <s v="9W"/>
    <s v="5894145426144"/>
    <s v="14-AUG-13"/>
    <n v="1382"/>
    <n v="1716"/>
    <n v="3098"/>
    <n v="7234"/>
    <n v="3098"/>
    <m/>
    <n v="1"/>
    <n v="0"/>
    <n v="0"/>
    <n v="3098"/>
    <n v="0"/>
    <n v="0"/>
    <n v="0"/>
  </r>
  <r>
    <s v="21/08/2013"/>
    <s v="AI0020692"/>
    <m/>
    <m/>
    <s v="Daga Kapil Mr ."/>
    <x v="7"/>
    <s v="9W"/>
    <s v="5894145729184"/>
    <s v="21-AUG-13"/>
    <n v="4360"/>
    <n v="1883"/>
    <n v="6243"/>
    <n v="7234"/>
    <n v="6243"/>
    <n v="0"/>
    <n v="1"/>
    <n v="0"/>
    <n v="0"/>
    <n v="6243"/>
    <n v="0"/>
    <n v="0"/>
    <n v="0"/>
  </r>
  <r>
    <s v="10/10/2013"/>
    <s v="AI0028362"/>
    <m/>
    <m/>
    <s v="Daga Kapil Mr ."/>
    <x v="7"/>
    <s v="AI"/>
    <s v="0984147816719"/>
    <s v="10-OCT-13"/>
    <n v="5020"/>
    <n v="3231"/>
    <n v="8251"/>
    <n v="7234"/>
    <n v="8251"/>
    <n v="0"/>
    <n v="0"/>
    <n v="0"/>
    <n v="1"/>
    <n v="0"/>
    <n v="0"/>
    <n v="8251"/>
    <n v="251"/>
  </r>
  <r>
    <s v="24/10/2013"/>
    <s v="AI0030391"/>
    <m/>
    <m/>
    <s v="Daga Kapil Mr ."/>
    <x v="7"/>
    <s v="9W"/>
    <s v="5894339005550"/>
    <s v="01-11-13"/>
    <n v="6100"/>
    <n v="1979"/>
    <n v="8079"/>
    <n v="7234"/>
    <n v="8079"/>
    <n v="0"/>
    <n v="0"/>
    <n v="0"/>
    <n v="1"/>
    <n v="0"/>
    <n v="0"/>
    <n v="8079"/>
    <n v="79"/>
  </r>
  <r>
    <s v="07/11/2013"/>
    <s v="AI0032038"/>
    <s v="AR0004664"/>
    <m/>
    <s v="Daga Kapil Mr ."/>
    <x v="7"/>
    <s v="AI"/>
    <s v="0984339562762"/>
    <s v="13-NOV-13"/>
    <n v="4620"/>
    <n v="3208"/>
    <n v="7828"/>
    <n v="7234"/>
    <n v="7828"/>
    <n v="6128"/>
    <n v="0"/>
    <n v="1"/>
    <n v="0"/>
    <n v="0"/>
    <n v="7828"/>
    <n v="0"/>
    <n v="0"/>
  </r>
  <r>
    <s v="11/11/2013"/>
    <s v="AI0032758"/>
    <m/>
    <m/>
    <s v="Daga Kapil Mr ."/>
    <x v="7"/>
    <s v="6E"/>
    <s v="6EK3FGMA"/>
    <s v="14-NOV-13"/>
    <n v="6306"/>
    <n v="1045"/>
    <n v="7351"/>
    <n v="7234"/>
    <n v="7351"/>
    <n v="0"/>
    <n v="0"/>
    <n v="1"/>
    <n v="0"/>
    <n v="0"/>
    <n v="7351"/>
    <n v="0"/>
    <n v="0"/>
  </r>
  <r>
    <s v="20/11/2013"/>
    <s v="AI0034246"/>
    <m/>
    <m/>
    <s v="Daga Kapil Mr ."/>
    <x v="7"/>
    <s v="9W"/>
    <s v="5894339996086"/>
    <s v="21-NOV-13"/>
    <n v="6340"/>
    <n v="1992"/>
    <n v="8332"/>
    <n v="7234"/>
    <n v="8332"/>
    <n v="0"/>
    <n v="0"/>
    <n v="0"/>
    <n v="1"/>
    <n v="0"/>
    <n v="0"/>
    <n v="8332"/>
    <n v="332"/>
  </r>
  <r>
    <s v="22/11/2013"/>
    <s v="AI0034624"/>
    <m/>
    <m/>
    <s v="Daga Kapil Mr ."/>
    <x v="7"/>
    <s v="9W"/>
    <s v="5894339996120"/>
    <s v="25-NOV-13"/>
    <n v="6100"/>
    <n v="1979"/>
    <n v="8079"/>
    <n v="7234"/>
    <n v="8079"/>
    <n v="0"/>
    <n v="0"/>
    <n v="0"/>
    <n v="1"/>
    <n v="0"/>
    <n v="0"/>
    <n v="8079"/>
    <n v="79"/>
  </r>
  <r>
    <s v="11/12/2013"/>
    <s v="AI0037565"/>
    <m/>
    <m/>
    <s v="Daga Kapil Mr ."/>
    <x v="7"/>
    <s v="6E"/>
    <s v="6EC2RFHF"/>
    <s v="11-DEC-13"/>
    <n v="4450"/>
    <n v="3567"/>
    <n v="8017"/>
    <n v="7234"/>
    <n v="8017"/>
    <n v="0"/>
    <n v="0"/>
    <n v="0"/>
    <n v="1"/>
    <n v="0"/>
    <n v="0"/>
    <n v="8017"/>
    <n v="17"/>
  </r>
  <r>
    <s v="17/12/2013"/>
    <s v="AI0038297"/>
    <m/>
    <m/>
    <s v="Daga Kapil Mr ."/>
    <x v="7"/>
    <s v="AI"/>
    <s v="0984340930173"/>
    <s v="20-DEC-13"/>
    <n v="5020"/>
    <n v="3231"/>
    <n v="8251"/>
    <n v="7234"/>
    <n v="8251"/>
    <n v="0"/>
    <n v="0"/>
    <n v="0"/>
    <n v="1"/>
    <n v="0"/>
    <n v="0"/>
    <n v="8251"/>
    <n v="251"/>
  </r>
  <r>
    <s v="20/12/2013"/>
    <s v="AI0038678"/>
    <m/>
    <m/>
    <s v="Daga Kapil Mr ."/>
    <x v="7"/>
    <s v="SG"/>
    <s v="775Z7848Z"/>
    <s v="20-DEC-13"/>
    <n v="5336"/>
    <n v="991"/>
    <n v="6327"/>
    <n v="7234"/>
    <n v="6327"/>
    <n v="0"/>
    <n v="1"/>
    <n v="0"/>
    <n v="0"/>
    <n v="6327"/>
    <n v="0"/>
    <n v="0"/>
    <n v="0"/>
  </r>
  <r>
    <s v="24/02/2014"/>
    <s v="AI0047733"/>
    <m/>
    <m/>
    <s v="Daga Kapil Mr ."/>
    <x v="7"/>
    <s v="6E"/>
    <s v="6ERC6GJK"/>
    <s v="25-FEB-14"/>
    <n v="4273"/>
    <n v="933"/>
    <n v="5206"/>
    <n v="7234"/>
    <n v="5206"/>
    <e v="#REF!"/>
    <n v="1"/>
    <n v="0"/>
    <n v="0"/>
    <n v="5206"/>
    <n v="0"/>
    <n v="0"/>
    <n v="0"/>
  </r>
  <r>
    <s v="12/12/2013"/>
    <s v="VI0003185"/>
    <m/>
    <m/>
    <s v="Daga Kapil Mr ."/>
    <x v="51"/>
    <s v=""/>
    <s v="Malaysia"/>
    <s v=""/>
    <n v="1300"/>
    <n v="600"/>
    <n v="1900"/>
    <n v="1900"/>
    <n v="1900"/>
    <n v="0"/>
    <n v="0"/>
    <n v="1"/>
    <n v="0"/>
    <n v="0"/>
    <n v="1900"/>
    <n v="0"/>
    <n v="0"/>
  </r>
  <r>
    <s v="20/01/2014"/>
    <s v="AI0042289"/>
    <m/>
    <m/>
    <s v="Daga Kapil Mr ."/>
    <x v="52"/>
    <s v="TR"/>
    <s v="388FMNOZHLOJP"/>
    <d v="2014-01-22T00:00:00"/>
    <n v="7959"/>
    <n v="2770"/>
    <n v="10729"/>
    <n v="10729"/>
    <n v="10729"/>
    <n v="0"/>
    <n v="0"/>
    <n v="1"/>
    <n v="0"/>
    <n v="0"/>
    <n v="10729"/>
    <n v="0"/>
    <n v="0"/>
  </r>
  <r>
    <s v="24/07/2013"/>
    <s v="AI0017068"/>
    <m/>
    <m/>
    <s v="Daliparthi   Krishna  Mr."/>
    <x v="18"/>
    <s v="6E"/>
    <s v="6EAZJEMT1"/>
    <s v="25-JUL-13"/>
    <n v="2899"/>
    <n v="2348"/>
    <n v="5247"/>
    <n v="5161"/>
    <n v="5247"/>
    <m/>
    <n v="0"/>
    <n v="1"/>
    <n v="0"/>
    <n v="0"/>
    <n v="5247"/>
    <n v="0"/>
    <n v="0"/>
  </r>
  <r>
    <s v="23/07/2013"/>
    <s v="AI0016924"/>
    <s v="AR0002445"/>
    <m/>
    <s v="Daliparthi   Krishna  Mr."/>
    <x v="53"/>
    <s v="6E"/>
    <s v="6EAZKZRT1"/>
    <s v="25-JUL-13"/>
    <n v="2842"/>
    <n v="4637"/>
    <n v="7479"/>
    <n v="7479"/>
    <n v="7479"/>
    <n v="2000"/>
    <n v="0"/>
    <n v="1"/>
    <n v="0"/>
    <n v="0"/>
    <n v="7479"/>
    <n v="0"/>
    <n v="0"/>
  </r>
  <r>
    <s v="03/04/2013"/>
    <s v="AI0000413"/>
    <m/>
    <s v="INTERNAL"/>
    <s v="Das   Ramakant  Mr."/>
    <x v="54"/>
    <s v="G8"/>
    <s v="104I6BYMF2"/>
    <s v="05-APR-13"/>
    <n v="2040"/>
    <n v="2692"/>
    <n v="4732"/>
    <n v="4732"/>
    <n v="4732"/>
    <m/>
    <n v="0"/>
    <n v="1"/>
    <n v="0"/>
    <n v="0"/>
    <n v="4732"/>
    <n v="0"/>
    <n v="0"/>
  </r>
  <r>
    <s v="03/04/2013"/>
    <s v="AI0000413"/>
    <m/>
    <s v="INTERNAL"/>
    <s v="Das   Ramakant  Mr."/>
    <x v="55"/>
    <s v="SG"/>
    <s v="775HHN3AP1"/>
    <s v="05-APR-13"/>
    <n v="2253"/>
    <n v="2449"/>
    <n v="4702"/>
    <n v="4702"/>
    <n v="4702"/>
    <m/>
    <n v="0"/>
    <n v="1"/>
    <n v="0"/>
    <n v="0"/>
    <n v="4702"/>
    <n v="0"/>
    <n v="0"/>
  </r>
  <r>
    <s v="15/04/2013"/>
    <s v="AI0002276"/>
    <m/>
    <s v="INTERNAL"/>
    <s v="Dattani Shyam Mr."/>
    <x v="6"/>
    <s v="AI"/>
    <s v="0983514005695"/>
    <s v="15-APR-13"/>
    <n v="3940"/>
    <n v="3088"/>
    <n v="7028"/>
    <n v="7412.5"/>
    <n v="7028"/>
    <m/>
    <n v="0"/>
    <n v="1"/>
    <n v="0"/>
    <n v="0"/>
    <n v="7028"/>
    <n v="0"/>
    <n v="0"/>
  </r>
  <r>
    <s v="30/04/2013"/>
    <s v="AI0004779"/>
    <m/>
    <m/>
    <s v="Dattani Shyam Mr."/>
    <x v="6"/>
    <s v="9W"/>
    <s v="5893972579209"/>
    <s v="01-MAY-13"/>
    <n v="4500"/>
    <n v="3171"/>
    <n v="7671"/>
    <n v="7412.5"/>
    <n v="7671"/>
    <m/>
    <n v="0"/>
    <n v="1"/>
    <n v="0"/>
    <n v="0"/>
    <n v="7671"/>
    <n v="0"/>
    <n v="0"/>
  </r>
  <r>
    <s v="10/05/2013"/>
    <s v="AI0005979"/>
    <s v="AR0000833"/>
    <m/>
    <s v="Dattani Shyam Mr."/>
    <x v="6"/>
    <s v="9W"/>
    <s v="5893973429933"/>
    <s v="11-MAY-13"/>
    <n v="4500"/>
    <n v="3171"/>
    <n v="7671"/>
    <n v="7412.5"/>
    <n v="7671"/>
    <n v="6521"/>
    <n v="0"/>
    <n v="1"/>
    <n v="0"/>
    <n v="0"/>
    <n v="7671"/>
    <n v="0"/>
    <n v="0"/>
  </r>
  <r>
    <s v="10/05/2013"/>
    <s v="AI0006094"/>
    <m/>
    <m/>
    <s v="Dattani Shyam Mr."/>
    <x v="6"/>
    <s v="6E"/>
    <s v="6EKSJBLV"/>
    <s v="11-MAY-13"/>
    <n v="5874"/>
    <n v="938"/>
    <n v="6812"/>
    <n v="7412.5"/>
    <n v="6812"/>
    <m/>
    <n v="0"/>
    <n v="1"/>
    <n v="0"/>
    <n v="0"/>
    <n v="6812"/>
    <n v="0"/>
    <n v="0"/>
  </r>
  <r>
    <s v="31/05/2013"/>
    <s v="AI0009225"/>
    <m/>
    <m/>
    <s v="Dattani Shyam Mr."/>
    <x v="6"/>
    <s v="9W"/>
    <s v="5893974400181"/>
    <s v="03-JUN-13"/>
    <n v="4550"/>
    <n v="3122"/>
    <n v="7672"/>
    <n v="7412.5"/>
    <n v="7672"/>
    <m/>
    <n v="0"/>
    <n v="1"/>
    <n v="0"/>
    <n v="0"/>
    <n v="7672"/>
    <n v="0"/>
    <n v="0"/>
  </r>
  <r>
    <s v="18/06/2013"/>
    <s v="AI0011854"/>
    <m/>
    <m/>
    <s v="Dattani Shyam Mr."/>
    <x v="6"/>
    <s v="9W"/>
    <s v="5893975353892"/>
    <s v="19-JUN-13"/>
    <n v="4550"/>
    <n v="3121"/>
    <n v="7671"/>
    <n v="7412.5"/>
    <n v="7671"/>
    <m/>
    <n v="0"/>
    <n v="1"/>
    <n v="0"/>
    <n v="0"/>
    <n v="7671"/>
    <n v="0"/>
    <n v="0"/>
  </r>
  <r>
    <s v="09/07/2013"/>
    <s v="AI0014740"/>
    <m/>
    <m/>
    <s v="Dattani Shyam Mr."/>
    <x v="6"/>
    <s v="AI"/>
    <s v="0983976120150"/>
    <s v="09/07/2013"/>
    <n v="950"/>
    <n v="2922"/>
    <n v="3872"/>
    <n v="7412.5"/>
    <n v="3872"/>
    <m/>
    <n v="1"/>
    <n v="0"/>
    <n v="0"/>
    <n v="3872"/>
    <n v="0"/>
    <n v="0"/>
    <n v="0"/>
  </r>
  <r>
    <s v="08/08/2013"/>
    <s v="AI0019244"/>
    <m/>
    <m/>
    <s v="Dattani Shyam Mr."/>
    <x v="6"/>
    <s v="9W"/>
    <s v="5894145233348"/>
    <s v="11-AUG-13"/>
    <n v="3835"/>
    <n v="1771"/>
    <n v="5606"/>
    <n v="7412.5"/>
    <n v="5606"/>
    <m/>
    <n v="1"/>
    <n v="0"/>
    <n v="0"/>
    <n v="5606"/>
    <n v="0"/>
    <n v="0"/>
    <n v="0"/>
  </r>
  <r>
    <s v="27/08/2013"/>
    <s v="AI0021825"/>
    <m/>
    <m/>
    <s v="Dattani Shyam Mr."/>
    <x v="6"/>
    <s v="AI"/>
    <s v="0984146113213"/>
    <s v="28-AUG-13"/>
    <n v="2585"/>
    <n v="3113"/>
    <n v="5698"/>
    <n v="7412.5"/>
    <n v="5698"/>
    <n v="0"/>
    <n v="1"/>
    <n v="0"/>
    <n v="0"/>
    <n v="5698"/>
    <n v="0"/>
    <n v="0"/>
    <n v="0"/>
  </r>
  <r>
    <s v="10/09/2013"/>
    <s v="AI0023599"/>
    <m/>
    <m/>
    <s v="Dattani Shyam Mr."/>
    <x v="6"/>
    <s v="9W"/>
    <s v="5894146516231"/>
    <s v="12-SEP-13"/>
    <n v="5540"/>
    <n v="1865"/>
    <n v="7405"/>
    <n v="7412.5"/>
    <n v="7405"/>
    <n v="0"/>
    <n v="0"/>
    <n v="1"/>
    <n v="0"/>
    <n v="0"/>
    <n v="7405"/>
    <n v="0"/>
    <n v="0"/>
  </r>
  <r>
    <s v="03/10/2013"/>
    <s v="AI0027406"/>
    <m/>
    <m/>
    <s v="Dattani Shyam Mr."/>
    <x v="6"/>
    <s v="9W"/>
    <s v="5894147756426"/>
    <s v="03-OCT-13"/>
    <n v="5200"/>
    <n v="1945"/>
    <n v="7145"/>
    <n v="7412.5"/>
    <n v="7145"/>
    <n v="0"/>
    <n v="0"/>
    <n v="1"/>
    <n v="0"/>
    <n v="0"/>
    <n v="7145"/>
    <n v="0"/>
    <n v="0"/>
  </r>
  <r>
    <s v="25/12/2013"/>
    <s v="AI0039145"/>
    <m/>
    <m/>
    <s v="Dattani Shyam Mr."/>
    <x v="6"/>
    <s v="9W"/>
    <s v="5894341325854"/>
    <s v="26-DEC-13"/>
    <n v="6100"/>
    <n v="1896"/>
    <n v="7996"/>
    <n v="7412.5"/>
    <n v="7996"/>
    <n v="0"/>
    <n v="0"/>
    <n v="1"/>
    <n v="0"/>
    <n v="0"/>
    <n v="7996"/>
    <n v="0"/>
    <n v="0"/>
  </r>
  <r>
    <s v="29/08/2013"/>
    <s v="AI0022099"/>
    <m/>
    <m/>
    <s v="Dattani Shyam Mr."/>
    <x v="18"/>
    <s v="SG"/>
    <s v="775W66D2M"/>
    <s v="30-AUG-13"/>
    <n v="2931"/>
    <n v="775"/>
    <n v="3706"/>
    <n v="5161"/>
    <n v="3706"/>
    <n v="0"/>
    <n v="1"/>
    <n v="0"/>
    <n v="0"/>
    <n v="3706"/>
    <n v="0"/>
    <n v="0"/>
    <n v="0"/>
  </r>
  <r>
    <s v="05/06/2013"/>
    <s v="RA0000065"/>
    <m/>
    <m/>
    <s v="Dattani Shyam Mr."/>
    <x v="0"/>
    <s v=""/>
    <s v="696669478"/>
    <s v="05-JUN-13"/>
    <n v="512"/>
    <n v="112"/>
    <n v="624"/>
    <n v="749"/>
    <n v="624"/>
    <m/>
    <n v="0"/>
    <n v="1"/>
    <n v="0"/>
    <n v="0"/>
    <n v="624"/>
    <n v="0"/>
    <n v="0"/>
  </r>
  <r>
    <s v="03/04/2013"/>
    <s v="AI0000499"/>
    <m/>
    <s v="INTERNAL"/>
    <s v="Dattani Shyam Mr."/>
    <x v="7"/>
    <s v="SG"/>
    <s v="775AHGGDQ"/>
    <s v="05-APR-13"/>
    <n v="5672"/>
    <n v="1010"/>
    <n v="6682"/>
    <n v="7234"/>
    <n v="6682"/>
    <m/>
    <n v="0"/>
    <n v="1"/>
    <n v="0"/>
    <n v="0"/>
    <n v="6682"/>
    <n v="0"/>
    <n v="0"/>
  </r>
  <r>
    <s v="30/04/2013"/>
    <s v="AI0004782"/>
    <m/>
    <m/>
    <s v="Dattani Shyam Mr."/>
    <x v="7"/>
    <s v="6E"/>
    <s v="6EDSGFER"/>
    <s v="03-MAY-13"/>
    <n v="5924"/>
    <n v="1024"/>
    <n v="6948"/>
    <n v="7234"/>
    <n v="6948"/>
    <m/>
    <n v="0"/>
    <n v="1"/>
    <n v="0"/>
    <n v="0"/>
    <n v="6948"/>
    <n v="0"/>
    <n v="0"/>
  </r>
  <r>
    <s v="29/05/2013"/>
    <s v="AI0008776"/>
    <m/>
    <m/>
    <s v="Dattani Shyam Mr."/>
    <x v="7"/>
    <s v="9W"/>
    <s v="5893974400087"/>
    <s v="29-MAY-13"/>
    <n v="4550"/>
    <n v="3205"/>
    <n v="7755"/>
    <n v="7234"/>
    <n v="7755"/>
    <m/>
    <n v="0"/>
    <n v="1"/>
    <n v="0"/>
    <n v="0"/>
    <n v="7755"/>
    <n v="0"/>
    <n v="0"/>
  </r>
  <r>
    <s v="31/05/2013"/>
    <s v="AI0009429"/>
    <m/>
    <m/>
    <s v="Dattani Shyam Mr."/>
    <x v="7"/>
    <s v="6E"/>
    <s v="6EWTLIDV"/>
    <s v="04-JUN-13"/>
    <n v="5924"/>
    <n v="1024"/>
    <n v="6948"/>
    <n v="7234"/>
    <n v="6948"/>
    <m/>
    <n v="0"/>
    <n v="1"/>
    <n v="0"/>
    <n v="0"/>
    <n v="6948"/>
    <n v="0"/>
    <n v="0"/>
  </r>
  <r>
    <s v="30/06/2013"/>
    <s v="AI0013394"/>
    <m/>
    <m/>
    <s v="Dattani Shyam Mr."/>
    <x v="7"/>
    <s v="AI"/>
    <s v="0983975712875"/>
    <s v="01-JUL-13"/>
    <n v="1400"/>
    <n v="3030"/>
    <n v="4430"/>
    <n v="7234"/>
    <n v="4430"/>
    <m/>
    <n v="1"/>
    <n v="0"/>
    <n v="0"/>
    <n v="4430"/>
    <n v="0"/>
    <n v="0"/>
    <n v="0"/>
  </r>
  <r>
    <s v="01/07/2013"/>
    <s v="AI0013574"/>
    <m/>
    <m/>
    <s v="Dattani Shyam Mr."/>
    <x v="7"/>
    <s v="6E"/>
    <s v="6ECV54BZ1"/>
    <s v="01/07/2013"/>
    <n v="1400"/>
    <n v="2649"/>
    <n v="4049"/>
    <n v="7234"/>
    <n v="4049"/>
    <m/>
    <n v="1"/>
    <n v="0"/>
    <n v="0"/>
    <n v="4049"/>
    <n v="0"/>
    <n v="0"/>
    <n v="0"/>
  </r>
  <r>
    <s v="30/07/2013"/>
    <s v="AI0017868"/>
    <m/>
    <m/>
    <s v="Dattani Shyam Mr."/>
    <x v="7"/>
    <s v="AI"/>
    <s v="0984144897505"/>
    <s v="31-JUL-13"/>
    <n v="532"/>
    <n v="2457"/>
    <n v="2989"/>
    <n v="7234"/>
    <n v="2989"/>
    <m/>
    <n v="1"/>
    <n v="0"/>
    <n v="0"/>
    <n v="2989"/>
    <n v="0"/>
    <n v="0"/>
    <n v="0"/>
  </r>
  <r>
    <s v="13/08/2013"/>
    <s v="AI0019606"/>
    <m/>
    <m/>
    <s v="Dattani Shyam Mr."/>
    <x v="7"/>
    <s v="6E"/>
    <s v="6EX16SMH"/>
    <s v="15-AUG-13"/>
    <n v="4003"/>
    <n v="917"/>
    <n v="4920"/>
    <n v="7234"/>
    <n v="4920"/>
    <m/>
    <n v="1"/>
    <n v="0"/>
    <n v="0"/>
    <n v="4920"/>
    <n v="0"/>
    <n v="0"/>
    <n v="0"/>
  </r>
  <r>
    <s v="28/08/2013"/>
    <s v="AI0021817"/>
    <m/>
    <m/>
    <s v="Dattani Shyam Mr."/>
    <x v="7"/>
    <s v="9W"/>
    <s v="5894146108879"/>
    <s v="29-AUG-13"/>
    <n v="3835"/>
    <n v="1854"/>
    <n v="5689"/>
    <n v="7234"/>
    <n v="5689"/>
    <n v="0"/>
    <n v="1"/>
    <n v="0"/>
    <n v="0"/>
    <n v="5689"/>
    <n v="0"/>
    <n v="0"/>
    <n v="0"/>
  </r>
  <r>
    <s v="13/09/2013"/>
    <s v="AI0024219"/>
    <m/>
    <m/>
    <s v="Dattani Shyam Mr."/>
    <x v="7"/>
    <s v="AI"/>
    <s v="0984146982182"/>
    <s v="13-SEP-13"/>
    <n v="4700"/>
    <n v="3337"/>
    <n v="8037"/>
    <n v="7234"/>
    <n v="8037"/>
    <n v="0"/>
    <n v="0"/>
    <n v="0"/>
    <n v="1"/>
    <n v="0"/>
    <n v="0"/>
    <n v="8037"/>
    <n v="37"/>
  </r>
  <r>
    <s v="18/12/2013"/>
    <s v="AI0038405"/>
    <m/>
    <m/>
    <s v="Dattani Shyam Mr."/>
    <x v="7"/>
    <s v="AI"/>
    <s v="0984340930194"/>
    <s v="19-DEC-13"/>
    <n v="4620"/>
    <n v="3208"/>
    <n v="7828"/>
    <n v="7234"/>
    <n v="7828"/>
    <n v="0"/>
    <n v="0"/>
    <n v="1"/>
    <n v="0"/>
    <n v="0"/>
    <n v="7828"/>
    <n v="0"/>
    <n v="0"/>
  </r>
  <r>
    <s v="18/02/2014"/>
    <s v="AI0047028"/>
    <m/>
    <m/>
    <s v="Dattani Shyam Mr."/>
    <x v="7"/>
    <s v="6E"/>
    <s v="6EC52Y8M"/>
    <s v="19-FEB-14"/>
    <n v="4273"/>
    <n v="933"/>
    <n v="5206"/>
    <n v="7234"/>
    <n v="5206"/>
    <e v="#REF!"/>
    <n v="1"/>
    <n v="0"/>
    <n v="0"/>
    <n v="5206"/>
    <n v="0"/>
    <n v="0"/>
    <n v="0"/>
  </r>
  <r>
    <s v="15/04/2013"/>
    <s v="AI0002276"/>
    <m/>
    <s v="INTERNAL"/>
    <s v="Dattani Shyam Mr."/>
    <x v="22"/>
    <s v="AI"/>
    <s v="0983514005696"/>
    <s v="18-APR-13"/>
    <n v="5060"/>
    <n v="4538"/>
    <n v="9598"/>
    <n v="10079"/>
    <n v="9598"/>
    <m/>
    <n v="0"/>
    <n v="1"/>
    <n v="0"/>
    <n v="0"/>
    <n v="9598"/>
    <n v="0"/>
    <n v="0"/>
  </r>
  <r>
    <s v="05/06/2013"/>
    <s v="RA0000065"/>
    <m/>
    <m/>
    <s v="Dattani Shyam Mr."/>
    <x v="1"/>
    <s v=""/>
    <s v="696685594"/>
    <s v="07-JUN-13"/>
    <n v="1393"/>
    <n v="112"/>
    <n v="1505"/>
    <n v="824"/>
    <n v="1505"/>
    <m/>
    <n v="0"/>
    <n v="0"/>
    <n v="1"/>
    <n v="0"/>
    <n v="0"/>
    <n v="1505"/>
    <n v="505"/>
  </r>
  <r>
    <s v="15/04/2013"/>
    <s v="AI0002361"/>
    <m/>
    <s v="INTERNAL"/>
    <s v="Dattani Shyam Mr."/>
    <x v="56"/>
    <s v="6E"/>
    <s v="6EGR79DV"/>
    <s v="19-APR-13"/>
    <n v="8306"/>
    <n v="1398"/>
    <n v="9704"/>
    <n v="9704"/>
    <n v="9704"/>
    <m/>
    <n v="0"/>
    <n v="1"/>
    <n v="0"/>
    <n v="0"/>
    <n v="9704"/>
    <n v="0"/>
    <n v="0"/>
  </r>
  <r>
    <s v="30/08/2013"/>
    <s v="AI0022260"/>
    <m/>
    <m/>
    <s v="Dattani Shyam Mr."/>
    <x v="19"/>
    <s v="6E"/>
    <s v="6EL1N6NV"/>
    <s v="31-AUG-13"/>
    <n v="3017"/>
    <n v="1003"/>
    <n v="4020"/>
    <n v="5438"/>
    <n v="4020"/>
    <n v="0"/>
    <n v="1"/>
    <n v="0"/>
    <n v="0"/>
    <n v="4020"/>
    <n v="0"/>
    <n v="0"/>
    <n v="0"/>
  </r>
  <r>
    <s v="18/02/2014"/>
    <s v="AI0047029"/>
    <m/>
    <m/>
    <s v="Dattani Shyam Mr."/>
    <x v="57"/>
    <s v="6E"/>
    <s v="6EC9HCXQ"/>
    <s v="25-FEB-14"/>
    <n v="7333"/>
    <n v="868"/>
    <n v="8201"/>
    <n v="8201"/>
    <n v="8201"/>
    <e v="#REF!"/>
    <n v="0"/>
    <n v="1"/>
    <n v="0"/>
    <n v="0"/>
    <n v="8201"/>
    <n v="0"/>
    <n v="0"/>
  </r>
  <r>
    <s v="06/06/2013"/>
    <s v="AI0010086"/>
    <m/>
    <m/>
    <s v="Devadas Raviraj Mr."/>
    <x v="6"/>
    <s v="AI"/>
    <s v="0983974847598"/>
    <s v="10-JUN-13"/>
    <n v="4400"/>
    <n v="3113"/>
    <n v="7513"/>
    <n v="7412.5"/>
    <n v="7513"/>
    <m/>
    <n v="0"/>
    <n v="1"/>
    <n v="0"/>
    <n v="0"/>
    <n v="7513"/>
    <n v="0"/>
    <n v="0"/>
  </r>
  <r>
    <s v="22/01/2014"/>
    <s v="AI0042603"/>
    <s v="AR0006270"/>
    <m/>
    <s v="Devadas Raviraj Mr."/>
    <x v="8"/>
    <s v="9W"/>
    <s v="5894342458271"/>
    <s v="24-01-14"/>
    <n v="10640"/>
    <n v="3661"/>
    <n v="14301"/>
    <n v="14406"/>
    <n v="14301"/>
    <n v="11051"/>
    <n v="0"/>
    <n v="1"/>
    <n v="0"/>
    <n v="0"/>
    <n v="14301"/>
    <n v="0"/>
    <n v="0"/>
  </r>
  <r>
    <s v="28/01/2014"/>
    <s v="AI0043572"/>
    <m/>
    <m/>
    <s v="Devadas Raviraj Mr."/>
    <x v="8"/>
    <s v="9W"/>
    <s v="5894342458432"/>
    <s v="31-01-14"/>
    <n v="10640"/>
    <n v="3548"/>
    <n v="14188"/>
    <n v="14406"/>
    <n v="14188"/>
    <n v="0"/>
    <n v="0"/>
    <n v="1"/>
    <n v="0"/>
    <n v="0"/>
    <n v="14188"/>
    <n v="0"/>
    <n v="0"/>
  </r>
  <r>
    <s v="06/06/2013"/>
    <s v="AI0010086"/>
    <m/>
    <m/>
    <s v="Devadas Raviraj Mr."/>
    <x v="7"/>
    <s v="6E"/>
    <s v="6EJTPECW2"/>
    <s v="10-JUN-13"/>
    <n v="3720"/>
    <n v="3481"/>
    <n v="7201"/>
    <n v="7234"/>
    <n v="7201"/>
    <m/>
    <n v="0"/>
    <n v="1"/>
    <n v="0"/>
    <n v="0"/>
    <n v="7201"/>
    <n v="0"/>
    <n v="0"/>
  </r>
  <r>
    <s v="07/10/2013"/>
    <s v="AI0027879"/>
    <m/>
    <m/>
    <s v="Dharmalingam  Subramaniam Mr."/>
    <x v="58"/>
    <s v="AI"/>
    <s v="0984148005264"/>
    <s v="12-OCT-13"/>
    <n v="34500"/>
    <n v="43500"/>
    <n v="78000"/>
    <n v="78000"/>
    <n v="78000"/>
    <n v="0"/>
    <n v="0"/>
    <n v="1"/>
    <n v="0"/>
    <n v="0"/>
    <n v="78000"/>
    <n v="0"/>
    <n v="0"/>
  </r>
  <r>
    <s v="22/10/2013"/>
    <s v="AI0030102"/>
    <m/>
    <m/>
    <s v="Dharmalingam  Subramaniam Mr."/>
    <x v="59"/>
    <s v="AI"/>
    <s v="0984338909111"/>
    <s v="30-10-13"/>
    <n v="9000"/>
    <n v="12870"/>
    <n v="21870"/>
    <n v="21870"/>
    <n v="21870"/>
    <n v="0"/>
    <n v="0"/>
    <n v="1"/>
    <n v="0"/>
    <n v="0"/>
    <n v="21870"/>
    <n v="0"/>
    <n v="0"/>
  </r>
  <r>
    <s v="30/08/2013"/>
    <s v="AI0022247"/>
    <m/>
    <m/>
    <s v="Dixit   Nitesh  Mr."/>
    <x v="6"/>
    <s v="AI"/>
    <s v="0984146108960"/>
    <s v="05-SEP-13"/>
    <n v="1445"/>
    <n v="2425"/>
    <n v="3870"/>
    <n v="7412.5"/>
    <n v="7773"/>
    <n v="0"/>
    <n v="0"/>
    <n v="1"/>
    <n v="0"/>
    <n v="0"/>
    <n v="7773"/>
    <n v="0"/>
    <n v="0"/>
  </r>
  <r>
    <s v="30/08/2013"/>
    <s v="AI0022247"/>
    <m/>
    <m/>
    <s v="Dixit   Nitesh  Mr."/>
    <x v="7"/>
    <s v="SG"/>
    <s v="775A1YRYL1"/>
    <s v="05-SEP-13"/>
    <n v="1269"/>
    <n v="2634"/>
    <n v="3903"/>
    <n v="7234"/>
    <n v="3903"/>
    <n v="0"/>
    <n v="1"/>
    <n v="0"/>
    <n v="0"/>
    <n v="3903"/>
    <n v="0"/>
    <n v="0"/>
    <n v="0"/>
  </r>
  <r>
    <s v="12/10/2013"/>
    <s v="AI0028863"/>
    <m/>
    <m/>
    <s v="Duranceau  Sofieanh Ms."/>
    <x v="60"/>
    <s v="AC"/>
    <s v="0144148159427"/>
    <s v="15-OCT-13"/>
    <n v="70705"/>
    <n v="48295"/>
    <n v="119000"/>
    <n v="119000"/>
    <n v="119000"/>
    <n v="0"/>
    <n v="0"/>
    <n v="1"/>
    <n v="0"/>
    <n v="0"/>
    <n v="119000"/>
    <n v="0"/>
    <n v="0"/>
  </r>
  <r>
    <s v="19/10/2013"/>
    <s v="AI0029703"/>
    <m/>
    <m/>
    <s v="Gantotti   Sandeep  Mr ."/>
    <x v="61"/>
    <s v="BA"/>
    <s v="1254338816971"/>
    <s v="22-10-13"/>
    <n v="27000"/>
    <n v="45000"/>
    <n v="72000"/>
    <n v="83000"/>
    <n v="72000"/>
    <n v="0"/>
    <n v="1"/>
    <n v="0"/>
    <n v="0"/>
    <n v="72000"/>
    <n v="0"/>
    <n v="0"/>
    <n v="0"/>
  </r>
  <r>
    <s v="21/02/2014"/>
    <s v="AI0047475"/>
    <m/>
    <m/>
    <s v="Gantotti   Sandeep  Mr ."/>
    <x v="7"/>
    <s v="9W"/>
    <s v="5894815122212"/>
    <s v="21-FEB-14"/>
    <n v="5500"/>
    <n v="1945"/>
    <n v="7445"/>
    <n v="7234"/>
    <n v="7445"/>
    <e v="#REF!"/>
    <n v="0"/>
    <n v="1"/>
    <n v="0"/>
    <n v="0"/>
    <n v="7445"/>
    <n v="0"/>
    <n v="0"/>
  </r>
  <r>
    <s v="27/08/2013"/>
    <s v="AI0021625"/>
    <m/>
    <m/>
    <s v="Garg Nikita Ms ."/>
    <x v="6"/>
    <s v="9W"/>
    <s v="5894146113179"/>
    <s v="28-AUG-13"/>
    <n v="2540"/>
    <n v="1698"/>
    <n v="4238"/>
    <n v="7412.5"/>
    <n v="4238"/>
    <n v="0"/>
    <n v="1"/>
    <n v="0"/>
    <n v="0"/>
    <n v="4238"/>
    <n v="0"/>
    <n v="0"/>
    <n v="0"/>
  </r>
  <r>
    <s v="18/11/2013"/>
    <s v="AI0033992"/>
    <m/>
    <m/>
    <s v="Garg Nikita Ms ."/>
    <x v="8"/>
    <s v="9W"/>
    <s v="5894339907846"/>
    <s v="19-NOV-13"/>
    <n v="10800"/>
    <n v="3668"/>
    <n v="14468"/>
    <n v="14406"/>
    <n v="14468"/>
    <n v="0"/>
    <n v="0"/>
    <n v="1"/>
    <n v="0"/>
    <n v="0"/>
    <n v="14468"/>
    <n v="0"/>
    <n v="0"/>
  </r>
  <r>
    <s v="24/12/2013"/>
    <s v="AI0039115"/>
    <m/>
    <m/>
    <s v="Garg Nikita Ms ."/>
    <x v="16"/>
    <s v="AI"/>
    <s v="0984341343171"/>
    <s v="26-DEC-13"/>
    <n v="11312"/>
    <n v="10303"/>
    <n v="21615"/>
    <n v="20521"/>
    <n v="21615"/>
    <n v="0"/>
    <n v="0"/>
    <n v="1"/>
    <n v="0"/>
    <n v="0"/>
    <n v="21615"/>
    <n v="0"/>
    <n v="0"/>
  </r>
  <r>
    <s v="08/01/2014"/>
    <s v="AI0040785"/>
    <m/>
    <m/>
    <s v="Garg Nikita Ms ."/>
    <x v="16"/>
    <s v="9W"/>
    <s v="5894341890560"/>
    <s v="10-JAN-14"/>
    <n v="12800"/>
    <n v="7868"/>
    <n v="20668"/>
    <n v="20521"/>
    <n v="20668"/>
    <m/>
    <n v="0"/>
    <n v="1"/>
    <n v="0"/>
    <n v="0"/>
    <n v="20668"/>
    <n v="0"/>
    <n v="0"/>
  </r>
  <r>
    <s v="23/07/2013"/>
    <s v="AI0016749"/>
    <m/>
    <m/>
    <s v="Garg Nikita Ms ."/>
    <x v="6"/>
    <s v="6E"/>
    <s v="6EPZJ1TB1"/>
    <s v="24-JUL-13"/>
    <n v="2985"/>
    <n v="2691"/>
    <n v="5676"/>
    <n v="7412.5"/>
    <n v="5676"/>
    <m/>
    <n v="1"/>
    <n v="0"/>
    <n v="0"/>
    <n v="5676"/>
    <n v="0"/>
    <n v="0"/>
    <n v="0"/>
  </r>
  <r>
    <s v="17/09/2013"/>
    <s v="AI0024865"/>
    <m/>
    <m/>
    <s v="Garg Nikita Ms ."/>
    <x v="6"/>
    <s v="AI"/>
    <s v="0984146953167"/>
    <s v="19-SEP-13"/>
    <n v="4250"/>
    <n v="3105"/>
    <n v="7355"/>
    <n v="7412.5"/>
    <n v="14710"/>
    <n v="0"/>
    <n v="0"/>
    <n v="0"/>
    <n v="1"/>
    <n v="0"/>
    <n v="0"/>
    <n v="14710"/>
    <n v="6510"/>
  </r>
  <r>
    <s v="03/10/2013"/>
    <s v="AI0027345"/>
    <m/>
    <m/>
    <s v="Garg Nikita Ms ."/>
    <x v="6"/>
    <s v="9W"/>
    <s v="5894147816557"/>
    <s v="04-OCT-13"/>
    <n v="6290"/>
    <n v="1906"/>
    <n v="8196"/>
    <n v="7412.5"/>
    <n v="16114"/>
    <n v="0"/>
    <n v="0"/>
    <n v="0"/>
    <n v="1"/>
    <n v="0"/>
    <n v="0"/>
    <n v="16114"/>
    <n v="7914"/>
  </r>
  <r>
    <s v="19/02/2014"/>
    <s v="AI0047196"/>
    <m/>
    <m/>
    <s v="Garg Nikita Ms ."/>
    <x v="6"/>
    <s v="AI"/>
    <s v="0984815144023"/>
    <s v="21-FEB-14"/>
    <n v="4620"/>
    <n v="3125"/>
    <n v="7745"/>
    <n v="7412.5"/>
    <n v="15573"/>
    <e v="#REF!"/>
    <n v="0"/>
    <n v="0"/>
    <n v="1"/>
    <n v="0"/>
    <n v="0"/>
    <n v="15573"/>
    <n v="7373"/>
  </r>
  <r>
    <s v="10/07/2013"/>
    <s v="AI0014879"/>
    <m/>
    <m/>
    <s v="Garg Nikita Ms ."/>
    <x v="8"/>
    <s v="6E"/>
    <s v="6ECZ7KNR1"/>
    <s v="10/07/2013"/>
    <n v="1488"/>
    <n v="4999"/>
    <n v="6487"/>
    <n v="14406"/>
    <n v="6487"/>
    <m/>
    <n v="1"/>
    <n v="0"/>
    <n v="0"/>
    <n v="6487"/>
    <n v="0"/>
    <n v="0"/>
    <n v="0"/>
  </r>
  <r>
    <s v="05/08/2013"/>
    <s v="AI0018642"/>
    <m/>
    <m/>
    <s v="Garg Nikita Ms ."/>
    <x v="21"/>
    <s v="AI"/>
    <s v="0984144897744"/>
    <s v="08-AUG-13"/>
    <n v="2165"/>
    <n v="4504"/>
    <n v="6669"/>
    <n v="10605"/>
    <n v="6669"/>
    <m/>
    <n v="1"/>
    <n v="0"/>
    <n v="0"/>
    <n v="6669"/>
    <n v="0"/>
    <n v="0"/>
    <n v="0"/>
  </r>
  <r>
    <s v="28/10/2013"/>
    <s v="AI0030694"/>
    <m/>
    <m/>
    <s v="Garg Nikita Ms ."/>
    <x v="21"/>
    <s v="AI"/>
    <s v="0984339005604"/>
    <s v="30-10-13"/>
    <n v="6640"/>
    <n v="5277"/>
    <n v="11917"/>
    <n v="10605"/>
    <n v="22217"/>
    <n v="0"/>
    <n v="0"/>
    <n v="0"/>
    <n v="1"/>
    <n v="0"/>
    <n v="0"/>
    <n v="22217"/>
    <n v="10517"/>
  </r>
  <r>
    <s v="23/07/2013"/>
    <s v="AI0016749"/>
    <s v="AR0002551"/>
    <m/>
    <s v="Garg Nikita Ms ."/>
    <x v="7"/>
    <s v="9W"/>
    <s v="5894144546008"/>
    <s v="25-JUL-13"/>
    <n v="2540"/>
    <n v="1677"/>
    <n v="4217"/>
    <n v="7234"/>
    <n v="4217"/>
    <n v="2858"/>
    <n v="1"/>
    <n v="0"/>
    <n v="0"/>
    <n v="4217"/>
    <n v="0"/>
    <n v="0"/>
    <n v="0"/>
  </r>
  <r>
    <s v="26/07/2013"/>
    <s v="AI0017242"/>
    <m/>
    <m/>
    <s v="Garg Nikita Ms ."/>
    <x v="7"/>
    <s v="6E"/>
    <s v="6EVZWETM1"/>
    <s v="28-JUL-13"/>
    <n v="1445"/>
    <n v="2655"/>
    <n v="4100"/>
    <n v="7234"/>
    <n v="4100"/>
    <m/>
    <n v="1"/>
    <n v="0"/>
    <n v="0"/>
    <n v="4100"/>
    <n v="0"/>
    <n v="0"/>
    <n v="0"/>
  </r>
  <r>
    <s v="12/08/2013"/>
    <s v="AI0019397"/>
    <m/>
    <m/>
    <s v="Garg Nikita Ms ."/>
    <x v="7"/>
    <s v="AI"/>
    <s v="0984145233394"/>
    <s v="13-AUG-13"/>
    <n v="1445"/>
    <n v="2508"/>
    <n v="3953"/>
    <n v="7234"/>
    <n v="3953"/>
    <m/>
    <n v="1"/>
    <n v="0"/>
    <n v="0"/>
    <n v="3953"/>
    <n v="0"/>
    <n v="0"/>
    <n v="0"/>
  </r>
  <r>
    <s v="27/08/2013"/>
    <s v="AI0021437"/>
    <m/>
    <m/>
    <s v="Garg Nikita Ms ."/>
    <x v="7"/>
    <s v="6E"/>
    <s v="6EB1KKNF1"/>
    <s v="28-AUG-13"/>
    <n v="2985"/>
    <n v="2837"/>
    <n v="5822"/>
    <n v="7234"/>
    <n v="5822"/>
    <n v="0"/>
    <n v="1"/>
    <n v="0"/>
    <n v="0"/>
    <n v="5822"/>
    <n v="0"/>
    <n v="0"/>
    <n v="0"/>
  </r>
  <r>
    <s v="17/09/2013"/>
    <s v="AI0024938"/>
    <m/>
    <m/>
    <s v="Garg Nikita Ms ."/>
    <x v="7"/>
    <s v="6E"/>
    <s v="6EG28QPN"/>
    <s v="20-SEP-13"/>
    <n v="6306"/>
    <n v="1045"/>
    <n v="7351"/>
    <n v="7234"/>
    <n v="7351"/>
    <n v="0"/>
    <n v="0"/>
    <n v="1"/>
    <n v="0"/>
    <n v="0"/>
    <n v="7351"/>
    <n v="0"/>
    <n v="0"/>
  </r>
  <r>
    <s v="22/09/2013"/>
    <s v="AI0025603"/>
    <m/>
    <m/>
    <s v="Garg Nikita Ms ."/>
    <x v="7"/>
    <s v="6E"/>
    <s v="6EG2CJRN"/>
    <s v="22-SEP-13"/>
    <n v="6306"/>
    <n v="1045"/>
    <n v="7351"/>
    <n v="7234"/>
    <n v="7351"/>
    <n v="0"/>
    <n v="0"/>
    <n v="1"/>
    <n v="0"/>
    <n v="0"/>
    <n v="7351"/>
    <n v="0"/>
    <n v="0"/>
  </r>
  <r>
    <s v="03/10/2013"/>
    <s v="AI0027345"/>
    <m/>
    <m/>
    <s v="Garg Nikita Ms ."/>
    <x v="7"/>
    <s v="SG"/>
    <s v="775U78W7J2"/>
    <s v="08-OCT-13"/>
    <n v="4361"/>
    <n v="3557"/>
    <n v="7918"/>
    <n v="7234"/>
    <n v="7918"/>
    <n v="0"/>
    <n v="0"/>
    <n v="1"/>
    <n v="0"/>
    <n v="0"/>
    <n v="7918"/>
    <n v="0"/>
    <n v="0"/>
  </r>
  <r>
    <s v="19/02/2014"/>
    <s v="AI0047196"/>
    <m/>
    <m/>
    <s v="Garg Nikita Ms ."/>
    <x v="7"/>
    <s v="AI"/>
    <s v="0984815144024"/>
    <s v="23-FEB-14"/>
    <n v="4620"/>
    <n v="3208"/>
    <n v="7828"/>
    <n v="7234"/>
    <n v="7828"/>
    <e v="#REF!"/>
    <n v="0"/>
    <n v="1"/>
    <n v="0"/>
    <n v="0"/>
    <n v="7828"/>
    <n v="0"/>
    <n v="0"/>
  </r>
  <r>
    <s v="06/08/2013"/>
    <s v="AI0018730"/>
    <m/>
    <m/>
    <s v="Garg Nikita Ms ."/>
    <x v="5"/>
    <s v="9W"/>
    <s v="5894145081092"/>
    <s v="11-AUG-13"/>
    <n v="1870"/>
    <n v="3399"/>
    <n v="5269"/>
    <n v="9425"/>
    <n v="5269"/>
    <m/>
    <n v="1"/>
    <n v="0"/>
    <n v="0"/>
    <n v="5269"/>
    <n v="0"/>
    <n v="0"/>
    <n v="0"/>
  </r>
  <r>
    <s v="07/08/2013"/>
    <s v="AI0018953"/>
    <m/>
    <m/>
    <s v="Garg Nikita Ms ."/>
    <x v="62"/>
    <s v="6E"/>
    <s v="6EZ11EPB1"/>
    <s v="11-AUG-13"/>
    <n v="3600"/>
    <n v="4557"/>
    <n v="8157"/>
    <n v="8157"/>
    <n v="8157"/>
    <m/>
    <n v="0"/>
    <n v="1"/>
    <n v="0"/>
    <n v="0"/>
    <n v="8157"/>
    <n v="0"/>
    <n v="0"/>
  </r>
  <r>
    <s v="28/10/2013"/>
    <s v="AI0030694"/>
    <m/>
    <m/>
    <s v="Garg Nikita Ms ."/>
    <x v="24"/>
    <s v="AI"/>
    <s v="0984339005605"/>
    <s v="07-11-13"/>
    <n v="5240"/>
    <n v="5060"/>
    <n v="10300"/>
    <n v="10332"/>
    <n v="10300"/>
    <n v="0"/>
    <n v="0"/>
    <n v="1"/>
    <n v="0"/>
    <n v="0"/>
    <n v="10300"/>
    <n v="0"/>
    <n v="0"/>
  </r>
  <r>
    <s v="06/11/2013"/>
    <s v="AI0031767"/>
    <m/>
    <m/>
    <s v="Garg Nikita Ms ."/>
    <x v="24"/>
    <s v="G8"/>
    <s v="104URR5LY1"/>
    <s v="10-NOV-13"/>
    <n v="7050"/>
    <n v="5794"/>
    <n v="12844"/>
    <n v="10332"/>
    <n v="12844"/>
    <n v="0"/>
    <n v="0"/>
    <n v="0"/>
    <n v="1"/>
    <n v="0"/>
    <n v="0"/>
    <n v="12844"/>
    <n v="1444"/>
  </r>
  <r>
    <s v="30/07/2013"/>
    <s v="AI0017803"/>
    <s v="AR0002544"/>
    <m/>
    <s v="Gaurav Kapoor Mr."/>
    <x v="28"/>
    <s v="6E"/>
    <s v="6ESZP8NN"/>
    <s v="30-JUL-13"/>
    <n v="7645"/>
    <n v="908"/>
    <n v="8553"/>
    <n v="9066"/>
    <n v="8553"/>
    <n v="8453"/>
    <n v="0"/>
    <n v="1"/>
    <n v="0"/>
    <n v="0"/>
    <n v="8553"/>
    <n v="0"/>
    <n v="0"/>
  </r>
  <r>
    <s v="26/07/2013"/>
    <s v="AI0017317"/>
    <m/>
    <m/>
    <s v="Gaurav Kapoor Mr."/>
    <x v="63"/>
    <s v="9W"/>
    <s v="5894144551249"/>
    <s v="30-JUL-13"/>
    <n v="3930"/>
    <n v="2192"/>
    <n v="6122"/>
    <n v="8229.5"/>
    <n v="6122"/>
    <m/>
    <n v="1"/>
    <n v="0"/>
    <n v="0"/>
    <n v="6122"/>
    <n v="0"/>
    <n v="0"/>
    <n v="0"/>
  </r>
  <r>
    <s v="12/09/2013"/>
    <s v="AI0024116"/>
    <m/>
    <m/>
    <s v="Gaurav Kapoor Mr."/>
    <x v="63"/>
    <s v="9W"/>
    <s v="5894146982108"/>
    <s v="20-SEP-13"/>
    <n v="4950"/>
    <n v="5387"/>
    <n v="10337"/>
    <n v="8229.5"/>
    <n v="10337"/>
    <n v="0"/>
    <n v="0"/>
    <n v="0"/>
    <n v="1"/>
    <n v="0"/>
    <n v="0"/>
    <n v="10337"/>
    <n v="1237"/>
  </r>
  <r>
    <s v="12/09/2013"/>
    <s v="AI0024079"/>
    <m/>
    <m/>
    <s v="Gaurav Kapoor Mr."/>
    <x v="39"/>
    <s v="6E"/>
    <s v="6EP24ZMM"/>
    <s v="20-SEP-13"/>
    <n v="8399"/>
    <n v="1078"/>
    <n v="9477"/>
    <n v="9477"/>
    <n v="9477"/>
    <n v="0"/>
    <n v="0"/>
    <n v="1"/>
    <n v="0"/>
    <n v="0"/>
    <n v="9477"/>
    <n v="0"/>
    <n v="0"/>
  </r>
  <r>
    <s v="29/04/2013"/>
    <s v="AI0004503"/>
    <m/>
    <m/>
    <s v="Gaurav Kapoor Mr."/>
    <x v="6"/>
    <s v="9W"/>
    <s v="5893972579186"/>
    <s v="03-MAY-13"/>
    <n v="4500"/>
    <n v="3171"/>
    <n v="7671"/>
    <n v="7412.5"/>
    <n v="7671"/>
    <m/>
    <n v="0"/>
    <n v="1"/>
    <n v="0"/>
    <n v="0"/>
    <n v="7671"/>
    <n v="0"/>
    <n v="0"/>
  </r>
  <r>
    <s v="03/05/2013"/>
    <s v="AI0004956"/>
    <m/>
    <m/>
    <s v="Gaurav Kapoor Mr."/>
    <x v="6"/>
    <s v="9W"/>
    <s v="5893973429753"/>
    <s v="03-MAY-13"/>
    <n v="4500"/>
    <n v="3171"/>
    <n v="7671"/>
    <n v="7412.5"/>
    <n v="7671"/>
    <m/>
    <n v="0"/>
    <n v="1"/>
    <n v="0"/>
    <n v="0"/>
    <n v="7671"/>
    <n v="0"/>
    <n v="0"/>
  </r>
  <r>
    <s v="14/05/2013"/>
    <s v="AI0006445"/>
    <m/>
    <m/>
    <s v="Gaurav Kapoor Mr."/>
    <x v="6"/>
    <s v="9W"/>
    <s v="5893973429996"/>
    <s v="17-MAY-13"/>
    <n v="4500"/>
    <n v="3171"/>
    <n v="7671"/>
    <n v="7412.5"/>
    <n v="7671"/>
    <m/>
    <n v="0"/>
    <n v="1"/>
    <n v="0"/>
    <n v="0"/>
    <n v="7671"/>
    <n v="0"/>
    <n v="0"/>
  </r>
  <r>
    <s v="23/05/2013"/>
    <s v="AI0007875"/>
    <m/>
    <m/>
    <s v="Gaurav Kapoor Mr."/>
    <x v="6"/>
    <s v="9W"/>
    <s v="5893973926434"/>
    <s v="27-MAY-13"/>
    <n v="4500"/>
    <n v="3171"/>
    <n v="7671"/>
    <n v="7412.5"/>
    <n v="7671"/>
    <m/>
    <n v="0"/>
    <n v="1"/>
    <n v="0"/>
    <n v="0"/>
    <n v="7671"/>
    <n v="0"/>
    <n v="0"/>
  </r>
  <r>
    <s v="31/05/2013"/>
    <s v="AI0009204"/>
    <m/>
    <m/>
    <s v="Gaurav Kapoor Mr."/>
    <x v="6"/>
    <s v="9W"/>
    <s v="5893974400178"/>
    <s v="03-JUN-13"/>
    <n v="4550"/>
    <n v="3122"/>
    <n v="7672"/>
    <n v="7412.5"/>
    <n v="7672"/>
    <m/>
    <n v="0"/>
    <n v="1"/>
    <n v="0"/>
    <n v="0"/>
    <n v="7672"/>
    <n v="0"/>
    <n v="0"/>
  </r>
  <r>
    <s v="17/07/2013"/>
    <s v="AI0015978"/>
    <m/>
    <m/>
    <s v="Gaurav Kapoor Mr."/>
    <x v="6"/>
    <s v="9W"/>
    <s v="5893976529139"/>
    <s v="24-JUL-13"/>
    <n v="2540"/>
    <n v="1541"/>
    <n v="4081"/>
    <n v="7412.5"/>
    <n v="4081"/>
    <m/>
    <n v="1"/>
    <n v="0"/>
    <n v="0"/>
    <n v="4081"/>
    <n v="0"/>
    <n v="0"/>
    <n v="0"/>
  </r>
  <r>
    <s v="26/07/2013"/>
    <s v="AI0017265"/>
    <m/>
    <m/>
    <s v="Gaurav Kapoor Mr."/>
    <x v="6"/>
    <s v="AI"/>
    <s v="0984144546096"/>
    <s v="29-JUL-13"/>
    <n v="1716"/>
    <n v="2965"/>
    <n v="4681"/>
    <n v="7412.5"/>
    <n v="4681"/>
    <m/>
    <n v="1"/>
    <n v="0"/>
    <n v="0"/>
    <n v="4681"/>
    <n v="0"/>
    <n v="0"/>
    <n v="0"/>
  </r>
  <r>
    <s v="01/08/2013"/>
    <s v="AI0018177"/>
    <m/>
    <m/>
    <s v="Gaurav Kapoor Mr."/>
    <x v="6"/>
    <s v="9W"/>
    <s v="5894144897566"/>
    <s v="12-AUG-13"/>
    <n v="1638"/>
    <n v="1491"/>
    <n v="3129"/>
    <n v="7412.5"/>
    <n v="3129"/>
    <m/>
    <n v="1"/>
    <n v="0"/>
    <n v="0"/>
    <n v="3129"/>
    <n v="0"/>
    <n v="0"/>
    <n v="0"/>
  </r>
  <r>
    <s v="13/08/2013"/>
    <s v="AI0019577"/>
    <m/>
    <m/>
    <s v="Gaurav Kapoor Mr."/>
    <x v="6"/>
    <s v="9W"/>
    <s v="5894145233426"/>
    <s v="14-AUG-13"/>
    <n v="4360"/>
    <n v="1800"/>
    <n v="6160"/>
    <n v="7412.5"/>
    <n v="6160"/>
    <m/>
    <n v="1"/>
    <n v="0"/>
    <n v="0"/>
    <n v="6160"/>
    <n v="0"/>
    <n v="0"/>
    <n v="0"/>
  </r>
  <r>
    <s v="20/08/2013"/>
    <s v="AI0020557"/>
    <m/>
    <m/>
    <s v="Gaurav Kapoor Mr."/>
    <x v="6"/>
    <s v="9W"/>
    <s v="5894145809109"/>
    <s v="21-AUG-13"/>
    <n v="5340"/>
    <n v="1853"/>
    <n v="7193"/>
    <n v="7412.5"/>
    <n v="7193"/>
    <n v="0"/>
    <n v="0"/>
    <n v="1"/>
    <n v="0"/>
    <n v="0"/>
    <n v="7193"/>
    <n v="0"/>
    <n v="0"/>
  </r>
  <r>
    <s v="23/08/2013"/>
    <s v="AI0020985"/>
    <s v="AR0003083"/>
    <m/>
    <s v="Gaurav Kapoor Mr."/>
    <x v="6"/>
    <s v="6E"/>
    <s v="6EQ1GSSN1"/>
    <s v="08-SEP-13"/>
    <n v="480"/>
    <n v="2395"/>
    <n v="2875"/>
    <n v="7412.5"/>
    <n v="2875"/>
    <n v="1275"/>
    <n v="1"/>
    <n v="0"/>
    <n v="0"/>
    <n v="2875"/>
    <n v="0"/>
    <n v="0"/>
    <n v="0"/>
  </r>
  <r>
    <s v="27/08/2013"/>
    <s v="AI0021639"/>
    <m/>
    <m/>
    <s v="Gaurav Kapoor Mr."/>
    <x v="6"/>
    <s v="9W"/>
    <s v="5894146113175"/>
    <s v="28-AUG-13"/>
    <n v="4360"/>
    <n v="1824"/>
    <n v="6184"/>
    <n v="7412.5"/>
    <n v="10530"/>
    <n v="0"/>
    <n v="0"/>
    <n v="0"/>
    <n v="1"/>
    <n v="0"/>
    <n v="0"/>
    <n v="10530"/>
    <n v="2330"/>
  </r>
  <r>
    <s v="12/09/2013"/>
    <s v="AI0023982"/>
    <m/>
    <m/>
    <s v="Gaurav Kapoor Mr."/>
    <x v="6"/>
    <s v="9W"/>
    <s v="5894146953045"/>
    <s v="17-SEP-13"/>
    <n v="5340"/>
    <n v="1854"/>
    <n v="7194"/>
    <n v="7412.5"/>
    <n v="7194"/>
    <n v="0"/>
    <n v="0"/>
    <n v="1"/>
    <n v="0"/>
    <n v="0"/>
    <n v="7194"/>
    <n v="0"/>
    <n v="0"/>
  </r>
  <r>
    <s v="28/09/2013"/>
    <s v="AI0026796"/>
    <m/>
    <m/>
    <s v="Gaurav Kapoor Mr."/>
    <x v="6"/>
    <s v="9W"/>
    <s v="5894147646153"/>
    <s v="30-SEP-13"/>
    <n v="6750"/>
    <n v="1932"/>
    <n v="8682"/>
    <n v="7412.5"/>
    <n v="8682"/>
    <n v="0"/>
    <n v="0"/>
    <n v="0"/>
    <n v="1"/>
    <n v="0"/>
    <n v="0"/>
    <n v="8682"/>
    <n v="482"/>
  </r>
  <r>
    <s v="31/10/2013"/>
    <s v="AI0031243"/>
    <m/>
    <m/>
    <s v="Gaurav Kapoor Mr."/>
    <x v="6"/>
    <s v="9W"/>
    <s v="5894339005662"/>
    <s v="01-11-13"/>
    <n v="6340"/>
    <n v="1909"/>
    <n v="8249"/>
    <n v="7412.5"/>
    <n v="16266"/>
    <n v="0"/>
    <n v="0"/>
    <n v="0"/>
    <n v="1"/>
    <n v="0"/>
    <n v="0"/>
    <n v="16266"/>
    <n v="8066"/>
  </r>
  <r>
    <s v="21/11/2013"/>
    <s v="AI0034487"/>
    <m/>
    <m/>
    <s v="Gaurav Kapoor Mr."/>
    <x v="6"/>
    <s v="9W"/>
    <s v="5894339996112"/>
    <s v="25-NOV-13"/>
    <n v="6100"/>
    <n v="1896"/>
    <n v="7996"/>
    <n v="7412.5"/>
    <n v="7996"/>
    <n v="0"/>
    <n v="0"/>
    <n v="1"/>
    <n v="0"/>
    <n v="0"/>
    <n v="7996"/>
    <n v="0"/>
    <n v="0"/>
  </r>
  <r>
    <s v="16/12/2013"/>
    <s v="AI0038099"/>
    <s v="AR0005632"/>
    <m/>
    <s v="Gaurav Kapoor Mr."/>
    <x v="6"/>
    <s v="9W"/>
    <s v="5894340930140"/>
    <s v="20-DEC-13"/>
    <n v="6750"/>
    <n v="1932"/>
    <n v="8682"/>
    <n v="7412.5"/>
    <n v="18977"/>
    <n v="8616"/>
    <n v="0"/>
    <n v="0"/>
    <n v="1"/>
    <n v="0"/>
    <n v="0"/>
    <n v="18977"/>
    <n v="10777"/>
  </r>
  <r>
    <s v="30/12/2013"/>
    <s v="AI0039590"/>
    <m/>
    <m/>
    <s v="Gaurav Kapoor Mr."/>
    <x v="6"/>
    <s v="9W"/>
    <s v="5894341518620"/>
    <s v="06-JAN-14"/>
    <n v="5100"/>
    <n v="1940"/>
    <n v="7040"/>
    <n v="7412.5"/>
    <n v="7040"/>
    <n v="0"/>
    <n v="0"/>
    <n v="1"/>
    <n v="0"/>
    <n v="0"/>
    <n v="7040"/>
    <n v="0"/>
    <n v="0"/>
  </r>
  <r>
    <s v="27/01/2014"/>
    <s v="AI0043442"/>
    <m/>
    <m/>
    <s v="Gaurav Kapoor Mr."/>
    <x v="6"/>
    <s v="9W"/>
    <s v="5894342746831"/>
    <s v="28-01-14"/>
    <n v="6100"/>
    <n v="1896"/>
    <n v="7996"/>
    <n v="7412.5"/>
    <n v="7996"/>
    <n v="0"/>
    <n v="0"/>
    <n v="1"/>
    <n v="0"/>
    <n v="0"/>
    <n v="7996"/>
    <n v="0"/>
    <n v="0"/>
  </r>
  <r>
    <s v="12/02/2014"/>
    <s v="AI0046131"/>
    <m/>
    <m/>
    <s v="Gaurav Kapoor Mr."/>
    <x v="6"/>
    <s v="9W"/>
    <s v="5894343391096"/>
    <s v="14-02-14"/>
    <n v="6100"/>
    <n v="1896"/>
    <n v="7996"/>
    <n v="7412.5"/>
    <n v="7996"/>
    <n v="0"/>
    <n v="0"/>
    <n v="1"/>
    <n v="0"/>
    <n v="0"/>
    <n v="7996"/>
    <n v="0"/>
    <n v="0"/>
  </r>
  <r>
    <s v="17/01/2014"/>
    <s v="AI0041932"/>
    <m/>
    <m/>
    <s v="Gaurav Kapoor Mr."/>
    <x v="8"/>
    <s v="9W"/>
    <s v="5894342108909"/>
    <s v="20-JAN-14"/>
    <n v="12060"/>
    <n v="3740"/>
    <n v="15800"/>
    <n v="14406"/>
    <n v="15800"/>
    <n v="0"/>
    <n v="0"/>
    <n v="1"/>
    <n v="0"/>
    <n v="0"/>
    <n v="15800"/>
    <n v="0"/>
    <n v="0"/>
  </r>
  <r>
    <s v="12/02/2014"/>
    <s v="AI0046139"/>
    <s v="AR0006822"/>
    <m/>
    <s v="Gaurav Kapoor Mr."/>
    <x v="8"/>
    <s v="6E"/>
    <s v="6ELC1U3H"/>
    <s v="13-02-14"/>
    <n v="8534"/>
    <n v="1778"/>
    <n v="10312"/>
    <n v="14406"/>
    <n v="10312"/>
    <n v="5000"/>
    <n v="1"/>
    <n v="0"/>
    <n v="0"/>
    <n v="10312"/>
    <n v="0"/>
    <n v="0"/>
    <n v="0"/>
  </r>
  <r>
    <s v="30/08/2013"/>
    <s v="AI0022183"/>
    <m/>
    <m/>
    <s v="Gaurav Kapoor Mr."/>
    <x v="21"/>
    <s v="9W"/>
    <s v="5894146108945"/>
    <s v="09-SEP-13"/>
    <n v="3100"/>
    <n v="3822"/>
    <n v="6922"/>
    <n v="10605"/>
    <n v="6922"/>
    <n v="0"/>
    <n v="1"/>
    <n v="0"/>
    <n v="0"/>
    <n v="6922"/>
    <n v="0"/>
    <n v="0"/>
    <n v="0"/>
  </r>
  <r>
    <s v="04/11/2013"/>
    <s v="AI0031462"/>
    <m/>
    <m/>
    <s v="Gaurav Kapoor Mr."/>
    <x v="21"/>
    <s v="9W"/>
    <s v="5894339005679"/>
    <s v="05-NOV-13"/>
    <n v="7500"/>
    <n v="4065"/>
    <n v="11565"/>
    <n v="10605"/>
    <n v="25578"/>
    <n v="0"/>
    <n v="0"/>
    <n v="0"/>
    <n v="1"/>
    <n v="0"/>
    <n v="0"/>
    <n v="25578"/>
    <n v="13878"/>
  </r>
  <r>
    <s v="09/05/2013"/>
    <s v="AI0005995"/>
    <m/>
    <m/>
    <s v="Gaurav Kapoor Mr."/>
    <x v="16"/>
    <s v="6E"/>
    <s v="6EASGGDN"/>
    <s v="20-MAY-13"/>
    <n v="16562"/>
    <n v="2933"/>
    <n v="19495"/>
    <n v="20521"/>
    <n v="19495"/>
    <m/>
    <n v="0"/>
    <n v="1"/>
    <n v="0"/>
    <n v="0"/>
    <n v="19495"/>
    <n v="0"/>
    <n v="0"/>
  </r>
  <r>
    <s v="26/02/2014"/>
    <s v="AI0048301"/>
    <m/>
    <m/>
    <s v="Gaurav Kapoor Mr."/>
    <x v="16"/>
    <s v="9W"/>
    <s v="5894815144201"/>
    <s v="28-FEB-14"/>
    <n v="16068"/>
    <n v="7924"/>
    <n v="23992"/>
    <n v="20521"/>
    <n v="23992"/>
    <e v="#REF!"/>
    <n v="0"/>
    <n v="0"/>
    <n v="1"/>
    <n v="0"/>
    <n v="0"/>
    <n v="23992"/>
    <n v="1392"/>
  </r>
  <r>
    <s v="04/12/2013"/>
    <s v="AI0036502"/>
    <m/>
    <m/>
    <s v="Gaurav Kapoor Mr."/>
    <x v="17"/>
    <s v="CX"/>
    <s v="1604340624898"/>
    <s v="10-DEC-13"/>
    <n v="0"/>
    <n v="3800"/>
    <n v="3800"/>
    <n v="45000"/>
    <n v="3800"/>
    <n v="0"/>
    <n v="1"/>
    <n v="0"/>
    <n v="0"/>
    <n v="3800"/>
    <n v="0"/>
    <n v="0"/>
    <n v="0"/>
  </r>
  <r>
    <s v="25/02/2014"/>
    <s v="AI0048208"/>
    <m/>
    <m/>
    <s v="Gaurav Kapoor Mr."/>
    <x v="18"/>
    <s v="6E"/>
    <s v="6EZ3HS5V"/>
    <s v="26-FEB-14"/>
    <n v="3915"/>
    <n v="829"/>
    <n v="4744"/>
    <n v="5161"/>
    <n v="4744"/>
    <e v="#REF!"/>
    <n v="0"/>
    <n v="1"/>
    <n v="0"/>
    <n v="0"/>
    <n v="4744"/>
    <n v="0"/>
    <n v="0"/>
  </r>
  <r>
    <s v="22/01/2014"/>
    <s v="AI0042736"/>
    <m/>
    <m/>
    <s v="Gaurav Kapoor Mr."/>
    <x v="34"/>
    <s v="SQ"/>
    <s v="6184342505657"/>
    <s v="03-02-14"/>
    <n v="16000"/>
    <n v="20800"/>
    <n v="36800"/>
    <n v="37293"/>
    <n v="36800"/>
    <n v="0"/>
    <n v="0"/>
    <n v="1"/>
    <n v="0"/>
    <n v="0"/>
    <n v="36800"/>
    <n v="0"/>
    <n v="0"/>
  </r>
  <r>
    <s v="24/01/2014"/>
    <s v="AI0043330"/>
    <m/>
    <m/>
    <s v="Gaurav Kapoor Mr."/>
    <x v="34"/>
    <s v="SQ"/>
    <s v="6184342625982"/>
    <s v="04-02-14"/>
    <n v="0"/>
    <n v="1500"/>
    <n v="1500"/>
    <n v="37293"/>
    <n v="1500"/>
    <n v="0"/>
    <n v="1"/>
    <n v="0"/>
    <n v="0"/>
    <n v="1500"/>
    <n v="0"/>
    <n v="0"/>
    <n v="0"/>
  </r>
  <r>
    <s v="26/07/2013"/>
    <s v="AI0017264"/>
    <m/>
    <m/>
    <s v="Gaurav Kapoor Mr."/>
    <x v="50"/>
    <s v="SG"/>
    <s v="775CYSZ3X1"/>
    <s v="29-JUL-13"/>
    <n v="35"/>
    <n v="2377"/>
    <n v="2412"/>
    <n v="3186"/>
    <n v="2412"/>
    <m/>
    <n v="1"/>
    <n v="0"/>
    <n v="0"/>
    <n v="2412"/>
    <n v="0"/>
    <n v="0"/>
    <n v="0"/>
  </r>
  <r>
    <s v="29/04/2013"/>
    <s v="AI0004503"/>
    <m/>
    <m/>
    <s v="Gaurav Kapoor Mr."/>
    <x v="7"/>
    <s v="9W"/>
    <s v="5893972579187"/>
    <s v="03-MAY-13"/>
    <n v="5750"/>
    <n v="3324"/>
    <n v="9074"/>
    <n v="7234"/>
    <n v="9074"/>
    <m/>
    <n v="0"/>
    <n v="0"/>
    <n v="1"/>
    <n v="0"/>
    <n v="0"/>
    <n v="9074"/>
    <n v="1074"/>
  </r>
  <r>
    <s v="10/05/2013"/>
    <s v="AI0005928"/>
    <m/>
    <m/>
    <s v="Gaurav Kapoor Mr."/>
    <x v="7"/>
    <s v="AI"/>
    <s v="0983973429919"/>
    <s v="17-MAY-13"/>
    <n v="3940"/>
    <n v="3171"/>
    <n v="7111"/>
    <n v="7234"/>
    <n v="7111"/>
    <m/>
    <n v="0"/>
    <n v="1"/>
    <n v="0"/>
    <n v="0"/>
    <n v="7111"/>
    <n v="0"/>
    <n v="0"/>
  </r>
  <r>
    <s v="23/05/2013"/>
    <s v="AI0007875"/>
    <s v="AR0001160"/>
    <m/>
    <s v="Gaurav Kapoor Mr."/>
    <x v="7"/>
    <s v="9W"/>
    <s v="5893973926435"/>
    <s v="27-MAY-13"/>
    <n v="5020"/>
    <n v="3283"/>
    <n v="8303"/>
    <n v="7234"/>
    <n v="8303"/>
    <n v="6953"/>
    <n v="0"/>
    <n v="0"/>
    <n v="1"/>
    <n v="0"/>
    <n v="0"/>
    <n v="8303"/>
    <n v="303"/>
  </r>
  <r>
    <s v="27/05/2013"/>
    <s v="AI0008355"/>
    <m/>
    <m/>
    <s v="Gaurav Kapoor Mr."/>
    <x v="7"/>
    <s v="G8"/>
    <s v="104X9QMRQ1"/>
    <s v="27-MAY-13"/>
    <n v="3720"/>
    <n v="3473"/>
    <n v="7193"/>
    <n v="7234"/>
    <n v="7193"/>
    <m/>
    <n v="0"/>
    <n v="1"/>
    <n v="0"/>
    <n v="0"/>
    <n v="7193"/>
    <n v="0"/>
    <n v="0"/>
  </r>
  <r>
    <s v="31/05/2013"/>
    <s v="AI0009388"/>
    <m/>
    <m/>
    <s v="Gaurav Kapoor Mr."/>
    <x v="7"/>
    <s v="6E"/>
    <s v="6ESTPPAQ"/>
    <s v="03-JUN-13"/>
    <n v="5924"/>
    <n v="1024"/>
    <n v="6948"/>
    <n v="7234"/>
    <n v="6948"/>
    <m/>
    <n v="0"/>
    <n v="1"/>
    <n v="0"/>
    <n v="0"/>
    <n v="6948"/>
    <n v="0"/>
    <n v="0"/>
  </r>
  <r>
    <s v="03/06/2013"/>
    <s v="AI0009452"/>
    <m/>
    <m/>
    <s v="Gaurav Kapoor Mr."/>
    <x v="7"/>
    <s v="AI"/>
    <s v="0983974400223"/>
    <s v="03-JUN-13"/>
    <n v="3940"/>
    <n v="3171"/>
    <n v="7111"/>
    <n v="7234"/>
    <n v="7111"/>
    <m/>
    <n v="0"/>
    <n v="1"/>
    <n v="0"/>
    <n v="0"/>
    <n v="7111"/>
    <n v="0"/>
    <n v="0"/>
  </r>
  <r>
    <s v="30/07/2013"/>
    <s v="AI0017812"/>
    <m/>
    <m/>
    <s v="Gaurav Kapoor Mr."/>
    <x v="7"/>
    <s v="6E"/>
    <s v="6EFZQ1SP1"/>
    <s v="30-JUL-13"/>
    <n v="738"/>
    <n v="2572"/>
    <n v="3310"/>
    <n v="7234"/>
    <n v="3310"/>
    <m/>
    <n v="1"/>
    <n v="0"/>
    <n v="0"/>
    <n v="3310"/>
    <n v="0"/>
    <n v="0"/>
    <n v="0"/>
  </r>
  <r>
    <s v="01/08/2013"/>
    <s v="AI0018177"/>
    <m/>
    <m/>
    <s v="Gaurav Kapoor Mr."/>
    <x v="7"/>
    <s v="AI"/>
    <s v="0984144897567"/>
    <s v="12-AUG-13"/>
    <n v="532"/>
    <n v="2457"/>
    <n v="2989"/>
    <n v="7234"/>
    <n v="2989"/>
    <m/>
    <n v="1"/>
    <n v="0"/>
    <n v="0"/>
    <n v="2989"/>
    <n v="0"/>
    <n v="0"/>
    <n v="0"/>
  </r>
  <r>
    <s v="20/08/2013"/>
    <s v="AI0020558"/>
    <m/>
    <m/>
    <s v="Gaurav Kapoor Mr."/>
    <x v="7"/>
    <s v="9W"/>
    <s v="5894145809110"/>
    <s v="21-AUG-13"/>
    <n v="5340"/>
    <n v="1936"/>
    <n v="7276"/>
    <n v="7234"/>
    <n v="7276"/>
    <n v="0"/>
    <n v="0"/>
    <n v="1"/>
    <n v="0"/>
    <n v="0"/>
    <n v="7276"/>
    <n v="0"/>
    <n v="0"/>
  </r>
  <r>
    <s v="27/08/2013"/>
    <s v="AI0021639"/>
    <m/>
    <m/>
    <s v="Gaurav Kapoor Mr."/>
    <x v="7"/>
    <s v="9W"/>
    <s v="5894146113176"/>
    <s v="28-AUG-13"/>
    <n v="2540"/>
    <n v="1806"/>
    <n v="4346"/>
    <n v="7234"/>
    <n v="4346"/>
    <n v="0"/>
    <n v="1"/>
    <n v="0"/>
    <n v="0"/>
    <n v="4346"/>
    <n v="0"/>
    <n v="0"/>
    <n v="0"/>
  </r>
  <r>
    <s v="12/09/2013"/>
    <s v="AI0024028"/>
    <s v="AR0003440"/>
    <m/>
    <s v="Gaurav Kapoor Mr."/>
    <x v="7"/>
    <s v="6E"/>
    <s v="6EX24RSS"/>
    <s v="17-SEP-13"/>
    <n v="6390"/>
    <n v="836"/>
    <n v="7226"/>
    <n v="7234"/>
    <n v="7226"/>
    <n v="7126"/>
    <n v="0"/>
    <n v="1"/>
    <n v="0"/>
    <n v="0"/>
    <n v="7226"/>
    <n v="0"/>
    <n v="0"/>
  </r>
  <r>
    <s v="17/09/2013"/>
    <s v="AI0024937"/>
    <m/>
    <m/>
    <s v="Gaurav Kapoor Mr."/>
    <x v="7"/>
    <s v="6E"/>
    <s v="6ES24KTA"/>
    <s v="17-SEP-13"/>
    <n v="6306"/>
    <n v="1045"/>
    <n v="7351"/>
    <n v="7234"/>
    <n v="14702"/>
    <n v="0"/>
    <n v="0"/>
    <n v="0"/>
    <n v="1"/>
    <n v="0"/>
    <n v="0"/>
    <n v="14702"/>
    <n v="6702"/>
  </r>
  <r>
    <s v="28/09/2013"/>
    <s v="AI0026798"/>
    <m/>
    <m/>
    <s v="Gaurav Kapoor Mr."/>
    <x v="7"/>
    <s v="9W"/>
    <s v="5894147646155"/>
    <s v="30-SEP-13"/>
    <n v="5540"/>
    <n v="1947"/>
    <n v="7487"/>
    <n v="7234"/>
    <n v="7487"/>
    <n v="0"/>
    <n v="0"/>
    <n v="1"/>
    <n v="0"/>
    <n v="0"/>
    <n v="7487"/>
    <n v="0"/>
    <n v="0"/>
  </r>
  <r>
    <s v="31/10/2013"/>
    <s v="AI0031243"/>
    <m/>
    <m/>
    <s v="Gaurav Kapoor Mr."/>
    <x v="7"/>
    <s v="6E"/>
    <s v="6EX37SSH2"/>
    <s v="01-11-13"/>
    <n v="4450"/>
    <n v="3567"/>
    <n v="8017"/>
    <n v="7234"/>
    <n v="8017"/>
    <n v="0"/>
    <n v="0"/>
    <n v="0"/>
    <n v="1"/>
    <n v="0"/>
    <n v="0"/>
    <n v="8017"/>
    <n v="17"/>
  </r>
  <r>
    <s v="01/11/2013"/>
    <s v="AI0031450"/>
    <s v="AR0004575"/>
    <m/>
    <s v="Gaurav Kapoor Mr."/>
    <x v="7"/>
    <s v="9W"/>
    <s v="5894339294452"/>
    <s v="01-NOV-13"/>
    <n v="6100"/>
    <n v="2004"/>
    <n v="8104"/>
    <n v="7234"/>
    <n v="8104"/>
    <n v="6425"/>
    <n v="0"/>
    <n v="0"/>
    <n v="1"/>
    <n v="0"/>
    <n v="0"/>
    <n v="8104"/>
    <n v="104"/>
  </r>
  <r>
    <s v="16/12/2013"/>
    <s v="AI0038099"/>
    <m/>
    <m/>
    <s v="Gaurav Kapoor Mr."/>
    <x v="7"/>
    <s v="9W"/>
    <s v="5894340930141"/>
    <s v="20-DEC-13"/>
    <n v="8200"/>
    <n v="2095"/>
    <n v="10295"/>
    <n v="7234"/>
    <n v="10295"/>
    <n v="0"/>
    <n v="0"/>
    <n v="0"/>
    <n v="1"/>
    <n v="0"/>
    <n v="0"/>
    <n v="10295"/>
    <n v="2295"/>
  </r>
  <r>
    <s v="19/12/2013"/>
    <s v="AI0038561"/>
    <m/>
    <m/>
    <s v="Gaurav Kapoor Mr."/>
    <x v="7"/>
    <s v="9W"/>
    <s v="5894340930215"/>
    <s v="20-DEC-13"/>
    <n v="6450"/>
    <n v="1998"/>
    <n v="8448"/>
    <n v="7234"/>
    <n v="8448"/>
    <n v="0"/>
    <n v="0"/>
    <n v="0"/>
    <n v="1"/>
    <n v="0"/>
    <n v="0"/>
    <n v="8448"/>
    <n v="448"/>
  </r>
  <r>
    <s v="27/01/2014"/>
    <s v="AI0043443"/>
    <m/>
    <m/>
    <s v="Gaurav Kapoor Mr."/>
    <x v="7"/>
    <s v="9W"/>
    <s v="5894342746832"/>
    <s v="28-01-14"/>
    <n v="6100"/>
    <n v="1979"/>
    <n v="8079"/>
    <n v="7234"/>
    <n v="8079"/>
    <n v="0"/>
    <n v="0"/>
    <n v="0"/>
    <n v="1"/>
    <n v="0"/>
    <n v="0"/>
    <n v="8079"/>
    <n v="79"/>
  </r>
  <r>
    <s v="12/02/2014"/>
    <s v="AI0046141"/>
    <s v="AR0006849"/>
    <m/>
    <s v="Gaurav Kapoor Mr."/>
    <x v="7"/>
    <s v="6E"/>
    <s v="6EV7RCGJ"/>
    <s v="14-02-14"/>
    <n v="9239"/>
    <n v="1207"/>
    <n v="10446"/>
    <n v="7234"/>
    <n v="10446"/>
    <n v="10346"/>
    <n v="0"/>
    <n v="0"/>
    <n v="1"/>
    <n v="0"/>
    <n v="0"/>
    <n v="10446"/>
    <n v="2446"/>
  </r>
  <r>
    <s v="13/02/2014"/>
    <s v="AI0046375"/>
    <m/>
    <m/>
    <s v="Gaurav Kapoor Mr."/>
    <x v="7"/>
    <s v="9W"/>
    <s v="5894814804431"/>
    <s v="13-02-14"/>
    <n v="5500"/>
    <n v="1945"/>
    <n v="7445"/>
    <n v="7234"/>
    <n v="7445"/>
    <n v="0"/>
    <n v="0"/>
    <n v="1"/>
    <n v="0"/>
    <n v="0"/>
    <n v="7445"/>
    <n v="0"/>
    <n v="0"/>
  </r>
  <r>
    <s v="14/02/2014"/>
    <s v="AI0046488"/>
    <m/>
    <m/>
    <s v="Gaurav Kapoor Mr."/>
    <x v="7"/>
    <s v="6E"/>
    <s v="6ED1TH2V"/>
    <s v="14-02-14"/>
    <n v="9239"/>
    <n v="1207"/>
    <n v="10446"/>
    <n v="7234"/>
    <n v="10446"/>
    <n v="0"/>
    <n v="0"/>
    <n v="0"/>
    <n v="1"/>
    <n v="0"/>
    <n v="0"/>
    <n v="10446"/>
    <n v="2446"/>
  </r>
  <r>
    <s v="25/02/2014"/>
    <s v="AI0047878"/>
    <m/>
    <m/>
    <s v="Gaurav Kapoor Mr."/>
    <x v="7"/>
    <s v="9W"/>
    <s v="5894815144143"/>
    <s v="27-FEB-14"/>
    <n v="6650"/>
    <n v="2009"/>
    <n v="8659"/>
    <n v="7234"/>
    <n v="8659"/>
    <e v="#REF!"/>
    <n v="0"/>
    <n v="0"/>
    <n v="1"/>
    <n v="0"/>
    <n v="0"/>
    <n v="8659"/>
    <n v="659"/>
  </r>
  <r>
    <s v="17/07/2013"/>
    <s v="AI0015982"/>
    <m/>
    <m/>
    <s v="Gaurav Kapoor Mr."/>
    <x v="22"/>
    <s v="9W"/>
    <s v="5893976529140"/>
    <s v="24-JUL-13"/>
    <n v="3072"/>
    <n v="3011"/>
    <n v="6083"/>
    <n v="10079"/>
    <n v="6083"/>
    <m/>
    <n v="1"/>
    <n v="0"/>
    <n v="0"/>
    <n v="6083"/>
    <n v="0"/>
    <n v="0"/>
    <n v="0"/>
  </r>
  <r>
    <s v="31/01/2014"/>
    <s v="VI0003703"/>
    <m/>
    <m/>
    <s v="Gaurav Kapoor Mr."/>
    <x v="23"/>
    <s v=""/>
    <s v="China"/>
    <s v=""/>
    <n v="14565"/>
    <n v="435"/>
    <n v="15000"/>
    <n v="15000"/>
    <n v="15000"/>
    <n v="0"/>
    <n v="0"/>
    <n v="1"/>
    <n v="0"/>
    <n v="0"/>
    <n v="15000"/>
    <n v="0"/>
    <n v="0"/>
  </r>
  <r>
    <s v="16/07/2013"/>
    <s v="AI0015847"/>
    <m/>
    <m/>
    <s v="Gaurav Kapoor Mr."/>
    <x v="24"/>
    <s v="AI"/>
    <s v="0983976529111"/>
    <s v="25-JUL-13"/>
    <n v="2550"/>
    <n v="4386"/>
    <n v="6936"/>
    <n v="10332"/>
    <n v="6936"/>
    <m/>
    <n v="1"/>
    <n v="0"/>
    <n v="0"/>
    <n v="6936"/>
    <n v="0"/>
    <n v="0"/>
    <n v="0"/>
  </r>
  <r>
    <s v="01/08/2013"/>
    <s v="AI0018091"/>
    <m/>
    <m/>
    <s v="Gaurav Kapoor Mr."/>
    <x v="24"/>
    <s v="9W"/>
    <s v="5894144897555"/>
    <s v="08-AUG-13"/>
    <n v="3059"/>
    <n v="3522"/>
    <n v="6581"/>
    <n v="10332"/>
    <n v="6581"/>
    <m/>
    <n v="1"/>
    <n v="0"/>
    <n v="0"/>
    <n v="6581"/>
    <n v="0"/>
    <n v="0"/>
    <n v="0"/>
  </r>
  <r>
    <s v="06/08/2013"/>
    <s v="AI0018791"/>
    <m/>
    <m/>
    <s v="Gaurav Kapoor Mr."/>
    <x v="24"/>
    <s v="9W"/>
    <s v="5894145233282"/>
    <s v="08-AUG-13"/>
    <n v="9950"/>
    <n v="4063"/>
    <n v="14013"/>
    <n v="10332"/>
    <n v="14013"/>
    <m/>
    <n v="0"/>
    <n v="0"/>
    <n v="1"/>
    <n v="0"/>
    <n v="0"/>
    <n v="14013"/>
    <n v="2613"/>
  </r>
  <r>
    <s v="22/10/2013"/>
    <s v="AI0030031"/>
    <m/>
    <m/>
    <s v="Gaurav Kapoor Mr."/>
    <x v="24"/>
    <s v="9W"/>
    <s v="5894339005511"/>
    <s v="30-10-13"/>
    <n v="6300"/>
    <n v="3859"/>
    <n v="10159"/>
    <n v="10332"/>
    <n v="10159"/>
    <n v="0"/>
    <n v="0"/>
    <n v="1"/>
    <n v="0"/>
    <n v="0"/>
    <n v="10159"/>
    <n v="0"/>
    <n v="0"/>
  </r>
  <r>
    <s v="04/11/2013"/>
    <s v="AI0031462"/>
    <m/>
    <m/>
    <s v="Gaurav Kapoor Mr."/>
    <x v="24"/>
    <s v="9W"/>
    <s v="5894339005680"/>
    <s v="05-NOV-13"/>
    <n v="9950"/>
    <n v="4063"/>
    <n v="14013"/>
    <n v="10332"/>
    <n v="14013"/>
    <n v="0"/>
    <n v="0"/>
    <n v="0"/>
    <n v="1"/>
    <n v="0"/>
    <n v="0"/>
    <n v="14013"/>
    <n v="2613"/>
  </r>
  <r>
    <s v="25/02/2014"/>
    <s v="AI0047877"/>
    <m/>
    <m/>
    <s v="Gaurav Kapoor Mr."/>
    <x v="12"/>
    <s v="9W"/>
    <s v="5894815144142"/>
    <s v="27-FEB-14"/>
    <n v="4300"/>
    <n v="1705"/>
    <n v="6005"/>
    <n v="5519"/>
    <n v="6005"/>
    <e v="#REF!"/>
    <n v="0"/>
    <n v="1"/>
    <n v="0"/>
    <n v="0"/>
    <n v="6005"/>
    <n v="0"/>
    <n v="0"/>
  </r>
  <r>
    <s v="17/02/2014"/>
    <s v="AI0046845"/>
    <m/>
    <m/>
    <s v="Ghai   Viveksheel  Mr."/>
    <x v="7"/>
    <s v="9W"/>
    <s v="5894343391211"/>
    <s v="24-FEB-14"/>
    <n v="6100"/>
    <n v="1979"/>
    <n v="8079"/>
    <n v="7234"/>
    <n v="8079"/>
    <e v="#REF!"/>
    <n v="0"/>
    <n v="0"/>
    <n v="1"/>
    <n v="0"/>
    <n v="0"/>
    <n v="8079"/>
    <n v="79"/>
  </r>
  <r>
    <s v="07/10/2013"/>
    <s v="AI0027932"/>
    <s v="AR0004183"/>
    <m/>
    <s v="Ghai Vivek Mr."/>
    <x v="6"/>
    <s v="AI"/>
    <s v="0984147816662"/>
    <s v="19-OCT-13"/>
    <n v="4620"/>
    <n v="3125"/>
    <n v="7745"/>
    <n v="7412.5"/>
    <n v="15784"/>
    <n v="6066"/>
    <n v="0"/>
    <n v="0"/>
    <n v="1"/>
    <n v="0"/>
    <n v="0"/>
    <n v="15784"/>
    <n v="7584"/>
  </r>
  <r>
    <s v="17/10/2013"/>
    <s v="AI0029276"/>
    <m/>
    <m/>
    <s v="Ghai Vivek Mr."/>
    <x v="6"/>
    <s v="9W"/>
    <s v="5894148187152"/>
    <s v="19-10-13"/>
    <n v="6100"/>
    <n v="1896"/>
    <n v="7996"/>
    <n v="7412.5"/>
    <n v="7996"/>
    <n v="0"/>
    <n v="0"/>
    <n v="1"/>
    <n v="0"/>
    <n v="0"/>
    <n v="7996"/>
    <n v="0"/>
    <n v="0"/>
  </r>
  <r>
    <s v="17/02/2014"/>
    <s v="AI0046845"/>
    <m/>
    <m/>
    <s v="Ghai Vivek Mr."/>
    <x v="6"/>
    <s v="AI"/>
    <s v="0984343391212"/>
    <s v="28-FEB-14"/>
    <n v="3620"/>
    <n v="3070"/>
    <n v="6690"/>
    <n v="7412.5"/>
    <n v="14769"/>
    <e v="#REF!"/>
    <n v="0"/>
    <n v="0"/>
    <n v="1"/>
    <n v="0"/>
    <n v="0"/>
    <n v="14769"/>
    <n v="6569"/>
  </r>
  <r>
    <s v="07/10/2013"/>
    <s v="AI0027932"/>
    <m/>
    <m/>
    <s v="Ghai Vivek Mr."/>
    <x v="7"/>
    <s v="AI"/>
    <s v="0984147816661"/>
    <s v="14-OCT-13"/>
    <n v="4820"/>
    <n v="3219"/>
    <n v="8039"/>
    <n v="7234"/>
    <n v="8039"/>
    <n v="0"/>
    <n v="0"/>
    <n v="0"/>
    <n v="1"/>
    <n v="0"/>
    <n v="0"/>
    <n v="8039"/>
    <n v="39"/>
  </r>
  <r>
    <s v="22/04/2013"/>
    <s v="AI0003543"/>
    <m/>
    <m/>
    <s v="Gidwani Shakun Ms ."/>
    <x v="6"/>
    <s v="9W"/>
    <s v="5893972579070"/>
    <s v="04-MAY-13"/>
    <n v="3900"/>
    <n v="3138"/>
    <n v="7038"/>
    <n v="7412.5"/>
    <n v="7038"/>
    <m/>
    <n v="0"/>
    <n v="1"/>
    <n v="0"/>
    <n v="0"/>
    <n v="7038"/>
    <n v="0"/>
    <n v="0"/>
  </r>
  <r>
    <s v="02/05/2013"/>
    <s v="AI0004860"/>
    <m/>
    <m/>
    <s v="Gidwani Shakun Ms ."/>
    <x v="6"/>
    <s v="6E"/>
    <s v="6EUS87DQ2"/>
    <s v="04-MAY-13"/>
    <n v="3720"/>
    <n v="3336"/>
    <n v="7056"/>
    <n v="7412.5"/>
    <n v="7056"/>
    <m/>
    <n v="0"/>
    <n v="1"/>
    <n v="0"/>
    <n v="0"/>
    <n v="7056"/>
    <n v="0"/>
    <n v="0"/>
  </r>
  <r>
    <s v="03/05/2013"/>
    <s v="AI0005032"/>
    <m/>
    <m/>
    <s v="Gidwani Shakun Ms ."/>
    <x v="6"/>
    <s v="AI"/>
    <s v="0983973429780"/>
    <s v="07-MAY-13"/>
    <n v="3940"/>
    <n v="3088"/>
    <n v="7028"/>
    <n v="7412.5"/>
    <n v="7028"/>
    <m/>
    <n v="0"/>
    <n v="1"/>
    <n v="0"/>
    <n v="0"/>
    <n v="7028"/>
    <n v="0"/>
    <n v="0"/>
  </r>
  <r>
    <s v="28/05/2013"/>
    <s v="AI0008683"/>
    <s v="AR0001186"/>
    <m/>
    <s v="Gidwani Shakun Ms ."/>
    <x v="6"/>
    <s v="9W"/>
    <s v="5893974508553"/>
    <s v="01-JUN-13"/>
    <n v="4500"/>
    <n v="3171"/>
    <n v="7671"/>
    <n v="7412.5"/>
    <n v="7671"/>
    <n v="6312"/>
    <n v="0"/>
    <n v="1"/>
    <n v="0"/>
    <n v="0"/>
    <n v="7671"/>
    <n v="0"/>
    <n v="0"/>
  </r>
  <r>
    <s v="30/05/2013"/>
    <s v="AI0008979"/>
    <m/>
    <m/>
    <s v="Gidwani Shakun Ms ."/>
    <x v="6"/>
    <s v="9W"/>
    <s v="5893974400135"/>
    <s v="08-JUN-13"/>
    <n v="3950"/>
    <n v="3088"/>
    <n v="7038"/>
    <n v="7412.5"/>
    <n v="7038"/>
    <m/>
    <n v="0"/>
    <n v="1"/>
    <n v="0"/>
    <n v="0"/>
    <n v="7038"/>
    <n v="0"/>
    <n v="0"/>
  </r>
  <r>
    <s v="16/05/2013"/>
    <s v="AI0007116"/>
    <s v="AR0001014"/>
    <m/>
    <s v="Gidwani Shakun Ms ."/>
    <x v="16"/>
    <s v="6E"/>
    <s v="6EWSV2DV"/>
    <s v="19-MAY-13"/>
    <n v="15310"/>
    <n v="2947"/>
    <n v="18257"/>
    <n v="20521"/>
    <n v="18257"/>
    <n v="8792"/>
    <n v="1"/>
    <n v="0"/>
    <n v="0"/>
    <n v="18257"/>
    <n v="0"/>
    <n v="0"/>
    <n v="0"/>
  </r>
  <r>
    <s v="22/04/2013"/>
    <s v="AI0003540"/>
    <m/>
    <m/>
    <s v="Gidwani Shakun Ms ."/>
    <x v="7"/>
    <s v="9W"/>
    <s v="5893972579069"/>
    <s v="04-MAY-13"/>
    <n v="5750"/>
    <n v="3324"/>
    <n v="9074"/>
    <n v="7234"/>
    <n v="9074"/>
    <m/>
    <n v="0"/>
    <n v="0"/>
    <n v="1"/>
    <n v="0"/>
    <n v="0"/>
    <n v="9074"/>
    <n v="1074"/>
  </r>
  <r>
    <s v="02/05/2013"/>
    <s v="AI0004860"/>
    <m/>
    <m/>
    <s v="Gidwani Shakun Ms ."/>
    <x v="7"/>
    <s v="9W"/>
    <s v="5893972579229"/>
    <s v="03-MAY-13"/>
    <n v="4500"/>
    <n v="3254"/>
    <n v="7754"/>
    <n v="7234"/>
    <n v="7754"/>
    <m/>
    <n v="0"/>
    <n v="1"/>
    <n v="0"/>
    <n v="0"/>
    <n v="7754"/>
    <n v="0"/>
    <n v="0"/>
  </r>
  <r>
    <s v="03/05/2013"/>
    <s v="AI0005032"/>
    <m/>
    <m/>
    <s v="Gidwani Shakun Ms ."/>
    <x v="7"/>
    <s v="9W"/>
    <s v="5893973429779"/>
    <s v="06-MAY-13"/>
    <n v="3920"/>
    <n v="3222"/>
    <n v="7142"/>
    <n v="7234"/>
    <n v="7142"/>
    <m/>
    <n v="0"/>
    <n v="1"/>
    <n v="0"/>
    <n v="0"/>
    <n v="7142"/>
    <n v="0"/>
    <n v="0"/>
  </r>
  <r>
    <s v="28/05/2013"/>
    <s v="AI0008682"/>
    <s v="AR0001187"/>
    <m/>
    <s v="Gidwani Shakun Ms ."/>
    <x v="7"/>
    <s v="9W"/>
    <s v="5893974508552"/>
    <s v="31-MAY-13"/>
    <n v="3940"/>
    <n v="3223"/>
    <n v="7163"/>
    <n v="7234"/>
    <n v="7163"/>
    <n v="5804"/>
    <n v="0"/>
    <n v="1"/>
    <n v="0"/>
    <n v="0"/>
    <n v="7163"/>
    <n v="0"/>
    <n v="0"/>
  </r>
  <r>
    <s v="30/05/2013"/>
    <s v="AI0008979"/>
    <m/>
    <m/>
    <s v="Gidwani Shakun Ms ."/>
    <x v="7"/>
    <s v="9W"/>
    <s v="5893974400134"/>
    <s v="07-JUN-13"/>
    <n v="3010"/>
    <n v="3120"/>
    <n v="6130"/>
    <n v="7234"/>
    <n v="6130"/>
    <m/>
    <n v="1"/>
    <n v="0"/>
    <n v="0"/>
    <n v="6130"/>
    <n v="0"/>
    <n v="0"/>
    <n v="0"/>
  </r>
  <r>
    <s v="23/04/2013"/>
    <s v="AI0003664"/>
    <m/>
    <m/>
    <s v="Gidwani Shakun Ms ."/>
    <x v="22"/>
    <s v="9W"/>
    <s v="5893972579088"/>
    <s v="28-APR-13"/>
    <n v="5900"/>
    <n v="4638"/>
    <n v="10538"/>
    <n v="10079"/>
    <n v="10538"/>
    <m/>
    <n v="0"/>
    <n v="1"/>
    <n v="0"/>
    <n v="0"/>
    <n v="10538"/>
    <n v="0"/>
    <n v="0"/>
  </r>
  <r>
    <s v="22/07/2013"/>
    <s v="AI0016524"/>
    <m/>
    <m/>
    <s v="Gidwani Shakun Ms ."/>
    <x v="22"/>
    <s v="6E"/>
    <s v="6ELZHSSS1"/>
    <s v="24-JUL-13"/>
    <n v="2003"/>
    <n v="3215"/>
    <n v="5218"/>
    <n v="10079"/>
    <n v="5218"/>
    <m/>
    <n v="1"/>
    <n v="0"/>
    <n v="0"/>
    <n v="5218"/>
    <n v="0"/>
    <n v="0"/>
    <n v="0"/>
  </r>
  <r>
    <s v="04/09/2013"/>
    <s v="AI0022904"/>
    <m/>
    <m/>
    <s v="Gidwani Shakun Ms ."/>
    <x v="22"/>
    <s v="9W"/>
    <s v="5894146577603"/>
    <s v="08-SEP-13"/>
    <n v="6590"/>
    <n v="3464"/>
    <n v="10054"/>
    <n v="10079"/>
    <n v="10054"/>
    <n v="0"/>
    <n v="0"/>
    <n v="1"/>
    <n v="0"/>
    <n v="0"/>
    <n v="10054"/>
    <n v="0"/>
    <n v="0"/>
  </r>
  <r>
    <s v="08/08/2013"/>
    <s v="AI0019241"/>
    <m/>
    <m/>
    <s v="Gidwani Shakun Ms ."/>
    <x v="10"/>
    <s v="9W"/>
    <s v="5894145233345"/>
    <s v="11-AUG-13"/>
    <n v="16000"/>
    <n v="2213"/>
    <n v="18213"/>
    <n v="5814"/>
    <n v="18213"/>
    <m/>
    <n v="0"/>
    <n v="0"/>
    <n v="1"/>
    <n v="0"/>
    <n v="0"/>
    <n v="18213"/>
    <n v="11813"/>
  </r>
  <r>
    <s v="23/04/2013"/>
    <s v="AI0003668"/>
    <m/>
    <m/>
    <s v="Gidwani Shakun Ms ."/>
    <x v="25"/>
    <s v="9W"/>
    <s v="5893972579089"/>
    <s v="29-APR-13"/>
    <n v="5900"/>
    <n v="4415"/>
    <n v="10315"/>
    <n v="9855"/>
    <n v="10315"/>
    <m/>
    <n v="0"/>
    <n v="1"/>
    <n v="0"/>
    <n v="0"/>
    <n v="10315"/>
    <n v="0"/>
    <n v="0"/>
  </r>
  <r>
    <s v="20/05/2013"/>
    <s v="AI0007497"/>
    <m/>
    <m/>
    <s v="Gidwani Shakun Ms ."/>
    <x v="25"/>
    <s v="AI"/>
    <s v="0983974025444"/>
    <s v="20-MAY-13"/>
    <n v="5060"/>
    <n v="4315"/>
    <n v="9375"/>
    <n v="9855"/>
    <n v="9375"/>
    <m/>
    <n v="0"/>
    <n v="1"/>
    <n v="0"/>
    <n v="0"/>
    <n v="9375"/>
    <n v="0"/>
    <n v="0"/>
  </r>
  <r>
    <s v="22/07/2013"/>
    <s v="AI0016535"/>
    <s v="AR0002579"/>
    <m/>
    <s v="Gidwani Shakun Ms ."/>
    <x v="25"/>
    <s v="9W"/>
    <s v="5893976767739"/>
    <s v="25-JUL-13"/>
    <n v="3072"/>
    <n v="2787"/>
    <n v="5859"/>
    <n v="9855"/>
    <n v="5859"/>
    <n v="4659"/>
    <n v="1"/>
    <n v="0"/>
    <n v="0"/>
    <n v="5859"/>
    <n v="0"/>
    <n v="0"/>
    <n v="0"/>
  </r>
  <r>
    <s v="04/09/2013"/>
    <s v="AI0022905"/>
    <m/>
    <m/>
    <s v="Gidwani Shakun Ms ."/>
    <x v="25"/>
    <s v="9W"/>
    <s v="5894146577604"/>
    <s v="09-SEP-13"/>
    <n v="6860"/>
    <n v="3255"/>
    <n v="10115"/>
    <n v="9855"/>
    <n v="10115"/>
    <n v="0"/>
    <n v="0"/>
    <n v="1"/>
    <n v="0"/>
    <n v="0"/>
    <n v="10115"/>
    <n v="0"/>
    <n v="0"/>
  </r>
  <r>
    <s v="25/07/2013"/>
    <s v="AI0017210"/>
    <m/>
    <m/>
    <s v="Gidwani Shakun Ms ."/>
    <x v="64"/>
    <s v="9W"/>
    <s v="5894144551206"/>
    <s v="25-JUL-13"/>
    <n v="4830"/>
    <n v="2885"/>
    <n v="7715"/>
    <n v="7715"/>
    <n v="7715"/>
    <m/>
    <n v="0"/>
    <n v="1"/>
    <n v="0"/>
    <n v="0"/>
    <n v="7715"/>
    <n v="0"/>
    <n v="0"/>
  </r>
  <r>
    <s v="08/08/2013"/>
    <s v="AI0019361"/>
    <m/>
    <m/>
    <s v="Gidwani Shakun Ms ."/>
    <x v="12"/>
    <s v="6E"/>
    <s v="6EF13JPH"/>
    <s v="12-AUG-13"/>
    <n v="2821"/>
    <n v="993"/>
    <n v="3814"/>
    <n v="5519"/>
    <n v="3814"/>
    <m/>
    <n v="1"/>
    <n v="0"/>
    <n v="0"/>
    <n v="3814"/>
    <n v="0"/>
    <n v="0"/>
    <n v="0"/>
  </r>
  <r>
    <s v="20/06/2013"/>
    <s v="AI0012295"/>
    <m/>
    <m/>
    <s v="Goenka   Sarat  Mr ."/>
    <x v="2"/>
    <s v="AI"/>
    <s v="0983975550360"/>
    <s v="22-JUN-13"/>
    <n v="5090"/>
    <n v="4726"/>
    <n v="9816"/>
    <n v="9753.5"/>
    <n v="9816"/>
    <m/>
    <n v="0"/>
    <n v="1"/>
    <n v="0"/>
    <n v="0"/>
    <n v="9816"/>
    <n v="0"/>
    <n v="0"/>
  </r>
  <r>
    <s v="07/10/2013"/>
    <s v="AI0028005"/>
    <s v="AR0003967"/>
    <m/>
    <s v="Gopal  Chunangad Mr."/>
    <x v="6"/>
    <s v="6E"/>
    <s v="6EK2MZRT"/>
    <s v="09-OCT-13"/>
    <n v="6256"/>
    <n v="960"/>
    <n v="7216"/>
    <n v="7412.5"/>
    <n v="7216"/>
    <n v="7116"/>
    <n v="0"/>
    <n v="1"/>
    <n v="0"/>
    <n v="0"/>
    <n v="7216"/>
    <n v="0"/>
    <n v="0"/>
  </r>
  <r>
    <s v="16/05/2013"/>
    <s v="AI0006997"/>
    <m/>
    <m/>
    <s v="Gopal  Chunangad Mr."/>
    <x v="16"/>
    <s v="6E"/>
    <s v="6EXT6DBM"/>
    <s v="20-MAY-13"/>
    <n v="16562"/>
    <n v="2933"/>
    <n v="19495"/>
    <n v="20521"/>
    <n v="19495"/>
    <m/>
    <n v="0"/>
    <n v="1"/>
    <n v="0"/>
    <n v="0"/>
    <n v="19495"/>
    <n v="0"/>
    <n v="0"/>
  </r>
  <r>
    <s v="20/01/2014"/>
    <s v="AI0042454"/>
    <m/>
    <m/>
    <s v="Gupta Manish Mr ."/>
    <x v="28"/>
    <s v="6E"/>
    <s v="6EI8V4KD"/>
    <s v="23-JAN-14"/>
    <n v="8449"/>
    <n v="1130"/>
    <n v="9579"/>
    <n v="9066"/>
    <n v="9579"/>
    <n v="0"/>
    <n v="0"/>
    <n v="1"/>
    <n v="0"/>
    <n v="0"/>
    <n v="9579"/>
    <n v="0"/>
    <n v="0"/>
  </r>
  <r>
    <s v="13/06/2013"/>
    <s v="AI0011167"/>
    <m/>
    <m/>
    <s v="Gupta Manish Mr ."/>
    <x v="6"/>
    <s v="9W"/>
    <s v="5893975225774"/>
    <s v="17-JUN-13"/>
    <n v="4550"/>
    <n v="3122"/>
    <n v="7672"/>
    <n v="7412.5"/>
    <n v="7672"/>
    <m/>
    <n v="0"/>
    <n v="1"/>
    <n v="0"/>
    <n v="0"/>
    <n v="7672"/>
    <n v="0"/>
    <n v="0"/>
  </r>
  <r>
    <s v="14/06/2013"/>
    <s v="AI0011453"/>
    <m/>
    <m/>
    <s v="Gupta Manish Mr ."/>
    <x v="6"/>
    <s v="9W"/>
    <s v="5893975268688"/>
    <s v="17-JUN-13"/>
    <n v="7750"/>
    <n v="3299"/>
    <n v="11049"/>
    <n v="7412.5"/>
    <n v="11049"/>
    <m/>
    <n v="0"/>
    <n v="0"/>
    <n v="1"/>
    <n v="0"/>
    <n v="0"/>
    <n v="11049"/>
    <n v="2849"/>
  </r>
  <r>
    <s v="23/07/2013"/>
    <s v="AI0016758"/>
    <m/>
    <m/>
    <s v="Gupta Manish Mr ."/>
    <x v="6"/>
    <s v="9W"/>
    <s v="5894144546013"/>
    <s v="29-JUL-13"/>
    <n v="1638"/>
    <n v="1491"/>
    <n v="3129"/>
    <n v="7412.5"/>
    <n v="3129"/>
    <m/>
    <n v="1"/>
    <n v="0"/>
    <n v="0"/>
    <n v="3129"/>
    <n v="0"/>
    <n v="0"/>
    <n v="0"/>
  </r>
  <r>
    <s v="06/11/2013"/>
    <s v="AI0031717"/>
    <m/>
    <m/>
    <s v="Gupta Manish Mr ."/>
    <x v="6"/>
    <s v="9W"/>
    <s v="5894339005720"/>
    <s v="10-NOV-13"/>
    <n v="8200"/>
    <n v="2012"/>
    <n v="10212"/>
    <n v="7412.5"/>
    <n v="15546"/>
    <n v="0"/>
    <n v="0"/>
    <n v="0"/>
    <n v="1"/>
    <n v="0"/>
    <n v="0"/>
    <n v="15546"/>
    <n v="7346"/>
  </r>
  <r>
    <s v="22/11/2013"/>
    <s v="AI0034833"/>
    <m/>
    <m/>
    <s v="Gupta Manish Mr ."/>
    <x v="6"/>
    <s v="6E"/>
    <s v="6EO6V5RZ"/>
    <s v="25-NOV-13"/>
    <n v="6256"/>
    <n v="960"/>
    <n v="7216"/>
    <n v="7412.5"/>
    <n v="7216"/>
    <n v="0"/>
    <n v="0"/>
    <n v="1"/>
    <n v="0"/>
    <n v="0"/>
    <n v="7216"/>
    <n v="0"/>
    <n v="0"/>
  </r>
  <r>
    <s v="21/01/2014"/>
    <s v="AI0042414"/>
    <m/>
    <m/>
    <s v="Gupta Manish Mr ."/>
    <x v="6"/>
    <s v="9W"/>
    <s v="5894342108985"/>
    <s v="22-01-14"/>
    <n v="6100"/>
    <n v="1896"/>
    <n v="7996"/>
    <n v="7412.5"/>
    <n v="7996"/>
    <n v="0"/>
    <n v="0"/>
    <n v="1"/>
    <n v="0"/>
    <n v="0"/>
    <n v="7996"/>
    <n v="0"/>
    <n v="0"/>
  </r>
  <r>
    <s v="07/02/2014"/>
    <s v="AI0045786"/>
    <m/>
    <m/>
    <s v="Gupta Manish Mr ."/>
    <x v="6"/>
    <s v="6E"/>
    <s v="6EUDY47U"/>
    <s v="10-02-14"/>
    <n v="4242"/>
    <n v="847"/>
    <n v="5089"/>
    <n v="7412.5"/>
    <n v="5089"/>
    <n v="0"/>
    <n v="1"/>
    <n v="0"/>
    <n v="0"/>
    <n v="5089"/>
    <n v="0"/>
    <n v="0"/>
    <n v="0"/>
  </r>
  <r>
    <s v="27/01/2014"/>
    <s v="AI0043359"/>
    <s v="AR0006337"/>
    <m/>
    <s v="Gupta Manish Mr ."/>
    <x v="8"/>
    <s v="G8"/>
    <s v="104YSYU551"/>
    <s v="29-01-14"/>
    <n v="8450"/>
    <n v="6979"/>
    <n v="15429"/>
    <n v="14406"/>
    <n v="46287"/>
    <n v="17922"/>
    <n v="0"/>
    <n v="0"/>
    <n v="1"/>
    <n v="0"/>
    <n v="0"/>
    <n v="46287"/>
    <n v="30387"/>
  </r>
  <r>
    <s v="28/01/2014"/>
    <s v="AI0043741"/>
    <m/>
    <m/>
    <s v="Gupta Manish Mr ."/>
    <x v="8"/>
    <s v="6E"/>
    <s v="6EA779TW"/>
    <s v="03-02-14"/>
    <n v="11582"/>
    <n v="2189"/>
    <n v="13771"/>
    <n v="14406"/>
    <n v="13771"/>
    <n v="0"/>
    <n v="0"/>
    <n v="1"/>
    <n v="0"/>
    <n v="0"/>
    <n v="13771"/>
    <n v="0"/>
    <n v="0"/>
  </r>
  <r>
    <s v="13/05/2013"/>
    <s v="AI0006274"/>
    <m/>
    <m/>
    <s v="Gupta Manish Mr ."/>
    <x v="21"/>
    <s v="9W"/>
    <s v="5893973429965"/>
    <s v="19-MAY-13"/>
    <n v="5300"/>
    <n v="5255"/>
    <n v="10555"/>
    <n v="10605"/>
    <n v="10555"/>
    <m/>
    <n v="0"/>
    <n v="1"/>
    <n v="0"/>
    <n v="0"/>
    <n v="10555"/>
    <n v="0"/>
    <n v="0"/>
  </r>
  <r>
    <s v="18/07/2013"/>
    <s v="AI0016145"/>
    <m/>
    <m/>
    <s v="Gupta Manish Mr ."/>
    <x v="21"/>
    <s v="6E"/>
    <s v="6EXZF2PD"/>
    <s v="25-JUL-13"/>
    <n v="6776"/>
    <n v="1454"/>
    <n v="8230"/>
    <n v="10605"/>
    <n v="8230"/>
    <m/>
    <n v="1"/>
    <n v="0"/>
    <n v="0"/>
    <n v="8230"/>
    <n v="0"/>
    <n v="0"/>
    <n v="0"/>
  </r>
  <r>
    <s v="20/09/2013"/>
    <s v="AI0025293"/>
    <s v="AR0003606"/>
    <m/>
    <s v="Gupta Manish Mr ."/>
    <x v="21"/>
    <s v="6E"/>
    <s v="6EM26SPE"/>
    <s v="02-OCT-13"/>
    <n v="9128"/>
    <n v="1585"/>
    <n v="10713"/>
    <n v="10605"/>
    <n v="10713"/>
    <n v="10613"/>
    <n v="0"/>
    <n v="1"/>
    <n v="0"/>
    <n v="0"/>
    <n v="10713"/>
    <n v="0"/>
    <n v="0"/>
  </r>
  <r>
    <s v="24/09/2013"/>
    <s v="AI0026113"/>
    <m/>
    <m/>
    <s v="Gupta Manish Mr ."/>
    <x v="21"/>
    <s v="6E"/>
    <s v="6EN2CJTF"/>
    <s v="01-OCT-13"/>
    <n v="9128"/>
    <n v="1585"/>
    <n v="10713"/>
    <n v="10605"/>
    <n v="10713"/>
    <n v="0"/>
    <n v="0"/>
    <n v="1"/>
    <n v="0"/>
    <n v="0"/>
    <n v="10713"/>
    <n v="0"/>
    <n v="0"/>
  </r>
  <r>
    <s v="27/09/2013"/>
    <s v="AI0026550"/>
    <m/>
    <m/>
    <s v="Gupta Manish Mr ."/>
    <x v="21"/>
    <s v="9W"/>
    <s v="5894147356681"/>
    <s v="02-OCT-13"/>
    <n v="7800"/>
    <n v="4082"/>
    <n v="11882"/>
    <n v="10605"/>
    <n v="11882"/>
    <n v="0"/>
    <n v="0"/>
    <n v="0"/>
    <n v="1"/>
    <n v="0"/>
    <n v="0"/>
    <n v="11882"/>
    <n v="182"/>
  </r>
  <r>
    <s v="02/12/2013"/>
    <s v="AI0036058"/>
    <m/>
    <m/>
    <s v="Gupta Manish Mr ."/>
    <x v="18"/>
    <s v="6E"/>
    <s v="6ES4SS6P"/>
    <s v="19-DEC-13"/>
    <n v="4310"/>
    <n v="851"/>
    <n v="5161"/>
    <n v="5161"/>
    <n v="5161"/>
    <n v="0"/>
    <n v="0"/>
    <n v="1"/>
    <n v="0"/>
    <n v="0"/>
    <n v="5161"/>
    <n v="0"/>
    <n v="0"/>
  </r>
  <r>
    <s v="17/12/2013"/>
    <s v="AI0038206"/>
    <m/>
    <m/>
    <s v="Gupta Manish Mr ."/>
    <x v="18"/>
    <s v="6E"/>
    <s v="6EEYGJWN"/>
    <s v="18-DEC-13"/>
    <n v="4310"/>
    <n v="851"/>
    <n v="5161"/>
    <n v="5161"/>
    <n v="5161"/>
    <n v="0"/>
    <n v="0"/>
    <n v="1"/>
    <n v="0"/>
    <n v="0"/>
    <n v="5161"/>
    <n v="0"/>
    <n v="0"/>
  </r>
  <r>
    <s v="24/02/2014"/>
    <s v="AI0047765"/>
    <m/>
    <m/>
    <s v="Gupta Manish Mr ."/>
    <x v="18"/>
    <s v="6E"/>
    <s v="6EA7PDTG"/>
    <s v="26-FEB-14"/>
    <n v="3915"/>
    <n v="829"/>
    <n v="4744"/>
    <n v="5161"/>
    <n v="4744"/>
    <e v="#REF!"/>
    <n v="0"/>
    <n v="1"/>
    <n v="0"/>
    <n v="0"/>
    <n v="4744"/>
    <n v="0"/>
    <n v="0"/>
  </r>
  <r>
    <s v="06/09/2013"/>
    <s v="AI0023293"/>
    <m/>
    <m/>
    <s v="Gupta Manish Mr ."/>
    <x v="9"/>
    <s v="6E"/>
    <s v="6EO1TYRN"/>
    <s v="10-SEP-13"/>
    <n v="8670"/>
    <n v="1927"/>
    <n v="10597"/>
    <n v="10597"/>
    <n v="10597"/>
    <n v="0"/>
    <n v="0"/>
    <n v="1"/>
    <n v="0"/>
    <n v="0"/>
    <n v="10597"/>
    <n v="0"/>
    <n v="0"/>
  </r>
  <r>
    <s v="29/11/2013"/>
    <s v="AI0035618"/>
    <m/>
    <m/>
    <s v="Gupta Manish Mr ."/>
    <x v="40"/>
    <s v="6E"/>
    <s v="6EFDL48B"/>
    <s v="05-DEC-13"/>
    <n v="18306"/>
    <n v="1987"/>
    <n v="20293"/>
    <n v="20677"/>
    <n v="20293"/>
    <n v="0"/>
    <n v="0"/>
    <n v="1"/>
    <n v="0"/>
    <n v="0"/>
    <n v="20293"/>
    <n v="0"/>
    <n v="0"/>
  </r>
  <r>
    <s v="20/01/2014"/>
    <s v="AI0042283"/>
    <m/>
    <m/>
    <s v="Gupta Manish Mr ."/>
    <x v="50"/>
    <s v="6E"/>
    <s v="6EO565VC"/>
    <s v="23-JAN-14"/>
    <n v="3870"/>
    <n v="989"/>
    <n v="4859"/>
    <n v="3186"/>
    <n v="4859"/>
    <n v="0"/>
    <n v="0"/>
    <n v="0"/>
    <n v="1"/>
    <n v="0"/>
    <n v="0"/>
    <n v="4859"/>
    <n v="1259"/>
  </r>
  <r>
    <s v="13/06/2013"/>
    <s v="AI0011177"/>
    <s v="AR0001587"/>
    <m/>
    <s v="Gupta Manish Mr ."/>
    <x v="7"/>
    <s v="6E"/>
    <s v="6EPUB7BR"/>
    <s v="17-JUN-13"/>
    <n v="5924"/>
    <n v="1024"/>
    <n v="6948"/>
    <n v="7234"/>
    <n v="6948"/>
    <n v="6848"/>
    <n v="0"/>
    <n v="1"/>
    <n v="0"/>
    <n v="0"/>
    <n v="6948"/>
    <n v="0"/>
    <n v="0"/>
  </r>
  <r>
    <s v="14/06/2013"/>
    <s v="AI0011352"/>
    <m/>
    <m/>
    <s v="Gupta Manish Mr ."/>
    <x v="7"/>
    <s v="6E"/>
    <s v="6ERUYBBR"/>
    <s v="17-JUN-13"/>
    <n v="5924"/>
    <n v="1024"/>
    <n v="6948"/>
    <n v="7234"/>
    <n v="6948"/>
    <m/>
    <n v="0"/>
    <n v="1"/>
    <n v="0"/>
    <n v="0"/>
    <n v="6948"/>
    <n v="0"/>
    <n v="0"/>
  </r>
  <r>
    <s v="06/11/2013"/>
    <s v="AI0031717"/>
    <m/>
    <m/>
    <s v="Gupta Manish Mr ."/>
    <x v="7"/>
    <s v="9W"/>
    <s v="5894339005721"/>
    <s v="22-NOV-13"/>
    <n v="3500"/>
    <n v="1834"/>
    <n v="5334"/>
    <n v="7234"/>
    <n v="5334"/>
    <n v="0"/>
    <n v="1"/>
    <n v="0"/>
    <n v="0"/>
    <n v="5334"/>
    <n v="0"/>
    <n v="0"/>
    <n v="0"/>
  </r>
  <r>
    <s v="28/01/2014"/>
    <s v="AI0043595"/>
    <m/>
    <m/>
    <s v="Gupta Manish Mr ."/>
    <x v="7"/>
    <s v="6E"/>
    <s v="6EQ71J9J"/>
    <s v="29-01-14"/>
    <n v="5816"/>
    <n v="1139"/>
    <n v="6955"/>
    <n v="7234"/>
    <n v="6955"/>
    <n v="0"/>
    <n v="0"/>
    <n v="1"/>
    <n v="0"/>
    <n v="0"/>
    <n v="6955"/>
    <n v="0"/>
    <n v="0"/>
  </r>
  <r>
    <s v="24/02/2014"/>
    <s v="AI0047843"/>
    <m/>
    <m/>
    <s v="Gupta Manish Mr ."/>
    <x v="7"/>
    <s v="9W"/>
    <s v="5894815243372"/>
    <s v="27-FEB-14"/>
    <n v="6950"/>
    <n v="2026"/>
    <n v="8976"/>
    <n v="7234"/>
    <n v="8976"/>
    <e v="#REF!"/>
    <n v="0"/>
    <n v="0"/>
    <n v="1"/>
    <n v="0"/>
    <n v="0"/>
    <n v="8976"/>
    <n v="976"/>
  </r>
  <r>
    <s v="27/09/2013"/>
    <s v="AI0026581"/>
    <m/>
    <m/>
    <s v="Gupta Manish Mr ."/>
    <x v="22"/>
    <s v="6E"/>
    <s v="6EV2H7TM"/>
    <s v="03-OCT-13"/>
    <n v="8449"/>
    <n v="1630"/>
    <n v="10079"/>
    <n v="10079"/>
    <n v="10079"/>
    <n v="0"/>
    <n v="0"/>
    <n v="1"/>
    <n v="0"/>
    <n v="0"/>
    <n v="10079"/>
    <n v="0"/>
    <n v="0"/>
  </r>
  <r>
    <s v="13/05/2013"/>
    <s v="AI0006469"/>
    <m/>
    <m/>
    <s v="Gupta Manish Mr ."/>
    <x v="24"/>
    <s v="6E"/>
    <s v="6EJSN4AM"/>
    <s v="20-MAY-13"/>
    <n v="8306"/>
    <n v="1398"/>
    <n v="9704"/>
    <n v="10332"/>
    <n v="9704"/>
    <m/>
    <n v="0"/>
    <n v="1"/>
    <n v="0"/>
    <n v="0"/>
    <n v="9704"/>
    <n v="0"/>
    <n v="0"/>
  </r>
  <r>
    <s v="16/07/2013"/>
    <s v="AI0015847"/>
    <m/>
    <m/>
    <s v="Gupta Manish Mr ."/>
    <x v="24"/>
    <s v="AI"/>
    <s v="0983976529110"/>
    <s v="25-JUL-13"/>
    <n v="2550"/>
    <n v="4386"/>
    <n v="6936"/>
    <n v="10332"/>
    <n v="6936"/>
    <m/>
    <n v="1"/>
    <n v="0"/>
    <n v="0"/>
    <n v="6936"/>
    <n v="0"/>
    <n v="0"/>
    <n v="0"/>
  </r>
  <r>
    <s v="27/09/2013"/>
    <s v="AI0026568"/>
    <m/>
    <m/>
    <s v="Gupta Manish Mr ."/>
    <x v="25"/>
    <s v="9W"/>
    <s v="5894147356683"/>
    <s v="03-OCT-13"/>
    <n v="7600"/>
    <n v="3197"/>
    <n v="10797"/>
    <n v="9855"/>
    <n v="10797"/>
    <n v="0"/>
    <n v="0"/>
    <n v="1"/>
    <n v="0"/>
    <n v="0"/>
    <n v="10797"/>
    <n v="0"/>
    <n v="0"/>
  </r>
  <r>
    <s v="02/12/2013"/>
    <s v="AI0036056"/>
    <m/>
    <m/>
    <s v="Gupta Manish Mr ."/>
    <x v="19"/>
    <s v="6E"/>
    <s v="6EX2WBHY"/>
    <s v="19-DEC-13"/>
    <n v="4360"/>
    <n v="1078"/>
    <n v="5438"/>
    <n v="5438"/>
    <n v="5438"/>
    <n v="0"/>
    <n v="0"/>
    <n v="1"/>
    <n v="0"/>
    <n v="0"/>
    <n v="5438"/>
    <n v="0"/>
    <n v="0"/>
  </r>
  <r>
    <s v="17/12/2013"/>
    <s v="AI0038205"/>
    <m/>
    <m/>
    <s v="Gupta Manish Mr ."/>
    <x v="19"/>
    <s v="6E"/>
    <s v="6EE9DU3N"/>
    <s v="19-DEC-13"/>
    <n v="4360"/>
    <n v="1078"/>
    <n v="5438"/>
    <n v="5438"/>
    <n v="5438"/>
    <n v="0"/>
    <n v="0"/>
    <n v="1"/>
    <n v="0"/>
    <n v="0"/>
    <n v="5438"/>
    <n v="0"/>
    <n v="0"/>
  </r>
  <r>
    <s v="25/02/2014"/>
    <s v="AI0047874"/>
    <m/>
    <m/>
    <s v="Gupta Manish Mr ."/>
    <x v="12"/>
    <s v="9W"/>
    <s v="5894815144141"/>
    <s v="27-FEB-14"/>
    <n v="4300"/>
    <n v="1705"/>
    <n v="6005"/>
    <n v="5519"/>
    <n v="6005"/>
    <e v="#REF!"/>
    <n v="0"/>
    <n v="1"/>
    <n v="0"/>
    <n v="0"/>
    <n v="6005"/>
    <n v="0"/>
    <n v="0"/>
  </r>
  <r>
    <s v="16/01/2014"/>
    <s v="AI0041753"/>
    <m/>
    <m/>
    <s v="Hirehal  Shafiullatahira Mr."/>
    <x v="17"/>
    <s v="CX"/>
    <s v="1604342242882"/>
    <s v="22-JAN-14"/>
    <n v="21845"/>
    <n v="25990"/>
    <n v="47835"/>
    <n v="45000"/>
    <n v="47835"/>
    <n v="0"/>
    <n v="0"/>
    <n v="1"/>
    <n v="0"/>
    <n v="0"/>
    <n v="47835"/>
    <n v="0"/>
    <n v="0"/>
  </r>
  <r>
    <s v="17/01/2014"/>
    <s v="VI0003518"/>
    <m/>
    <m/>
    <s v="Hirehal  Shafiullatahira Mr."/>
    <x v="27"/>
    <s v=""/>
    <s v="China"/>
    <s v=""/>
    <n v="7047"/>
    <n v="500"/>
    <n v="7547"/>
    <n v="6580.5"/>
    <n v="7547"/>
    <n v="0"/>
    <n v="0"/>
    <n v="0"/>
    <n v="1"/>
    <n v="0"/>
    <n v="0"/>
    <n v="7547"/>
    <n v="247"/>
  </r>
  <r>
    <s v="20/02/2014"/>
    <s v="AI0047207"/>
    <m/>
    <m/>
    <s v="Hursikesh  Patnaik Mr."/>
    <x v="15"/>
    <s v="6E"/>
    <s v="6EF4898P"/>
    <s v="21-FEB-14"/>
    <n v="17136"/>
    <n v="2046"/>
    <n v="19182"/>
    <n v="19030"/>
    <n v="19182"/>
    <e v="#REF!"/>
    <n v="0"/>
    <n v="1"/>
    <n v="0"/>
    <n v="0"/>
    <n v="19182"/>
    <n v="0"/>
    <n v="0"/>
  </r>
  <r>
    <s v="19/02/2014"/>
    <s v="AI0047266"/>
    <m/>
    <m/>
    <s v="Indraneel  Biswas Mr."/>
    <x v="5"/>
    <s v="6E"/>
    <s v="6EC5NNNM"/>
    <s v="20-FEB-14"/>
    <n v="8742"/>
    <n v="1209"/>
    <n v="9951"/>
    <n v="9425"/>
    <n v="9951"/>
    <e v="#REF!"/>
    <n v="0"/>
    <n v="1"/>
    <n v="0"/>
    <n v="0"/>
    <n v="9951"/>
    <n v="0"/>
    <n v="0"/>
  </r>
  <r>
    <s v="16/09/2013"/>
    <s v="AI0024603"/>
    <m/>
    <m/>
    <s v="Jain Saurabh Dr ."/>
    <x v="6"/>
    <s v="9W"/>
    <s v="5894147072970"/>
    <s v="17-SEP-13"/>
    <n v="5200"/>
    <n v="1945"/>
    <n v="7145"/>
    <n v="7412.5"/>
    <n v="7145"/>
    <n v="0"/>
    <n v="0"/>
    <n v="1"/>
    <n v="0"/>
    <n v="0"/>
    <n v="7145"/>
    <n v="0"/>
    <n v="0"/>
  </r>
  <r>
    <s v="21/10/2013"/>
    <s v="AI0029848"/>
    <m/>
    <m/>
    <s v="Jain Saurabh Dr ."/>
    <x v="24"/>
    <s v="9W"/>
    <s v="5894338903368"/>
    <s v="21-10-13"/>
    <n v="6400"/>
    <n v="3989"/>
    <n v="10389"/>
    <n v="10332"/>
    <n v="10389"/>
    <n v="0"/>
    <n v="0"/>
    <n v="1"/>
    <n v="0"/>
    <n v="0"/>
    <n v="10389"/>
    <n v="0"/>
    <n v="0"/>
  </r>
  <r>
    <s v="20/12/2013"/>
    <s v="AI0038672"/>
    <s v="AR0005894"/>
    <m/>
    <s v="Jain Saurabh Dr ."/>
    <x v="24"/>
    <s v="AI"/>
    <s v="0984341198698"/>
    <s v="11-JAN-14"/>
    <n v="3330"/>
    <n v="4954"/>
    <n v="8284"/>
    <n v="10332"/>
    <n v="8284"/>
    <e v="#REF!"/>
    <n v="1"/>
    <n v="0"/>
    <n v="0"/>
    <n v="8284"/>
    <n v="0"/>
    <n v="0"/>
    <n v="0"/>
  </r>
  <r>
    <s v="29/04/2013"/>
    <s v="AI0004557"/>
    <m/>
    <m/>
    <s v="Jain Saurabh Dr ."/>
    <x v="6"/>
    <s v="9W"/>
    <s v="5893972579189"/>
    <s v="03-MAY-13"/>
    <n v="4500"/>
    <n v="3171"/>
    <n v="7671"/>
    <n v="7412.5"/>
    <n v="7671"/>
    <m/>
    <n v="0"/>
    <n v="1"/>
    <n v="0"/>
    <n v="0"/>
    <n v="7671"/>
    <n v="0"/>
    <n v="0"/>
  </r>
  <r>
    <s v="02/05/2013"/>
    <s v="AI0004911"/>
    <m/>
    <m/>
    <s v="Jain Saurabh Dr ."/>
    <x v="6"/>
    <s v="9W"/>
    <s v="5893972579239"/>
    <s v="03-MAY-13"/>
    <n v="4500"/>
    <n v="3171"/>
    <n v="7671"/>
    <n v="7412.5"/>
    <n v="7671"/>
    <m/>
    <n v="0"/>
    <n v="1"/>
    <n v="0"/>
    <n v="0"/>
    <n v="7671"/>
    <n v="0"/>
    <n v="0"/>
  </r>
  <r>
    <s v="10/07/2013"/>
    <s v="AI0015024"/>
    <m/>
    <m/>
    <s v="Jain Saurabh Dr ."/>
    <x v="6"/>
    <s v="6E"/>
    <s v="6ENZ7GTV1"/>
    <s v="10/07/2013"/>
    <n v="744"/>
    <n v="2427"/>
    <n v="3171"/>
    <n v="7412.5"/>
    <n v="3171"/>
    <m/>
    <n v="1"/>
    <n v="0"/>
    <n v="0"/>
    <n v="3171"/>
    <n v="0"/>
    <n v="0"/>
    <n v="0"/>
  </r>
  <r>
    <s v="01/02/2014"/>
    <s v="AI0044604"/>
    <m/>
    <m/>
    <s v="Jain Saurabh Dr ."/>
    <x v="9"/>
    <s v="AI"/>
    <s v="0984342969598"/>
    <s v="03-02-14"/>
    <n v="4796"/>
    <n v="5471"/>
    <n v="10267"/>
    <n v="10597"/>
    <n v="10267"/>
    <n v="0"/>
    <n v="0"/>
    <n v="1"/>
    <n v="0"/>
    <n v="0"/>
    <n v="10267"/>
    <n v="0"/>
    <n v="0"/>
  </r>
  <r>
    <s v="29/04/2013"/>
    <s v="AI0004557"/>
    <m/>
    <m/>
    <s v="Jain Saurabh Dr ."/>
    <x v="7"/>
    <s v="9W"/>
    <s v="5893972579190"/>
    <s v="03-MAY-13"/>
    <n v="5750"/>
    <n v="3324"/>
    <n v="9074"/>
    <n v="7234"/>
    <n v="9074"/>
    <m/>
    <n v="0"/>
    <n v="0"/>
    <n v="1"/>
    <n v="0"/>
    <n v="0"/>
    <n v="9074"/>
    <n v="1074"/>
  </r>
  <r>
    <s v="02/01/2014"/>
    <s v="AI0040002"/>
    <m/>
    <m/>
    <s v="Jain Saurabh Dr ."/>
    <x v="24"/>
    <s v="AI"/>
    <s v="0984341518740"/>
    <s v="15-JAN-14"/>
    <n v="5240"/>
    <n v="5159"/>
    <n v="10399"/>
    <n v="10332"/>
    <n v="10399"/>
    <m/>
    <n v="0"/>
    <n v="1"/>
    <n v="0"/>
    <n v="0"/>
    <n v="10399"/>
    <n v="0"/>
    <n v="0"/>
  </r>
  <r>
    <s v="10/12/2013"/>
    <s v="AI0037186"/>
    <m/>
    <m/>
    <s v="Jain Saurabh Dr ."/>
    <x v="65"/>
    <s v="EK"/>
    <s v="1764340894513"/>
    <s v="11-DEC-13"/>
    <n v="13710"/>
    <n v="3490"/>
    <n v="17200"/>
    <n v="17200"/>
    <n v="17200"/>
    <n v="0"/>
    <n v="0"/>
    <n v="1"/>
    <n v="0"/>
    <n v="0"/>
    <n v="17200"/>
    <n v="0"/>
    <n v="0"/>
  </r>
  <r>
    <s v="07/12/2013"/>
    <s v="AI0036974"/>
    <m/>
    <m/>
    <s v="Jain Saurabh Dr ."/>
    <x v="66"/>
    <s v="AI"/>
    <s v="0984340765379"/>
    <s v="12-DEC-13"/>
    <n v="18825"/>
    <n v="8975"/>
    <n v="27800"/>
    <n v="27800"/>
    <n v="27800"/>
    <n v="0"/>
    <n v="0"/>
    <n v="1"/>
    <n v="0"/>
    <n v="0"/>
    <n v="27800"/>
    <n v="0"/>
    <n v="0"/>
  </r>
  <r>
    <s v="06/09/2013"/>
    <s v="AI0023295"/>
    <m/>
    <m/>
    <s v="Jeyaraj  Sundaram Mr."/>
    <x v="9"/>
    <s v="6E"/>
    <s v="6EO1TYRN1"/>
    <s v="10-SEP-13"/>
    <n v="8670"/>
    <n v="1927"/>
    <n v="10597"/>
    <n v="10597"/>
    <n v="10597"/>
    <n v="0"/>
    <n v="0"/>
    <n v="1"/>
    <n v="0"/>
    <n v="0"/>
    <n v="10597"/>
    <n v="0"/>
    <n v="0"/>
  </r>
  <r>
    <s v="10/06/2013"/>
    <s v="AI0010575"/>
    <m/>
    <m/>
    <s v="John   Kiran  Mr."/>
    <x v="6"/>
    <s v="9W"/>
    <s v="5893974847681"/>
    <s v="11-JUN-13"/>
    <n v="4550"/>
    <n v="3122"/>
    <n v="7672"/>
    <n v="7412.5"/>
    <n v="7672"/>
    <m/>
    <n v="0"/>
    <n v="1"/>
    <n v="0"/>
    <n v="0"/>
    <n v="7672"/>
    <n v="0"/>
    <n v="0"/>
  </r>
  <r>
    <s v="10/06/2013"/>
    <s v="AI0010575"/>
    <m/>
    <m/>
    <s v="John   Kiran  Mr."/>
    <x v="7"/>
    <s v="9W"/>
    <s v="5893974847682"/>
    <s v="11-JUN-13"/>
    <n v="4550"/>
    <n v="3205"/>
    <n v="7755"/>
    <n v="7234"/>
    <n v="7755"/>
    <m/>
    <n v="0"/>
    <n v="1"/>
    <n v="0"/>
    <n v="0"/>
    <n v="7755"/>
    <n v="0"/>
    <n v="0"/>
  </r>
  <r>
    <s v="30/01/2014"/>
    <s v="AI0044077"/>
    <m/>
    <m/>
    <s v="Karthik  Enumulla Mr."/>
    <x v="6"/>
    <s v="6E"/>
    <s v="6EI27ZSY"/>
    <s v="03-02-14"/>
    <n v="5766"/>
    <n v="1053"/>
    <n v="6819"/>
    <n v="7412.5"/>
    <n v="6819"/>
    <n v="0"/>
    <n v="0"/>
    <n v="1"/>
    <n v="0"/>
    <n v="0"/>
    <n v="6819"/>
    <n v="0"/>
    <n v="0"/>
  </r>
  <r>
    <s v="16/01/2014"/>
    <s v="VI0003504"/>
    <m/>
    <m/>
    <s v="Karthik  Enumulla Mr."/>
    <x v="67"/>
    <s v=""/>
    <s v="Switzerland"/>
    <s v=""/>
    <n v="6710"/>
    <n v="290"/>
    <n v="7000"/>
    <n v="7000"/>
    <n v="7000"/>
    <n v="0"/>
    <n v="0"/>
    <n v="1"/>
    <n v="0"/>
    <n v="0"/>
    <n v="7000"/>
    <n v="0"/>
    <n v="0"/>
  </r>
  <r>
    <s v="06/08/2013"/>
    <s v="AI0018914"/>
    <m/>
    <m/>
    <s v="Katare  Snehalshivaling Mr."/>
    <x v="68"/>
    <s v="SQ"/>
    <s v="6184145223157"/>
    <s v="07-AUG-13"/>
    <n v="29000"/>
    <n v="41500"/>
    <n v="70500"/>
    <n v="70500"/>
    <n v="70500"/>
    <m/>
    <n v="0"/>
    <n v="1"/>
    <n v="0"/>
    <n v="0"/>
    <n v="70500"/>
    <n v="0"/>
    <n v="0"/>
  </r>
  <r>
    <s v="10/10/2013"/>
    <s v="AI0028516"/>
    <m/>
    <m/>
    <s v="Keshri   Vaibhav  Mr."/>
    <x v="69"/>
    <s v="9W"/>
    <s v="5894147816733"/>
    <s v="21-OCT-13"/>
    <n v="6400"/>
    <n v="3539"/>
    <n v="9939"/>
    <n v="9939"/>
    <n v="9939"/>
    <n v="0"/>
    <n v="0"/>
    <n v="1"/>
    <n v="0"/>
    <n v="0"/>
    <n v="9939"/>
    <n v="0"/>
    <n v="0"/>
  </r>
  <r>
    <s v="10/10/2013"/>
    <s v="AI0028516"/>
    <m/>
    <m/>
    <s v="Keshri   Vaibhav  Mr."/>
    <x v="70"/>
    <s v="G8"/>
    <s v="104HJE7LJ3"/>
    <s v="26-OCT-13"/>
    <n v="3050"/>
    <n v="4658"/>
    <n v="7708"/>
    <n v="7708"/>
    <n v="7708"/>
    <n v="0"/>
    <n v="0"/>
    <n v="1"/>
    <n v="0"/>
    <n v="0"/>
    <n v="7708"/>
    <n v="0"/>
    <n v="0"/>
  </r>
  <r>
    <s v="21/05/2013"/>
    <s v="AI0007615"/>
    <m/>
    <m/>
    <s v="Kiran Anand Mr ."/>
    <x v="6"/>
    <s v="9W"/>
    <s v="5893974228267"/>
    <s v="24-MAY-13"/>
    <n v="4500"/>
    <n v="3196"/>
    <n v="7696"/>
    <n v="7412.5"/>
    <n v="7696"/>
    <m/>
    <n v="0"/>
    <n v="1"/>
    <n v="0"/>
    <n v="0"/>
    <n v="7696"/>
    <n v="0"/>
    <n v="0"/>
  </r>
  <r>
    <s v="26/12/2013"/>
    <s v="AI0039257"/>
    <m/>
    <m/>
    <s v="Kiran Anand Mr ."/>
    <x v="16"/>
    <s v="AI"/>
    <s v="0984341518510"/>
    <s v="27-DEC-13"/>
    <n v="10862"/>
    <n v="10638"/>
    <n v="21500"/>
    <n v="20521"/>
    <n v="21500"/>
    <n v="0"/>
    <n v="0"/>
    <n v="1"/>
    <n v="0"/>
    <n v="0"/>
    <n v="21500"/>
    <n v="0"/>
    <n v="0"/>
  </r>
  <r>
    <s v="21/05/2013"/>
    <s v="AI0007617"/>
    <m/>
    <m/>
    <s v="Kiran Anand Mr ."/>
    <x v="7"/>
    <s v="9W"/>
    <s v="5893974228269"/>
    <s v="24-MAY-13"/>
    <n v="5110"/>
    <n v="3313"/>
    <n v="8423"/>
    <n v="7234"/>
    <n v="8423"/>
    <m/>
    <n v="0"/>
    <n v="0"/>
    <n v="1"/>
    <n v="0"/>
    <n v="0"/>
    <n v="8423"/>
    <n v="423"/>
  </r>
  <r>
    <s v="31/05/2013"/>
    <s v="AI0009203"/>
    <m/>
    <m/>
    <s v="Kiran Anand Mr ."/>
    <x v="6"/>
    <s v="9W"/>
    <s v="5893974400177"/>
    <s v="03-JUN-13"/>
    <n v="4550"/>
    <n v="3122"/>
    <n v="7672"/>
    <n v="7412.5"/>
    <n v="7672"/>
    <m/>
    <n v="0"/>
    <n v="1"/>
    <n v="0"/>
    <n v="0"/>
    <n v="7672"/>
    <n v="0"/>
    <n v="0"/>
  </r>
  <r>
    <s v="12/09/2013"/>
    <s v="AI0023990"/>
    <m/>
    <m/>
    <s v="Kiran Anand Mr ."/>
    <x v="6"/>
    <s v="AI"/>
    <s v="0984146953051"/>
    <s v="19-SEP-13"/>
    <n v="3130"/>
    <n v="3043"/>
    <n v="6173"/>
    <n v="7412.5"/>
    <n v="6173"/>
    <n v="0"/>
    <n v="1"/>
    <n v="0"/>
    <n v="0"/>
    <n v="6173"/>
    <n v="0"/>
    <n v="0"/>
    <n v="0"/>
  </r>
  <r>
    <s v="27/01/2014"/>
    <s v="AI0043364"/>
    <m/>
    <m/>
    <s v="Kiran Anand Mr ."/>
    <x v="6"/>
    <s v="G8"/>
    <s v="104Z9QPZP1"/>
    <s v="29-01-14"/>
    <n v="4000"/>
    <n v="3420"/>
    <n v="7420"/>
    <n v="7412.5"/>
    <n v="7420"/>
    <n v="0"/>
    <n v="0"/>
    <n v="1"/>
    <n v="0"/>
    <n v="0"/>
    <n v="7420"/>
    <n v="0"/>
    <n v="0"/>
  </r>
  <r>
    <s v="23/07/2013"/>
    <s v="AI0016801"/>
    <m/>
    <m/>
    <s v="Kiran Anand Mr ."/>
    <x v="21"/>
    <s v="AI"/>
    <s v="0984144546019"/>
    <s v="24-JUL-13"/>
    <n v="3668"/>
    <n v="5113"/>
    <n v="8781"/>
    <n v="10605"/>
    <n v="8781"/>
    <m/>
    <n v="1"/>
    <n v="0"/>
    <n v="0"/>
    <n v="8781"/>
    <n v="0"/>
    <n v="0"/>
    <n v="0"/>
  </r>
  <r>
    <s v="27/09/2013"/>
    <s v="AI0026550"/>
    <m/>
    <m/>
    <s v="Kiran Anand Mr ."/>
    <x v="21"/>
    <s v="9W"/>
    <s v="5894147356682"/>
    <s v="02-OCT-13"/>
    <n v="7800"/>
    <n v="4082"/>
    <n v="11882"/>
    <n v="10605"/>
    <n v="11882"/>
    <n v="0"/>
    <n v="0"/>
    <n v="0"/>
    <n v="1"/>
    <n v="0"/>
    <n v="0"/>
    <n v="11882"/>
    <n v="182"/>
  </r>
  <r>
    <s v="12/09/2013"/>
    <s v="AI0023994"/>
    <s v="AR0003539"/>
    <m/>
    <s v="Kiran Anand Mr ."/>
    <x v="7"/>
    <s v="AI"/>
    <s v="0984146953052"/>
    <s v="21-SEP-13"/>
    <n v="3130"/>
    <n v="3126"/>
    <n v="6256"/>
    <n v="7234"/>
    <n v="12512"/>
    <n v="4577"/>
    <n v="0"/>
    <n v="0"/>
    <n v="1"/>
    <n v="0"/>
    <n v="0"/>
    <n v="12512"/>
    <n v="4512"/>
  </r>
  <r>
    <s v="23/07/2013"/>
    <s v="AI0016801"/>
    <m/>
    <m/>
    <s v="Kiran Anand Mr ."/>
    <x v="24"/>
    <s v="AI"/>
    <s v="0984144546020"/>
    <s v="25-JUL-13"/>
    <n v="2165"/>
    <n v="4364"/>
    <n v="6529"/>
    <n v="10332"/>
    <n v="6529"/>
    <m/>
    <n v="1"/>
    <n v="0"/>
    <n v="0"/>
    <n v="6529"/>
    <n v="0"/>
    <n v="0"/>
    <n v="0"/>
  </r>
  <r>
    <s v="03/02/2014"/>
    <s v="AI0044620"/>
    <m/>
    <m/>
    <s v="Kiran Anand Mr ."/>
    <x v="31"/>
    <s v="9W"/>
    <s v="5894342969605"/>
    <s v="03-02-14"/>
    <n v="4170"/>
    <n v="1455"/>
    <n v="5625"/>
    <n v="5455"/>
    <n v="5625"/>
    <n v="0"/>
    <n v="0"/>
    <n v="1"/>
    <n v="0"/>
    <n v="0"/>
    <n v="5625"/>
    <n v="0"/>
    <n v="0"/>
  </r>
  <r>
    <s v="16/01/2014"/>
    <s v="AI0041838"/>
    <m/>
    <m/>
    <s v="Kiran  John Mr."/>
    <x v="9"/>
    <s v="6E"/>
    <s v="6EE1WGNY"/>
    <s v="22-JAN-14"/>
    <n v="8670"/>
    <n v="2108"/>
    <n v="10778"/>
    <n v="10597"/>
    <n v="10778"/>
    <n v="0"/>
    <n v="0"/>
    <n v="1"/>
    <n v="0"/>
    <n v="0"/>
    <n v="10778"/>
    <n v="0"/>
    <n v="0"/>
  </r>
  <r>
    <s v="10/02/2014"/>
    <s v="AI0045842"/>
    <m/>
    <m/>
    <s v="Kirti  Maheshwari Ms."/>
    <x v="71"/>
    <s v="6E"/>
    <s v="6EU9KNST"/>
    <s v="17-02-14"/>
    <n v="17592"/>
    <n v="2991"/>
    <n v="20583"/>
    <n v="19495"/>
    <n v="20583"/>
    <n v="0"/>
    <n v="0"/>
    <n v="1"/>
    <n v="0"/>
    <n v="0"/>
    <n v="20583"/>
    <n v="0"/>
    <n v="0"/>
  </r>
  <r>
    <s v="09/10/2013"/>
    <s v="AI0028413"/>
    <m/>
    <m/>
    <s v="Konduru  Muralidharraju Mr."/>
    <x v="72"/>
    <s v="LH"/>
    <s v="2204148109047"/>
    <s v="10-OCT-13"/>
    <n v="0"/>
    <n v="15000"/>
    <n v="15000"/>
    <n v="15000"/>
    <n v="15000"/>
    <n v="0"/>
    <n v="0"/>
    <n v="1"/>
    <n v="0"/>
    <n v="0"/>
    <n v="15000"/>
    <n v="0"/>
    <n v="0"/>
  </r>
  <r>
    <s v="21/11/2013"/>
    <s v="AI0034331"/>
    <m/>
    <m/>
    <s v="Kothari   Varun  Mr."/>
    <x v="21"/>
    <s v="9W"/>
    <s v="5894339996091"/>
    <s v="25-NOV-13"/>
    <n v="7950"/>
    <n v="4091"/>
    <n v="12041"/>
    <n v="10605"/>
    <n v="23747"/>
    <n v="0"/>
    <n v="0"/>
    <n v="0"/>
    <n v="1"/>
    <n v="0"/>
    <n v="0"/>
    <n v="23747"/>
    <n v="12047"/>
  </r>
  <r>
    <s v="21/11/2013"/>
    <s v="AI0034331"/>
    <m/>
    <m/>
    <s v="Kothari   Varun  Mr."/>
    <x v="24"/>
    <s v="SG"/>
    <s v="775Y4GZUV1"/>
    <s v="25-NOV-13"/>
    <n v="6027"/>
    <n v="5679"/>
    <n v="11706"/>
    <n v="10332"/>
    <n v="11706"/>
    <n v="0"/>
    <n v="0"/>
    <n v="0"/>
    <n v="1"/>
    <n v="0"/>
    <n v="0"/>
    <n v="11706"/>
    <n v="306"/>
  </r>
  <r>
    <s v="16/08/2013"/>
    <s v="AI0020110"/>
    <m/>
    <m/>
    <s v="Krishna  Daliparthi Mr."/>
    <x v="19"/>
    <s v="6E"/>
    <s v="6EB18CTX"/>
    <s v="17-AUG-13"/>
    <n v="3017"/>
    <n v="1003"/>
    <n v="4020"/>
    <n v="5438"/>
    <n v="4020"/>
    <n v="0"/>
    <n v="1"/>
    <n v="0"/>
    <n v="0"/>
    <n v="4020"/>
    <n v="0"/>
    <n v="0"/>
    <n v="0"/>
  </r>
  <r>
    <s v="28/06/2013"/>
    <s v="AI0013335"/>
    <m/>
    <m/>
    <s v="Kumar   Nikhil  Mr."/>
    <x v="35"/>
    <s v="SG"/>
    <s v="775N7H1SJ1"/>
    <s v="02-JUL-13"/>
    <n v="5174"/>
    <n v="6548"/>
    <n v="11722"/>
    <n v="11722"/>
    <n v="11722"/>
    <m/>
    <n v="0"/>
    <n v="1"/>
    <n v="0"/>
    <n v="0"/>
    <n v="11722"/>
    <n v="0"/>
    <n v="0"/>
  </r>
  <r>
    <s v="31/10/2013"/>
    <s v="AI0031259"/>
    <m/>
    <m/>
    <s v="Kumar   Punita  Ms ."/>
    <x v="6"/>
    <s v="9W"/>
    <s v="5894339294339"/>
    <s v="01-11-13"/>
    <n v="5500"/>
    <n v="2587"/>
    <n v="8087"/>
    <n v="7412.5"/>
    <n v="8087"/>
    <n v="0"/>
    <n v="0"/>
    <n v="1"/>
    <n v="0"/>
    <n v="0"/>
    <n v="8087"/>
    <n v="0"/>
    <n v="0"/>
  </r>
  <r>
    <s v="31/10/2013"/>
    <s v="AI0031258"/>
    <m/>
    <m/>
    <s v="Kumar  N Kiran  Mr ."/>
    <x v="6"/>
    <s v="9W"/>
    <s v="5894339294338"/>
    <s v="01-11-13"/>
    <n v="5500"/>
    <n v="2587"/>
    <n v="8087"/>
    <n v="7412.5"/>
    <n v="8087"/>
    <n v="0"/>
    <n v="0"/>
    <n v="1"/>
    <n v="0"/>
    <n v="0"/>
    <n v="8087"/>
    <n v="0"/>
    <n v="0"/>
  </r>
  <r>
    <s v="05/06/2013"/>
    <s v="AI0009892"/>
    <m/>
    <m/>
    <s v="Kumar  N Kiran  Mr ."/>
    <x v="8"/>
    <s v="SG"/>
    <s v="775PYJMRA1"/>
    <s v="06-JUN-13"/>
    <n v="7292"/>
    <n v="6798"/>
    <n v="14090"/>
    <n v="14406"/>
    <n v="14090"/>
    <m/>
    <n v="0"/>
    <n v="1"/>
    <n v="0"/>
    <n v="0"/>
    <n v="14090"/>
    <n v="0"/>
    <n v="0"/>
  </r>
  <r>
    <s v="30/10/2013"/>
    <s v="AI0031186"/>
    <m/>
    <m/>
    <s v="Kumar  N Kiran  Mr ."/>
    <x v="7"/>
    <s v="AI"/>
    <s v="0984339005645"/>
    <s v="01-11-13"/>
    <n v="5570"/>
    <n v="3261"/>
    <n v="8831"/>
    <n v="7234"/>
    <n v="8831"/>
    <n v="0"/>
    <n v="0"/>
    <n v="0"/>
    <n v="1"/>
    <n v="0"/>
    <n v="0"/>
    <n v="8831"/>
    <n v="831"/>
  </r>
  <r>
    <s v="09/04/2013"/>
    <s v="RA0000006"/>
    <m/>
    <s v="INTERNAL"/>
    <s v="Kushal Pal Singh Mr."/>
    <x v="1"/>
    <s v=""/>
    <s v="671206162"/>
    <s v="18-APR-13"/>
    <n v="712"/>
    <n v="112"/>
    <n v="824"/>
    <n v="824"/>
    <n v="824"/>
    <m/>
    <n v="0"/>
    <n v="1"/>
    <n v="0"/>
    <n v="0"/>
    <n v="824"/>
    <n v="0"/>
    <n v="0"/>
  </r>
  <r>
    <s v="12/06/2013"/>
    <s v="AI0011025"/>
    <m/>
    <m/>
    <s v="Kuthiala   Manni  Ms."/>
    <x v="6"/>
    <s v="6E"/>
    <s v="6EEUC7CX2"/>
    <s v="15-JUN-13"/>
    <n v="3720"/>
    <n v="3336"/>
    <n v="7056"/>
    <n v="7412.5"/>
    <n v="7056"/>
    <m/>
    <n v="0"/>
    <n v="1"/>
    <n v="0"/>
    <n v="0"/>
    <n v="7056"/>
    <n v="0"/>
    <n v="0"/>
  </r>
  <r>
    <s v="12/06/2013"/>
    <s v="AI0011025"/>
    <s v="AR0001566"/>
    <m/>
    <s v="Kuthiala   Manni  Ms."/>
    <x v="7"/>
    <s v="9W"/>
    <s v="5893975225760"/>
    <s v="15-JUN-13"/>
    <n v="4550"/>
    <n v="3205"/>
    <n v="7755"/>
    <n v="7234"/>
    <n v="7755"/>
    <n v="6396"/>
    <n v="0"/>
    <n v="1"/>
    <n v="0"/>
    <n v="0"/>
    <n v="7755"/>
    <n v="0"/>
    <n v="0"/>
  </r>
  <r>
    <s v="13/06/2013"/>
    <s v="AI0011152"/>
    <m/>
    <m/>
    <s v="Kuthiala   Manni  Ms."/>
    <x v="7"/>
    <s v="SG"/>
    <s v="775D82NKT1"/>
    <s v="15-JUN-13"/>
    <n v="3646"/>
    <n v="3471"/>
    <n v="7117"/>
    <n v="7234"/>
    <n v="7117"/>
    <m/>
    <n v="0"/>
    <n v="1"/>
    <n v="0"/>
    <n v="0"/>
    <n v="7117"/>
    <n v="0"/>
    <n v="0"/>
  </r>
  <r>
    <s v="02/05/2013"/>
    <s v="AI0004921"/>
    <m/>
    <m/>
    <s v="Lal   Sameer  Mr."/>
    <x v="21"/>
    <s v="6E"/>
    <s v="6EVS5BBM1"/>
    <s v="02-MAY-13"/>
    <n v="4800"/>
    <n v="5626"/>
    <n v="10426"/>
    <n v="10605"/>
    <n v="10426"/>
    <m/>
    <n v="0"/>
    <n v="1"/>
    <n v="0"/>
    <n v="0"/>
    <n v="10426"/>
    <n v="0"/>
    <n v="0"/>
  </r>
  <r>
    <s v="09/04/2013"/>
    <s v="RA0000005"/>
    <m/>
    <s v="INTERNAL"/>
    <s v="Lijo  Thomas Mr."/>
    <x v="0"/>
    <s v=""/>
    <s v="671194217"/>
    <s v="10-APR-13"/>
    <n v="772"/>
    <n v="112"/>
    <n v="884"/>
    <n v="749"/>
    <n v="884"/>
    <m/>
    <n v="0"/>
    <n v="1"/>
    <n v="0"/>
    <n v="0"/>
    <n v="884"/>
    <n v="0"/>
    <n v="0"/>
  </r>
  <r>
    <s v="09/04/2013"/>
    <s v="RA0000005"/>
    <m/>
    <s v="INTERNAL"/>
    <s v="Lijo  Thomas Mr."/>
    <x v="1"/>
    <s v=""/>
    <s v="671198182"/>
    <s v="11-APR-13"/>
    <n v="1392"/>
    <n v="112"/>
    <n v="1504"/>
    <n v="824"/>
    <n v="1504"/>
    <m/>
    <n v="0"/>
    <n v="0"/>
    <n v="1"/>
    <n v="0"/>
    <n v="0"/>
    <n v="1504"/>
    <n v="504"/>
  </r>
  <r>
    <s v="01/07/2013"/>
    <s v="AI0013630"/>
    <m/>
    <m/>
    <s v="Lin  Weihan Mr."/>
    <x v="73"/>
    <s v="AC"/>
    <s v="0143975856396"/>
    <s v="01/07/2013"/>
    <n v="191425"/>
    <n v="30782"/>
    <n v="222207"/>
    <n v="222207"/>
    <n v="222207"/>
    <m/>
    <n v="0"/>
    <n v="1"/>
    <n v="0"/>
    <n v="0"/>
    <n v="222207"/>
    <n v="0"/>
    <n v="0"/>
  </r>
  <r>
    <s v="12/10/2013"/>
    <s v="AI0028861"/>
    <m/>
    <m/>
    <s v="Lin  Weihan Mr."/>
    <x v="60"/>
    <s v="AC"/>
    <s v="0144148159426"/>
    <s v="15-OCT-13"/>
    <n v="70705"/>
    <n v="48295"/>
    <n v="119000"/>
    <n v="119000"/>
    <n v="119000"/>
    <n v="0"/>
    <n v="0"/>
    <n v="1"/>
    <n v="0"/>
    <n v="0"/>
    <n v="119000"/>
    <n v="0"/>
    <n v="0"/>
  </r>
  <r>
    <s v="01/07/2013"/>
    <s v="AI0013630"/>
    <m/>
    <m/>
    <s v="Lin  Weihan Mr."/>
    <x v="74"/>
    <s v="AC"/>
    <s v="0143975856397"/>
    <s v="01/07/2013"/>
    <n v="0"/>
    <n v="0"/>
    <n v="0"/>
    <n v="0"/>
    <n v="0"/>
    <m/>
    <n v="0"/>
    <n v="1"/>
    <n v="0"/>
    <n v="0"/>
    <n v="0"/>
    <n v="0"/>
    <n v="0"/>
  </r>
  <r>
    <s v="04/07/2013"/>
    <s v="AI0014117"/>
    <m/>
    <m/>
    <s v="Lingala   Vineet  Mr."/>
    <x v="6"/>
    <s v="AI"/>
    <s v="0983976120038"/>
    <s v="04/07/2013"/>
    <n v="950"/>
    <n v="2922"/>
    <n v="3872"/>
    <n v="7412.5"/>
    <n v="3872"/>
    <m/>
    <n v="1"/>
    <n v="0"/>
    <n v="0"/>
    <n v="3872"/>
    <n v="0"/>
    <n v="0"/>
    <n v="0"/>
  </r>
  <r>
    <s v="04/07/2013"/>
    <s v="AI0014117"/>
    <m/>
    <m/>
    <s v="Lingala   Vineet  Mr."/>
    <x v="7"/>
    <s v="6E"/>
    <s v="6EAZMEAX2"/>
    <s v="04/07/2013"/>
    <n v="748"/>
    <n v="2572"/>
    <n v="3320"/>
    <n v="7234"/>
    <n v="3320"/>
    <m/>
    <n v="1"/>
    <n v="0"/>
    <n v="0"/>
    <n v="3320"/>
    <n v="0"/>
    <n v="0"/>
    <n v="0"/>
  </r>
  <r>
    <s v="26/06/2013"/>
    <s v="AI0012978"/>
    <m/>
    <m/>
    <s v="Loka   Aparna  Ms."/>
    <x v="18"/>
    <s v="6E"/>
    <s v="6EHUTUBM1"/>
    <s v="28-JUN-13"/>
    <n v="2637"/>
    <n v="2317"/>
    <n v="4954"/>
    <n v="5161"/>
    <n v="4954"/>
    <m/>
    <n v="0"/>
    <n v="1"/>
    <n v="0"/>
    <n v="0"/>
    <n v="4954"/>
    <n v="0"/>
    <n v="0"/>
  </r>
  <r>
    <s v="19/06/2013"/>
    <s v="AI0012059"/>
    <m/>
    <m/>
    <s v="Loka   Aparna  Ms."/>
    <x v="19"/>
    <s v="AI"/>
    <s v="0983975225928"/>
    <s v="23-JUN-13"/>
    <n v="2300"/>
    <n v="2906"/>
    <n v="5206"/>
    <n v="5438"/>
    <n v="5206"/>
    <m/>
    <n v="0"/>
    <n v="1"/>
    <n v="0"/>
    <n v="0"/>
    <n v="5206"/>
    <n v="0"/>
    <n v="0"/>
  </r>
  <r>
    <s v="17/01/2014"/>
    <s v="AI0041994"/>
    <m/>
    <m/>
    <s v="Loka   Aparna  Ms."/>
    <x v="75"/>
    <s v="BA"/>
    <s v="1254342081204"/>
    <s v="26-JAN-14"/>
    <n v="0"/>
    <n v="5600"/>
    <n v="5600"/>
    <n v="5600"/>
    <n v="5600"/>
    <n v="0"/>
    <n v="0"/>
    <n v="1"/>
    <n v="0"/>
    <n v="0"/>
    <n v="5600"/>
    <n v="0"/>
    <n v="0"/>
  </r>
  <r>
    <s v="29/11/2013"/>
    <s v="AI0035738"/>
    <m/>
    <m/>
    <s v="Maheep  Sharan Mr."/>
    <x v="6"/>
    <s v="6E"/>
    <s v="6EM7YEQJ"/>
    <s v="30-NOV-13"/>
    <n v="4450"/>
    <n v="3422"/>
    <n v="7872"/>
    <n v="7412.5"/>
    <n v="7872"/>
    <n v="0"/>
    <n v="0"/>
    <n v="1"/>
    <n v="0"/>
    <n v="0"/>
    <n v="7872"/>
    <n v="0"/>
    <n v="0"/>
  </r>
  <r>
    <s v="29/11/2013"/>
    <s v="AI0035741"/>
    <m/>
    <m/>
    <s v="Maheep  Sharan Mr."/>
    <x v="7"/>
    <s v="9W"/>
    <s v="5894340476762"/>
    <s v="30-NOV-13"/>
    <n v="6100"/>
    <n v="1979"/>
    <n v="8079"/>
    <n v="7234"/>
    <n v="8079"/>
    <n v="0"/>
    <n v="0"/>
    <n v="0"/>
    <n v="1"/>
    <n v="0"/>
    <n v="0"/>
    <n v="8079"/>
    <n v="79"/>
  </r>
  <r>
    <s v="22/01/2014"/>
    <s v="AI0042740"/>
    <m/>
    <m/>
    <s v="Masahiro  Onuma Mr."/>
    <x v="76"/>
    <s v="SQ"/>
    <s v="6182405153323"/>
    <s v="10-02-14"/>
    <n v="39292"/>
    <n v="67708"/>
    <n v="107000"/>
    <n v="107000"/>
    <n v="107000"/>
    <n v="0"/>
    <n v="0"/>
    <n v="1"/>
    <n v="0"/>
    <n v="0"/>
    <n v="107000"/>
    <n v="0"/>
    <n v="0"/>
  </r>
  <r>
    <s v="12/09/2013"/>
    <s v="AI0023986"/>
    <m/>
    <m/>
    <s v="Mitra   Sohini  Ms."/>
    <x v="6"/>
    <s v="AI"/>
    <s v="0984146953049"/>
    <s v="18-SEP-13"/>
    <n v="4110"/>
    <n v="3097"/>
    <n v="7207"/>
    <n v="7412.5"/>
    <n v="14414"/>
    <n v="0"/>
    <n v="0"/>
    <n v="0"/>
    <n v="1"/>
    <n v="0"/>
    <n v="0"/>
    <n v="14414"/>
    <n v="6214"/>
  </r>
  <r>
    <s v="12/09/2013"/>
    <s v="AI0023996"/>
    <m/>
    <m/>
    <s v="Mitra   Sohini  Ms."/>
    <x v="7"/>
    <s v="SG"/>
    <s v="775J2QWSI1"/>
    <s v="22-SEP-13"/>
    <n v="2901"/>
    <n v="3383"/>
    <n v="6284"/>
    <n v="7234"/>
    <n v="6284"/>
    <n v="0"/>
    <n v="1"/>
    <n v="0"/>
    <n v="0"/>
    <n v="6284"/>
    <n v="0"/>
    <n v="0"/>
    <n v="0"/>
  </r>
  <r>
    <s v="21/06/2013"/>
    <s v="AI0012484"/>
    <m/>
    <m/>
    <s v="Mittal   Punita  Ms."/>
    <x v="6"/>
    <s v="AI"/>
    <s v="0983975225982"/>
    <s v="24-JUN-13"/>
    <n v="3940"/>
    <n v="3088"/>
    <n v="7028"/>
    <n v="7412.5"/>
    <n v="7028"/>
    <m/>
    <n v="0"/>
    <n v="1"/>
    <n v="0"/>
    <n v="0"/>
    <n v="7028"/>
    <n v="0"/>
    <n v="0"/>
  </r>
  <r>
    <s v="09/10/2013"/>
    <s v="AI0028193"/>
    <m/>
    <m/>
    <s v="Mittal   Punita  Ms."/>
    <x v="6"/>
    <s v="AI"/>
    <s v="0984147816696"/>
    <s v="10-OCT-13"/>
    <n v="4820"/>
    <n v="3136"/>
    <n v="7956"/>
    <n v="7412.5"/>
    <n v="7956"/>
    <n v="0"/>
    <n v="0"/>
    <n v="1"/>
    <n v="0"/>
    <n v="0"/>
    <n v="7956"/>
    <n v="0"/>
    <n v="0"/>
  </r>
  <r>
    <s v="11/09/2013"/>
    <s v="AI0023816"/>
    <s v="AR0003368"/>
    <m/>
    <s v="Mittal   Punita  Ms."/>
    <x v="8"/>
    <s v="6E"/>
    <s v="6EX23ZNX1"/>
    <s v="17-SEP-13"/>
    <n v="7880"/>
    <n v="6868"/>
    <n v="14748"/>
    <n v="14406"/>
    <n v="14748"/>
    <n v="12547"/>
    <n v="0"/>
    <n v="1"/>
    <n v="0"/>
    <n v="0"/>
    <n v="14748"/>
    <n v="0"/>
    <n v="0"/>
  </r>
  <r>
    <s v="13/09/2013"/>
    <s v="AI0024172"/>
    <s v="AR0003458"/>
    <m/>
    <s v="Mittal   Punita  Ms."/>
    <x v="8"/>
    <s v="6E"/>
    <s v="6EP25LPF1"/>
    <s v="19-SEP-13"/>
    <n v="7880"/>
    <n v="6868"/>
    <n v="14748"/>
    <n v="14406"/>
    <n v="14748"/>
    <n v="5938"/>
    <n v="0"/>
    <n v="1"/>
    <n v="0"/>
    <n v="0"/>
    <n v="14748"/>
    <n v="0"/>
    <n v="0"/>
  </r>
  <r>
    <s v="21/06/2013"/>
    <s v="AI0012484"/>
    <m/>
    <m/>
    <s v="Mittal   Punita  Ms."/>
    <x v="7"/>
    <s v="6E"/>
    <s v="6EPUF7CM2"/>
    <s v="24-JUN-13"/>
    <n v="4218"/>
    <n v="2984"/>
    <n v="7202"/>
    <n v="7234"/>
    <n v="7202"/>
    <m/>
    <n v="0"/>
    <n v="1"/>
    <n v="0"/>
    <n v="0"/>
    <n v="7202"/>
    <n v="0"/>
    <n v="0"/>
  </r>
  <r>
    <s v="18/09/2013"/>
    <s v="AI0024949"/>
    <m/>
    <m/>
    <s v="Mittal   Punita  Ms."/>
    <x v="7"/>
    <s v="AI"/>
    <s v="0984146953189"/>
    <s v="20-SEP-13"/>
    <n v="4700"/>
    <n v="3213"/>
    <n v="7913"/>
    <n v="7234"/>
    <n v="7913"/>
    <n v="0"/>
    <n v="0"/>
    <n v="1"/>
    <n v="0"/>
    <n v="0"/>
    <n v="7913"/>
    <n v="0"/>
    <n v="0"/>
  </r>
  <r>
    <s v="09/10/2013"/>
    <s v="AI0028193"/>
    <m/>
    <m/>
    <s v="Mittal   Punita  Ms."/>
    <x v="7"/>
    <s v="SG"/>
    <s v="775WYEVXD2"/>
    <s v="11-OCT-13"/>
    <n v="4361"/>
    <n v="3557"/>
    <n v="7918"/>
    <n v="7234"/>
    <n v="15874"/>
    <n v="0"/>
    <n v="0"/>
    <n v="0"/>
    <n v="1"/>
    <n v="0"/>
    <n v="0"/>
    <n v="15874"/>
    <n v="7874"/>
  </r>
  <r>
    <s v="30/10/2013"/>
    <s v="AI0031185"/>
    <m/>
    <m/>
    <s v="Mittal   Punita  Ms."/>
    <x v="7"/>
    <s v="6E"/>
    <s v="6EM383TA1"/>
    <s v="01-11-13"/>
    <n v="4999"/>
    <n v="3632"/>
    <n v="8631"/>
    <n v="7234"/>
    <n v="8631"/>
    <n v="0"/>
    <n v="0"/>
    <n v="0"/>
    <n v="1"/>
    <n v="0"/>
    <n v="0"/>
    <n v="8631"/>
    <n v="631"/>
  </r>
  <r>
    <s v="10/10/2013"/>
    <s v="AI0028574"/>
    <m/>
    <m/>
    <s v="Monjoy  Majumdar Mr."/>
    <x v="77"/>
    <s v="LH"/>
    <s v="2204148159277"/>
    <s v="27-OCT-13"/>
    <n v="17400"/>
    <n v="33005"/>
    <n v="50405"/>
    <n v="50405"/>
    <n v="50405"/>
    <n v="0"/>
    <n v="0"/>
    <n v="1"/>
    <n v="0"/>
    <n v="0"/>
    <n v="50405"/>
    <n v="0"/>
    <n v="0"/>
  </r>
  <r>
    <s v="26/11/2013"/>
    <s v="AI0035207"/>
    <m/>
    <m/>
    <s v="Mukherjee Atish Mr ."/>
    <x v="35"/>
    <s v="9W"/>
    <s v="5894340320799"/>
    <s v="01-DEC-13"/>
    <n v="9580"/>
    <n v="3725"/>
    <n v="13305"/>
    <n v="11722"/>
    <n v="13305"/>
    <n v="0"/>
    <n v="0"/>
    <n v="0"/>
    <n v="1"/>
    <n v="0"/>
    <n v="0"/>
    <n v="13305"/>
    <n v="405"/>
  </r>
  <r>
    <s v="18/12/2013"/>
    <s v="AI0038468"/>
    <m/>
    <m/>
    <s v="Mukherjee Atish Mr ."/>
    <x v="35"/>
    <s v="AI"/>
    <s v="0984341198627"/>
    <s v="22-DEC-13"/>
    <n v="7886"/>
    <n v="6005"/>
    <n v="13891"/>
    <n v="11722"/>
    <n v="13891"/>
    <n v="0"/>
    <n v="0"/>
    <n v="0"/>
    <n v="1"/>
    <n v="0"/>
    <n v="0"/>
    <n v="13891"/>
    <n v="991"/>
  </r>
  <r>
    <s v="16/05/2013"/>
    <s v="AI0007092"/>
    <m/>
    <m/>
    <s v="Mukherjee Atish Mr ."/>
    <x v="6"/>
    <s v="SG"/>
    <s v="775C65ERZ1"/>
    <s v="19-MAY-13"/>
    <n v="3646"/>
    <n v="3327"/>
    <n v="6973"/>
    <n v="7412.5"/>
    <n v="6973"/>
    <m/>
    <n v="0"/>
    <n v="1"/>
    <n v="0"/>
    <n v="0"/>
    <n v="6973"/>
    <n v="0"/>
    <n v="0"/>
  </r>
  <r>
    <s v="10/06/2013"/>
    <s v="AI0010576"/>
    <m/>
    <m/>
    <s v="Mukherjee Atish Mr ."/>
    <x v="6"/>
    <s v="9W"/>
    <s v="5893974847683"/>
    <s v="11-JUN-13"/>
    <n v="4550"/>
    <n v="3122"/>
    <n v="7672"/>
    <n v="7412.5"/>
    <n v="7672"/>
    <m/>
    <n v="0"/>
    <n v="1"/>
    <n v="0"/>
    <n v="0"/>
    <n v="7672"/>
    <n v="0"/>
    <n v="0"/>
  </r>
  <r>
    <s v="24/06/2013"/>
    <s v="AI0012644"/>
    <m/>
    <m/>
    <s v="Mukherjee Atish Mr ."/>
    <x v="6"/>
    <s v="AI"/>
    <s v="0983975712755"/>
    <s v="26-JUN-13"/>
    <n v="3940"/>
    <n v="3088"/>
    <n v="7028"/>
    <n v="7412.5"/>
    <n v="7028"/>
    <m/>
    <n v="0"/>
    <n v="1"/>
    <n v="0"/>
    <n v="0"/>
    <n v="7028"/>
    <n v="0"/>
    <n v="0"/>
  </r>
  <r>
    <s v="07/11/2013"/>
    <s v="AI0031914"/>
    <m/>
    <m/>
    <s v="Mukherjee Atish Mr ."/>
    <x v="6"/>
    <s v="AI"/>
    <s v="0984339005744"/>
    <s v="11-NOV-13"/>
    <n v="4620"/>
    <n v="3125"/>
    <n v="7745"/>
    <n v="7412.5"/>
    <n v="7745"/>
    <n v="0"/>
    <n v="0"/>
    <n v="1"/>
    <n v="0"/>
    <n v="0"/>
    <n v="7745"/>
    <n v="0"/>
    <n v="0"/>
  </r>
  <r>
    <s v="05/12/2013"/>
    <s v="AI0036535"/>
    <m/>
    <m/>
    <s v="Mukherjee Atish Mr ."/>
    <x v="6"/>
    <s v="AI"/>
    <s v="0984340476913"/>
    <s v="07-DEC-13"/>
    <n v="4620"/>
    <n v="3125"/>
    <n v="7745"/>
    <n v="7412.5"/>
    <n v="7745"/>
    <n v="0"/>
    <n v="0"/>
    <n v="1"/>
    <n v="0"/>
    <n v="0"/>
    <n v="7745"/>
    <n v="0"/>
    <n v="0"/>
  </r>
  <r>
    <s v="01/04/2013"/>
    <s v="AI0000092"/>
    <m/>
    <s v="INTERNAL"/>
    <s v="Mukherjee Atish Mr ."/>
    <x v="18"/>
    <s v="9W"/>
    <s v="5893513384841"/>
    <s v="04-APR-13"/>
    <n v="2340"/>
    <n v="2632"/>
    <n v="4972"/>
    <n v="5161"/>
    <n v="4972"/>
    <m/>
    <n v="0"/>
    <n v="1"/>
    <n v="0"/>
    <n v="0"/>
    <n v="4972"/>
    <n v="0"/>
    <n v="0"/>
  </r>
  <r>
    <s v="02/05/2013"/>
    <s v="AI0004939"/>
    <m/>
    <m/>
    <s v="Mukherjee Atish Mr ."/>
    <x v="18"/>
    <s v="6E"/>
    <s v="6ERS2FLP1"/>
    <s v="06-MAY-13"/>
    <n v="2140"/>
    <n v="2815"/>
    <n v="4955"/>
    <n v="5161"/>
    <n v="4955"/>
    <m/>
    <n v="0"/>
    <n v="1"/>
    <n v="0"/>
    <n v="0"/>
    <n v="4955"/>
    <n v="0"/>
    <n v="0"/>
  </r>
  <r>
    <s v="25/05/2013"/>
    <s v="AI0008258"/>
    <m/>
    <m/>
    <s v="Mukherjee Atish Mr ."/>
    <x v="9"/>
    <s v="6E"/>
    <s v="6ECTLJDV1"/>
    <s v="28-MAY-13"/>
    <n v="4280"/>
    <n v="5919"/>
    <n v="10199"/>
    <n v="10597"/>
    <n v="10199"/>
    <m/>
    <n v="0"/>
    <n v="1"/>
    <n v="0"/>
    <n v="0"/>
    <n v="10199"/>
    <n v="0"/>
    <n v="0"/>
  </r>
  <r>
    <s v="02/05/2013"/>
    <s v="AI0004937"/>
    <m/>
    <m/>
    <s v="Mukherjee Atish Mr ."/>
    <x v="7"/>
    <s v="6E"/>
    <s v="6EXS1CAR1"/>
    <s v="08-MAY-13"/>
    <n v="3720"/>
    <n v="3481"/>
    <n v="7201"/>
    <n v="7234"/>
    <n v="7201"/>
    <m/>
    <n v="0"/>
    <n v="1"/>
    <n v="0"/>
    <n v="0"/>
    <n v="7201"/>
    <n v="0"/>
    <n v="0"/>
  </r>
  <r>
    <s v="16/05/2013"/>
    <s v="AI0007092"/>
    <m/>
    <m/>
    <s v="Mukherjee Atish Mr ."/>
    <x v="7"/>
    <s v="6E"/>
    <s v="6EXT6VBM2"/>
    <s v="22-MAY-13"/>
    <n v="3720"/>
    <n v="3481"/>
    <n v="7201"/>
    <n v="7234"/>
    <n v="7201"/>
    <m/>
    <n v="0"/>
    <n v="1"/>
    <n v="0"/>
    <n v="0"/>
    <n v="7201"/>
    <n v="0"/>
    <n v="0"/>
  </r>
  <r>
    <s v="07/11/2013"/>
    <s v="AI0031914"/>
    <m/>
    <m/>
    <s v="Mukherjee Atish Mr ."/>
    <x v="7"/>
    <s v="AI"/>
    <s v="0984339005743"/>
    <s v="11-NOV-13"/>
    <n v="4620"/>
    <n v="3208"/>
    <n v="7828"/>
    <n v="7234"/>
    <n v="15573"/>
    <n v="0"/>
    <n v="0"/>
    <n v="0"/>
    <n v="1"/>
    <n v="0"/>
    <n v="0"/>
    <n v="15573"/>
    <n v="7573"/>
  </r>
  <r>
    <s v="05/12/2013"/>
    <s v="AI0036535"/>
    <m/>
    <m/>
    <s v="Mukherjee Atish Mr ."/>
    <x v="7"/>
    <s v="AI"/>
    <s v="0984340476912"/>
    <s v="06-DEC-13"/>
    <n v="4620"/>
    <n v="3208"/>
    <n v="7828"/>
    <n v="7234"/>
    <n v="15573"/>
    <n v="0"/>
    <n v="0"/>
    <n v="0"/>
    <n v="1"/>
    <n v="0"/>
    <n v="0"/>
    <n v="15573"/>
    <n v="7573"/>
  </r>
  <r>
    <s v="19/04/2013"/>
    <s v="AI0003216"/>
    <m/>
    <m/>
    <s v="Mukherjee Atish Mr ."/>
    <x v="10"/>
    <s v="AI"/>
    <s v="0983972579031"/>
    <s v="24-APR-13"/>
    <n v="3500"/>
    <n v="2831"/>
    <n v="6331"/>
    <n v="5814"/>
    <n v="6331"/>
    <m/>
    <n v="0"/>
    <n v="1"/>
    <n v="0"/>
    <n v="0"/>
    <n v="6331"/>
    <n v="0"/>
    <n v="0"/>
  </r>
  <r>
    <s v="01/04/2013"/>
    <s v="AI0000092"/>
    <m/>
    <s v="INTERNAL"/>
    <s v="Mukherjee Atish Mr ."/>
    <x v="19"/>
    <s v="6E"/>
    <s v="6EMQMDAN2"/>
    <s v="04-APR-13"/>
    <n v="2040"/>
    <n v="2982"/>
    <n v="5022"/>
    <n v="5438"/>
    <n v="5022"/>
    <m/>
    <n v="0"/>
    <n v="1"/>
    <n v="0"/>
    <n v="0"/>
    <n v="5022"/>
    <n v="0"/>
    <n v="0"/>
  </r>
  <r>
    <s v="02/05/2013"/>
    <s v="AI0004926"/>
    <m/>
    <m/>
    <s v="Mukherjee Atish Mr ."/>
    <x v="12"/>
    <s v="6E"/>
    <s v="6EFSDSAW1"/>
    <s v="07-MAY-13"/>
    <n v="2140"/>
    <n v="3104"/>
    <n v="5244"/>
    <n v="5519"/>
    <n v="5244"/>
    <m/>
    <n v="0"/>
    <n v="1"/>
    <n v="0"/>
    <n v="0"/>
    <n v="5244"/>
    <n v="0"/>
    <n v="0"/>
  </r>
  <r>
    <s v="10/04/2013"/>
    <s v="AI0002274"/>
    <m/>
    <s v="INTERNAL"/>
    <s v="Mukherjee Atish Mr ."/>
    <x v="6"/>
    <s v="AI"/>
    <s v="0983513857484"/>
    <s v="12-APR-13"/>
    <n v="4700"/>
    <n v="3129"/>
    <n v="7829"/>
    <n v="7412.5"/>
    <n v="7829"/>
    <m/>
    <n v="0"/>
    <n v="1"/>
    <n v="0"/>
    <n v="0"/>
    <n v="7829"/>
    <n v="0"/>
    <n v="0"/>
  </r>
  <r>
    <s v="10/04/2013"/>
    <s v="AI0002274"/>
    <m/>
    <s v="INTERNAL"/>
    <s v="Mukherjee Atish Mr ."/>
    <x v="7"/>
    <s v="AI"/>
    <s v="0983513857485"/>
    <s v="15-APR-13"/>
    <n v="3940"/>
    <n v="3171"/>
    <n v="7111"/>
    <n v="7234"/>
    <n v="7111"/>
    <m/>
    <n v="0"/>
    <n v="1"/>
    <n v="0"/>
    <n v="0"/>
    <n v="7111"/>
    <n v="0"/>
    <n v="0"/>
  </r>
  <r>
    <s v="18/10/2013"/>
    <s v="AI0029537"/>
    <m/>
    <m/>
    <s v="Munjal   Asheena  Ms ."/>
    <x v="22"/>
    <s v="9W"/>
    <s v="5894338816967"/>
    <s v="03-11-13"/>
    <n v="4700"/>
    <n v="3283"/>
    <n v="7983"/>
    <n v="10079"/>
    <n v="7983"/>
    <n v="0"/>
    <n v="1"/>
    <n v="0"/>
    <n v="0"/>
    <n v="7983"/>
    <n v="0"/>
    <n v="0"/>
    <n v="0"/>
  </r>
  <r>
    <s v="07/08/2013"/>
    <s v="AI0019081"/>
    <m/>
    <m/>
    <s v="Munjal   Asheena  Ms ."/>
    <x v="78"/>
    <s v="EK"/>
    <s v="1764145330321"/>
    <s v="17-AUG-13"/>
    <n v="0"/>
    <n v="0"/>
    <n v="0"/>
    <n v="0"/>
    <n v="0"/>
    <m/>
    <n v="0"/>
    <n v="1"/>
    <n v="0"/>
    <n v="0"/>
    <n v="0"/>
    <n v="0"/>
    <n v="0"/>
  </r>
  <r>
    <s v="07/08/2013"/>
    <s v="AI0019081"/>
    <m/>
    <m/>
    <s v="Munjal   Asheena  Ms ."/>
    <x v="79"/>
    <s v="EK"/>
    <s v="1764145330320"/>
    <s v="10-AUG-13"/>
    <n v="79250"/>
    <n v="8250"/>
    <n v="87500"/>
    <n v="87500"/>
    <n v="87500"/>
    <m/>
    <n v="0"/>
    <n v="1"/>
    <n v="0"/>
    <n v="0"/>
    <n v="87500"/>
    <n v="0"/>
    <n v="0"/>
  </r>
  <r>
    <s v="21/01/2014"/>
    <s v="AI0042735"/>
    <m/>
    <m/>
    <s v="Munjal   Asheena  Ms ."/>
    <x v="80"/>
    <s v="EY"/>
    <s v="6074342399706"/>
    <s v="23-01-14"/>
    <n v="5675"/>
    <n v="23225"/>
    <n v="28900"/>
    <n v="28900"/>
    <n v="28900"/>
    <n v="0"/>
    <n v="0"/>
    <n v="1"/>
    <n v="0"/>
    <n v="0"/>
    <n v="28900"/>
    <n v="0"/>
    <n v="0"/>
  </r>
  <r>
    <s v="03/04/2013"/>
    <s v="AI0000415"/>
    <m/>
    <s v="INTERNAL"/>
    <s v="Munjal   Asheena  Ms ."/>
    <x v="21"/>
    <s v="6E"/>
    <s v="6EIQLJBS1"/>
    <s v="04-APR-13"/>
    <n v="5499"/>
    <n v="5541"/>
    <n v="11040"/>
    <n v="10605"/>
    <n v="11040"/>
    <m/>
    <n v="0"/>
    <n v="1"/>
    <n v="0"/>
    <n v="0"/>
    <n v="11040"/>
    <n v="0"/>
    <n v="0"/>
  </r>
  <r>
    <s v="08/04/2013"/>
    <s v="AI0001386"/>
    <m/>
    <s v="INTERNAL"/>
    <s v="Munjal   Asheena  Ms ."/>
    <x v="24"/>
    <s v="6E"/>
    <s v="6EHQPVCW1"/>
    <s v="10-APR-13"/>
    <n v="4400"/>
    <n v="5320"/>
    <n v="9720"/>
    <n v="10332"/>
    <n v="9720"/>
    <m/>
    <n v="0"/>
    <n v="1"/>
    <n v="0"/>
    <n v="0"/>
    <n v="9720"/>
    <n v="0"/>
    <n v="0"/>
  </r>
  <r>
    <s v="08/08/2013"/>
    <s v="AI0019243"/>
    <m/>
    <m/>
    <s v="Munjal   Asheena  Ms ."/>
    <x v="26"/>
    <s v="AI"/>
    <s v="0984145233347"/>
    <s v="13-AUG-13"/>
    <n v="1470"/>
    <n v="3955"/>
    <n v="5425"/>
    <n v="7911"/>
    <n v="5425"/>
    <m/>
    <n v="1"/>
    <n v="0"/>
    <n v="0"/>
    <n v="5425"/>
    <n v="0"/>
    <n v="0"/>
    <n v="0"/>
  </r>
  <r>
    <s v="18/10/2013"/>
    <s v="AI0029704"/>
    <m/>
    <m/>
    <s v="Munjal   Asheena  Ms ."/>
    <x v="81"/>
    <s v="LH"/>
    <s v="2204338816966"/>
    <s v="02-11-13"/>
    <n v="32625"/>
    <n v="35392"/>
    <n v="68017"/>
    <n v="68017"/>
    <n v="68017"/>
    <n v="0"/>
    <n v="0"/>
    <n v="1"/>
    <n v="0"/>
    <n v="0"/>
    <n v="68017"/>
    <n v="0"/>
    <n v="0"/>
  </r>
  <r>
    <s v="20/01/2014"/>
    <s v="AI0042363"/>
    <m/>
    <m/>
    <s v="N  Kirankumar Mr."/>
    <x v="8"/>
    <s v="6E"/>
    <s v="6EJ679QM"/>
    <s v="21-JAN-14"/>
    <n v="11582"/>
    <n v="2189"/>
    <n v="13771"/>
    <n v="14406"/>
    <n v="41313"/>
    <n v="0"/>
    <n v="0"/>
    <n v="0"/>
    <n v="1"/>
    <n v="0"/>
    <n v="0"/>
    <n v="41313"/>
    <n v="25413"/>
  </r>
  <r>
    <s v="10/10/2013"/>
    <s v="AI0028516"/>
    <m/>
    <m/>
    <s v="Narasimha   Deepika  Ms."/>
    <x v="69"/>
    <s v="9W"/>
    <s v="5894147816734"/>
    <s v="21-OCT-13"/>
    <n v="6400"/>
    <n v="3539"/>
    <n v="9939"/>
    <n v="9939"/>
    <n v="35294"/>
    <n v="0"/>
    <n v="0"/>
    <n v="0"/>
    <n v="1"/>
    <n v="0"/>
    <n v="0"/>
    <n v="35294"/>
    <n v="24294"/>
  </r>
  <r>
    <s v="15/04/2013"/>
    <s v="AI0002098"/>
    <m/>
    <s v="INTERNAL"/>
    <s v="Narasimha   Deepika  Ms."/>
    <x v="82"/>
    <s v="G8"/>
    <s v="104Q6ZYOB2"/>
    <s v="17-APR-13"/>
    <n v="9800"/>
    <n v="10022"/>
    <n v="19822"/>
    <n v="19822"/>
    <n v="19822"/>
    <m/>
    <n v="0"/>
    <n v="1"/>
    <n v="0"/>
    <n v="0"/>
    <n v="19822"/>
    <n v="0"/>
    <n v="0"/>
  </r>
  <r>
    <s v="10/10/2013"/>
    <s v="AI0028516"/>
    <m/>
    <m/>
    <s v="Narasimha   Deepika  Ms."/>
    <x v="70"/>
    <s v="G8"/>
    <s v="104HJE7LJ4"/>
    <s v="26-OCT-13"/>
    <n v="3050"/>
    <n v="4658"/>
    <n v="7708"/>
    <n v="7708"/>
    <n v="7708"/>
    <n v="0"/>
    <n v="0"/>
    <n v="1"/>
    <n v="0"/>
    <n v="0"/>
    <n v="7708"/>
    <n v="0"/>
    <n v="0"/>
  </r>
  <r>
    <s v="14/06/2013"/>
    <s v="AI0011694"/>
    <m/>
    <m/>
    <s v="Nayak   Bharath  Mr."/>
    <x v="41"/>
    <s v="SG"/>
    <s v="775J8Q34Q2"/>
    <s v="15-JUN-13"/>
    <n v="2097"/>
    <n v="2810"/>
    <n v="4907"/>
    <n v="5042"/>
    <n v="4907"/>
    <m/>
    <n v="0"/>
    <n v="1"/>
    <n v="0"/>
    <n v="0"/>
    <n v="4907"/>
    <n v="0"/>
    <n v="0"/>
  </r>
  <r>
    <s v="14/06/2013"/>
    <s v="AI0011327"/>
    <m/>
    <m/>
    <s v="Nayak   Bharath  Mr."/>
    <x v="42"/>
    <s v="6E"/>
    <s v="6EIU5FCX1"/>
    <s v="15-JUN-13"/>
    <n v="2140"/>
    <n v="2660"/>
    <n v="4800"/>
    <n v="4873"/>
    <n v="4800"/>
    <m/>
    <n v="0"/>
    <n v="1"/>
    <n v="0"/>
    <n v="0"/>
    <n v="4800"/>
    <n v="0"/>
    <n v="0"/>
  </r>
  <r>
    <s v="05/10/2013"/>
    <s v="AI0027715"/>
    <m/>
    <m/>
    <s v="Nayakcannanore  Aravind Mr."/>
    <x v="61"/>
    <s v="BA"/>
    <s v="1254147887837"/>
    <s v="08-OCT-13"/>
    <n v="43380"/>
    <n v="50620"/>
    <n v="94000"/>
    <n v="83000"/>
    <n v="94000"/>
    <n v="0"/>
    <n v="0"/>
    <n v="0"/>
    <n v="1"/>
    <n v="0"/>
    <n v="0"/>
    <n v="94000"/>
    <n v="2700"/>
  </r>
  <r>
    <s v="10/10/2013"/>
    <s v="AI0028576"/>
    <m/>
    <m/>
    <s v="Nayakcannanore  Aravind Mr."/>
    <x v="83"/>
    <s v="BA"/>
    <s v="1254148159269"/>
    <s v="14-OCT-13"/>
    <n v="4000"/>
    <n v="5000"/>
    <n v="9000"/>
    <n v="9000"/>
    <n v="9000"/>
    <n v="0"/>
    <n v="0"/>
    <n v="1"/>
    <n v="0"/>
    <n v="0"/>
    <n v="9000"/>
    <n v="0"/>
    <n v="0"/>
  </r>
  <r>
    <s v="20/01/2014"/>
    <s v="AI0042274"/>
    <m/>
    <m/>
    <s v="Nikita  Garg Ms."/>
    <x v="15"/>
    <s v="6E"/>
    <s v="6EQ4T7HC"/>
    <s v="22-JAN-14"/>
    <n v="16848"/>
    <n v="2383"/>
    <n v="19231"/>
    <n v="19030"/>
    <n v="19231"/>
    <n v="0"/>
    <n v="0"/>
    <n v="1"/>
    <n v="0"/>
    <n v="0"/>
    <n v="19231"/>
    <n v="0"/>
    <n v="0"/>
  </r>
  <r>
    <s v="20/06/2013"/>
    <s v="AI0012139"/>
    <m/>
    <m/>
    <s v="Pardeshi   Yogesh  Mr."/>
    <x v="6"/>
    <s v="9W"/>
    <s v="5893975225938"/>
    <s v="22-JUN-13"/>
    <n v="4550"/>
    <n v="3122"/>
    <n v="7672"/>
    <n v="7412.5"/>
    <n v="7672"/>
    <m/>
    <n v="0"/>
    <n v="1"/>
    <n v="0"/>
    <n v="0"/>
    <n v="7672"/>
    <n v="0"/>
    <n v="0"/>
  </r>
  <r>
    <s v="20/06/2013"/>
    <s v="AI0012139"/>
    <m/>
    <m/>
    <s v="Pardeshi   Yogesh  Mr."/>
    <x v="7"/>
    <s v="SG"/>
    <s v="775XDBQVX1"/>
    <s v="22-JUN-13"/>
    <n v="3646"/>
    <n v="3471"/>
    <n v="7117"/>
    <n v="7234"/>
    <n v="7117"/>
    <m/>
    <n v="0"/>
    <n v="1"/>
    <n v="0"/>
    <n v="0"/>
    <n v="7117"/>
    <n v="0"/>
    <n v="0"/>
  </r>
  <r>
    <s v="23/09/2013"/>
    <s v="AI0025667"/>
    <m/>
    <m/>
    <s v="Parikh   Sanjay  Dr ."/>
    <x v="7"/>
    <s v="9W"/>
    <s v="5894147397539"/>
    <s v="25-SEP-13"/>
    <n v="5500"/>
    <n v="1945"/>
    <n v="7445"/>
    <n v="7234"/>
    <n v="7445"/>
    <n v="0"/>
    <n v="0"/>
    <n v="1"/>
    <n v="0"/>
    <n v="0"/>
    <n v="7445"/>
    <n v="0"/>
    <n v="0"/>
  </r>
  <r>
    <s v="29/04/2013"/>
    <s v="AI0004477"/>
    <m/>
    <m/>
    <s v="Parikh   Sanjay  Dr ."/>
    <x v="6"/>
    <s v="9W"/>
    <s v="5893972579177"/>
    <s v="02-MAY-13"/>
    <n v="4500"/>
    <n v="3171"/>
    <n v="7671"/>
    <n v="7412.5"/>
    <n v="7671"/>
    <m/>
    <n v="0"/>
    <n v="1"/>
    <n v="0"/>
    <n v="0"/>
    <n v="7671"/>
    <n v="0"/>
    <n v="0"/>
  </r>
  <r>
    <s v="17/10/2013"/>
    <s v="AI0029257"/>
    <m/>
    <m/>
    <s v="Parikh   Sanjay  Dr ."/>
    <x v="6"/>
    <s v="AI"/>
    <s v="0984148187145"/>
    <s v="19-10-13"/>
    <n v="4620"/>
    <n v="3125"/>
    <n v="7745"/>
    <n v="7412.5"/>
    <n v="7745"/>
    <n v="0"/>
    <n v="0"/>
    <n v="1"/>
    <n v="0"/>
    <n v="0"/>
    <n v="7745"/>
    <n v="0"/>
    <n v="0"/>
  </r>
  <r>
    <s v="25/10/2013"/>
    <s v="AI0030418"/>
    <m/>
    <m/>
    <s v="Parikh   Sanjay  Dr ."/>
    <x v="6"/>
    <s v="9W"/>
    <s v="5894339005554"/>
    <s v="29-10-13"/>
    <n v="6100"/>
    <n v="1896"/>
    <n v="7996"/>
    <n v="7412.5"/>
    <n v="7996"/>
    <n v="0"/>
    <n v="0"/>
    <n v="1"/>
    <n v="0"/>
    <n v="0"/>
    <n v="7996"/>
    <n v="0"/>
    <n v="0"/>
  </r>
  <r>
    <s v="06/12/2013"/>
    <s v="AI0036703"/>
    <m/>
    <m/>
    <s v="Parikh   Sanjay  Dr ."/>
    <x v="6"/>
    <s v="9W"/>
    <s v="5894340476938"/>
    <s v="09-DEC-13"/>
    <n v="6100"/>
    <n v="1896"/>
    <n v="7996"/>
    <n v="7412.5"/>
    <n v="7996"/>
    <n v="0"/>
    <n v="0"/>
    <n v="1"/>
    <n v="0"/>
    <n v="0"/>
    <n v="7996"/>
    <n v="0"/>
    <n v="0"/>
  </r>
  <r>
    <s v="29/04/2013"/>
    <s v="AI0004477"/>
    <m/>
    <m/>
    <s v="Parikh   Sanjay  Dr ."/>
    <x v="7"/>
    <s v="6E"/>
    <s v="6EKS64CS1"/>
    <s v="01-MAY-13"/>
    <n v="3720"/>
    <n v="3481"/>
    <n v="7201"/>
    <n v="7234"/>
    <n v="7201"/>
    <m/>
    <n v="0"/>
    <n v="1"/>
    <n v="0"/>
    <n v="0"/>
    <n v="7201"/>
    <n v="0"/>
    <n v="0"/>
  </r>
  <r>
    <s v="19/08/2013"/>
    <s v="AI0020348"/>
    <m/>
    <m/>
    <s v="Parikh   Sanjay  Dr ."/>
    <x v="7"/>
    <s v="9W"/>
    <s v="5894145729080"/>
    <s v="21-AUG-13"/>
    <n v="5490"/>
    <n v="1944"/>
    <n v="7434"/>
    <n v="7234"/>
    <n v="7434"/>
    <n v="0"/>
    <n v="0"/>
    <n v="1"/>
    <n v="0"/>
    <n v="0"/>
    <n v="7434"/>
    <n v="0"/>
    <n v="0"/>
  </r>
  <r>
    <s v="11/10/2013"/>
    <s v="AI0028621"/>
    <m/>
    <m/>
    <s v="Parikh   Sanjay  Dr ."/>
    <x v="7"/>
    <s v="9W"/>
    <s v="5894148187016"/>
    <s v="15-OCT-13"/>
    <n v="5800"/>
    <n v="1962"/>
    <n v="7762"/>
    <n v="7234"/>
    <n v="7762"/>
    <n v="0"/>
    <n v="0"/>
    <n v="1"/>
    <n v="0"/>
    <n v="0"/>
    <n v="7762"/>
    <n v="0"/>
    <n v="0"/>
  </r>
  <r>
    <s v="25/10/2013"/>
    <s v="AI0030418"/>
    <m/>
    <m/>
    <s v="Parikh   Sanjay  Dr ."/>
    <x v="7"/>
    <s v="9W"/>
    <s v="5894339005553"/>
    <s v="28-10-13"/>
    <n v="7500"/>
    <n v="2056"/>
    <n v="9556"/>
    <n v="7234"/>
    <n v="17552"/>
    <n v="0"/>
    <n v="0"/>
    <n v="0"/>
    <n v="1"/>
    <n v="0"/>
    <n v="0"/>
    <n v="17552"/>
    <n v="9552"/>
  </r>
  <r>
    <s v="06/12/2013"/>
    <s v="AI0036723"/>
    <m/>
    <m/>
    <s v="Parikh   Sanjay  Dr ."/>
    <x v="7"/>
    <s v="G8"/>
    <s v="104ZDBL6Z1"/>
    <s v="09-DEC-13"/>
    <n v="4450"/>
    <n v="3559"/>
    <n v="8009"/>
    <n v="7234"/>
    <n v="8009"/>
    <n v="0"/>
    <n v="0"/>
    <n v="0"/>
    <n v="1"/>
    <n v="0"/>
    <n v="0"/>
    <n v="8009"/>
    <n v="9"/>
  </r>
  <r>
    <s v="13/12/2013"/>
    <s v="AI0037709"/>
    <m/>
    <m/>
    <s v="Parikh   Sanjay  Dr ."/>
    <x v="7"/>
    <s v="G8"/>
    <s v="1046T47LV1"/>
    <s v="16-DEC-13"/>
    <n v="4850"/>
    <n v="3607"/>
    <n v="8457"/>
    <n v="7234"/>
    <n v="8457"/>
    <n v="0"/>
    <n v="0"/>
    <n v="0"/>
    <n v="1"/>
    <n v="0"/>
    <n v="0"/>
    <n v="8457"/>
    <n v="457"/>
  </r>
  <r>
    <s v="21/01/2014"/>
    <s v="AI0042734"/>
    <m/>
    <m/>
    <s v="Parikh   Sanjay  Dr ."/>
    <x v="84"/>
    <s v="EY"/>
    <s v="6074342399707"/>
    <s v="23-01-14"/>
    <n v="1440"/>
    <n v="12060"/>
    <n v="13500"/>
    <n v="13500"/>
    <n v="13500"/>
    <n v="0"/>
    <n v="0"/>
    <n v="1"/>
    <n v="0"/>
    <n v="0"/>
    <n v="13500"/>
    <n v="0"/>
    <n v="0"/>
  </r>
  <r>
    <s v="20/11/2013"/>
    <s v="AI0034353"/>
    <m/>
    <m/>
    <s v="Parikh   Sanjay  Dr ."/>
    <x v="6"/>
    <s v="9W"/>
    <s v="5894340072593"/>
    <s v="22-NOV-13"/>
    <n v="12740"/>
    <n v="2264"/>
    <n v="15004"/>
    <n v="7412.5"/>
    <n v="15004"/>
    <n v="0"/>
    <n v="0"/>
    <n v="0"/>
    <n v="1"/>
    <n v="0"/>
    <n v="0"/>
    <n v="15004"/>
    <n v="6804"/>
  </r>
  <r>
    <s v="23/07/2013"/>
    <s v="AI0016925"/>
    <m/>
    <m/>
    <s v="Patil   Bhaskar R  Mr."/>
    <x v="6"/>
    <s v="6E"/>
    <s v="6EOZJ9RC1"/>
    <s v="24-JUL-13"/>
    <n v="482"/>
    <n v="2396"/>
    <n v="2878"/>
    <n v="7412.5"/>
    <n v="2878"/>
    <m/>
    <n v="1"/>
    <n v="0"/>
    <n v="0"/>
    <n v="2878"/>
    <n v="0"/>
    <n v="0"/>
    <n v="0"/>
  </r>
  <r>
    <s v="24/07/2013"/>
    <s v="AI0016959"/>
    <s v="AR0002607"/>
    <m/>
    <s v="Patil   Bhaskar R  Mr."/>
    <x v="7"/>
    <s v="SG"/>
    <s v="775Y8VCXW1"/>
    <s v="30-JUL-13"/>
    <n v="1354"/>
    <n v="2645"/>
    <n v="3999"/>
    <n v="7234"/>
    <n v="3999"/>
    <n v="568"/>
    <n v="1"/>
    <n v="0"/>
    <n v="0"/>
    <n v="3999"/>
    <n v="0"/>
    <n v="0"/>
    <n v="0"/>
  </r>
  <r>
    <s v="24/07/2013"/>
    <s v="AI0016961"/>
    <m/>
    <m/>
    <s v="Patil   Bhaskar R  Mr."/>
    <x v="7"/>
    <s v="SG"/>
    <s v="775S9VI3A1"/>
    <s v="31-JUL-13"/>
    <n v="1024"/>
    <n v="2606"/>
    <n v="3630"/>
    <n v="7234"/>
    <n v="3630"/>
    <m/>
    <n v="1"/>
    <n v="0"/>
    <n v="0"/>
    <n v="3630"/>
    <n v="0"/>
    <n v="0"/>
    <n v="0"/>
  </r>
  <r>
    <s v="03/12/2013"/>
    <s v="AI0036244"/>
    <m/>
    <m/>
    <s v="Patil   Bhaskar R  Mr."/>
    <x v="85"/>
    <s v="TG"/>
    <s v="2174340624760"/>
    <s v="10-DEC-13"/>
    <n v="60845"/>
    <n v="14155"/>
    <n v="75000"/>
    <n v="75000"/>
    <n v="75000"/>
    <n v="0"/>
    <n v="0"/>
    <n v="1"/>
    <n v="0"/>
    <n v="0"/>
    <n v="75000"/>
    <n v="0"/>
    <n v="0"/>
  </r>
  <r>
    <s v="05/11/2013"/>
    <s v="AI0031630"/>
    <m/>
    <m/>
    <s v="Perasher   Rohit  Mr."/>
    <x v="86"/>
    <s v="G8"/>
    <s v="1040MFDR71"/>
    <s v="13-NOV-13"/>
    <n v="4900"/>
    <n v="5197"/>
    <n v="10097"/>
    <n v="10097"/>
    <n v="10097"/>
    <n v="0"/>
    <n v="0"/>
    <n v="1"/>
    <n v="0"/>
    <n v="0"/>
    <n v="10097"/>
    <n v="0"/>
    <n v="0"/>
  </r>
  <r>
    <s v="05/06/2013"/>
    <s v="AI0009898"/>
    <m/>
    <m/>
    <s v="Prabhakar   Karthik  Mr."/>
    <x v="8"/>
    <s v="SG"/>
    <s v="775W645TP1"/>
    <s v="06-JUN-13"/>
    <n v="7292"/>
    <n v="6798"/>
    <n v="14090"/>
    <n v="14406"/>
    <n v="14090"/>
    <m/>
    <n v="0"/>
    <n v="1"/>
    <n v="0"/>
    <n v="0"/>
    <n v="14090"/>
    <n v="0"/>
    <n v="0"/>
  </r>
  <r>
    <s v="26/09/2013"/>
    <s v="AI0026397"/>
    <m/>
    <m/>
    <s v="Prabhu   Suhas  Mr."/>
    <x v="6"/>
    <s v="9W"/>
    <s v="5894147356667"/>
    <s v="03-OCT-13"/>
    <n v="5050"/>
    <n v="1838"/>
    <n v="6888"/>
    <n v="7412.5"/>
    <n v="6888"/>
    <n v="0"/>
    <n v="0"/>
    <n v="1"/>
    <n v="0"/>
    <n v="0"/>
    <n v="6888"/>
    <n v="0"/>
    <n v="0"/>
  </r>
  <r>
    <s v="26/09/2013"/>
    <s v="AI0026395"/>
    <m/>
    <m/>
    <s v="Prabhu   Suhas  Mr."/>
    <x v="44"/>
    <s v="G8"/>
    <s v="104XCIXHO1"/>
    <s v="03-OCT-13"/>
    <n v="2250"/>
    <n v="2966"/>
    <n v="5216"/>
    <n v="6944"/>
    <n v="5216"/>
    <n v="0"/>
    <n v="1"/>
    <n v="0"/>
    <n v="0"/>
    <n v="5216"/>
    <n v="0"/>
    <n v="0"/>
    <n v="0"/>
  </r>
  <r>
    <s v="28/01/2014"/>
    <s v="AI0043609"/>
    <m/>
    <m/>
    <s v="Prabhu   Suhas  Mr."/>
    <x v="87"/>
    <s v="9W"/>
    <s v="5894342458436"/>
    <s v="03-02-14"/>
    <n v="4300"/>
    <n v="1564"/>
    <n v="5864"/>
    <n v="5864"/>
    <n v="5864"/>
    <n v="0"/>
    <n v="0"/>
    <n v="1"/>
    <n v="0"/>
    <n v="0"/>
    <n v="5864"/>
    <n v="0"/>
    <n v="0"/>
  </r>
  <r>
    <s v="28/01/2014"/>
    <s v="AI0043830"/>
    <s v="AR0006637"/>
    <m/>
    <s v="Prafula Chandra  Anand  Mr."/>
    <x v="88"/>
    <s v="LX"/>
    <s v="7244342848172"/>
    <s v="04-02-14"/>
    <n v="26900"/>
    <n v="36900"/>
    <n v="63800"/>
    <n v="63800"/>
    <n v="63800"/>
    <n v="51800"/>
    <n v="0"/>
    <n v="1"/>
    <n v="0"/>
    <n v="0"/>
    <n v="63800"/>
    <n v="0"/>
    <n v="0"/>
  </r>
  <r>
    <s v="30/01/2014"/>
    <s v="AI0044547"/>
    <s v="AR0006636"/>
    <m/>
    <s v="Prafula Chandra  Anand  Mr."/>
    <x v="89"/>
    <s v="EK"/>
    <s v="1764342983626"/>
    <s v="04-02-14"/>
    <n v="52160"/>
    <n v="10840"/>
    <n v="63000"/>
    <n v="63000"/>
    <n v="63000"/>
    <n v="55820"/>
    <n v="0"/>
    <n v="1"/>
    <n v="0"/>
    <n v="0"/>
    <n v="63000"/>
    <n v="0"/>
    <n v="0"/>
  </r>
  <r>
    <s v="24/01/2014"/>
    <s v="AI0043326"/>
    <s v="AR0006523"/>
    <m/>
    <s v="Prafula Chandra  Anand  Mr."/>
    <x v="90"/>
    <s v="AI"/>
    <s v="0984342556968"/>
    <s v="30-01-14"/>
    <n v="33000"/>
    <n v="35000"/>
    <n v="68000"/>
    <n v="68000"/>
    <n v="68000"/>
    <n v="59500"/>
    <n v="0"/>
    <n v="1"/>
    <n v="0"/>
    <n v="0"/>
    <n v="68000"/>
    <n v="0"/>
    <n v="0"/>
  </r>
  <r>
    <s v="12/11/2013"/>
    <s v="AI0033149"/>
    <m/>
    <m/>
    <s v="Prasanth  John Mr."/>
    <x v="19"/>
    <s v="6E"/>
    <s v="6EC3G5TC"/>
    <s v="14-NOV-13"/>
    <n v="4360"/>
    <n v="1078"/>
    <n v="5438"/>
    <n v="5438"/>
    <n v="5438"/>
    <n v="0"/>
    <n v="0"/>
    <n v="1"/>
    <n v="0"/>
    <n v="0"/>
    <n v="5438"/>
    <n v="0"/>
    <n v="0"/>
  </r>
  <r>
    <s v="09/12/2013"/>
    <s v="AI0037330"/>
    <m/>
    <m/>
    <s v="Punita  Mittal Ms."/>
    <x v="8"/>
    <s v="6E"/>
    <s v="6E1312098843"/>
    <s v="11-DEC-13"/>
    <n v="11880"/>
    <n v="2492"/>
    <n v="14372"/>
    <n v="14406"/>
    <n v="14372"/>
    <n v="0"/>
    <n v="0"/>
    <n v="1"/>
    <n v="0"/>
    <n v="0"/>
    <n v="14372"/>
    <n v="0"/>
    <n v="0"/>
  </r>
  <r>
    <s v="20/01/2014"/>
    <s v="AI0042363"/>
    <m/>
    <m/>
    <s v="Punita  Mittal Ms."/>
    <x v="8"/>
    <s v="6E"/>
    <s v="6EJ679QM"/>
    <s v="21-JAN-14"/>
    <n v="11582"/>
    <n v="2189"/>
    <n v="13771"/>
    <n v="14406"/>
    <n v="13771"/>
    <n v="0"/>
    <n v="0"/>
    <n v="1"/>
    <n v="0"/>
    <n v="0"/>
    <n v="13771"/>
    <n v="0"/>
    <n v="0"/>
  </r>
  <r>
    <s v="16/09/2013"/>
    <s v="AI0024437"/>
    <s v="AR0003437"/>
    <m/>
    <s v="Rahul  Sharma Mr."/>
    <x v="16"/>
    <s v="6E"/>
    <s v="6EH227PH"/>
    <s v="17-SEP-13"/>
    <n v="18306"/>
    <n v="3030"/>
    <n v="21336"/>
    <n v="20521"/>
    <n v="21336"/>
    <n v="10399"/>
    <n v="0"/>
    <n v="1"/>
    <n v="0"/>
    <n v="0"/>
    <n v="21336"/>
    <n v="0"/>
    <n v="0"/>
  </r>
  <r>
    <s v="17/09/2013"/>
    <s v="AI0024656"/>
    <m/>
    <m/>
    <s v="Rahul  Sharma Mr."/>
    <x v="24"/>
    <s v="6E"/>
    <s v="6EF26BPB"/>
    <s v="18-SEP-13"/>
    <n v="9178"/>
    <n v="1446"/>
    <n v="10624"/>
    <n v="10332"/>
    <n v="21248"/>
    <n v="0"/>
    <n v="0"/>
    <n v="0"/>
    <n v="1"/>
    <n v="0"/>
    <n v="0"/>
    <n v="21248"/>
    <n v="9848"/>
  </r>
  <r>
    <s v="23/10/2013"/>
    <s v="AI0030412"/>
    <m/>
    <m/>
    <s v="Rajakumar   Bhaskar  Dr ."/>
    <x v="91"/>
    <s v="EK"/>
    <s v="1764339031036/7"/>
    <s v="14-11-13"/>
    <n v="74335"/>
    <n v="11865"/>
    <n v="86200"/>
    <n v="86200"/>
    <n v="86200"/>
    <n v="0"/>
    <n v="0"/>
    <n v="1"/>
    <n v="0"/>
    <n v="0"/>
    <n v="86200"/>
    <n v="0"/>
    <n v="0"/>
  </r>
  <r>
    <s v="21/05/2013"/>
    <s v="AI0007616"/>
    <m/>
    <m/>
    <s v="Rajakumar   Bhaskar  Dr ."/>
    <x v="6"/>
    <s v="9W"/>
    <s v="5893974228268"/>
    <s v="24-MAY-13"/>
    <n v="4500"/>
    <n v="3196"/>
    <n v="7696"/>
    <n v="7412.5"/>
    <n v="7696"/>
    <m/>
    <n v="0"/>
    <n v="1"/>
    <n v="0"/>
    <n v="0"/>
    <n v="7696"/>
    <n v="0"/>
    <n v="0"/>
  </r>
  <r>
    <s v="21/05/2013"/>
    <s v="AI0007618"/>
    <m/>
    <m/>
    <s v="Rajakumar   Bhaskar  Dr ."/>
    <x v="7"/>
    <s v="9W"/>
    <s v="5893974228270"/>
    <s v="24-MAY-13"/>
    <n v="5110"/>
    <n v="3313"/>
    <n v="8423"/>
    <n v="7234"/>
    <n v="8423"/>
    <m/>
    <n v="0"/>
    <n v="0"/>
    <n v="1"/>
    <n v="0"/>
    <n v="0"/>
    <n v="8423"/>
    <n v="423"/>
  </r>
  <r>
    <s v="31/05/2013"/>
    <s v="AI0009201"/>
    <m/>
    <m/>
    <s v="Rajakumar   Bhaskar  Dr ."/>
    <x v="6"/>
    <s v="9W"/>
    <s v="5893974400176"/>
    <s v="03-JUN-13"/>
    <n v="4550"/>
    <n v="3122"/>
    <n v="7672"/>
    <n v="7412.5"/>
    <n v="7672"/>
    <m/>
    <n v="0"/>
    <n v="1"/>
    <n v="0"/>
    <n v="0"/>
    <n v="7672"/>
    <n v="0"/>
    <n v="0"/>
  </r>
  <r>
    <s v="17/09/2013"/>
    <s v="AI0024865"/>
    <m/>
    <m/>
    <s v="Rajakumar   Bhaskar  Dr ."/>
    <x v="6"/>
    <s v="AI"/>
    <s v="0984146953168"/>
    <s v="19-SEP-13"/>
    <n v="4250"/>
    <n v="3105"/>
    <n v="7355"/>
    <n v="7412.5"/>
    <n v="7355"/>
    <n v="0"/>
    <n v="0"/>
    <n v="1"/>
    <n v="0"/>
    <n v="0"/>
    <n v="7355"/>
    <n v="0"/>
    <n v="0"/>
  </r>
  <r>
    <s v="20/09/2013"/>
    <s v="AI0025315"/>
    <s v="AR0003591"/>
    <m/>
    <s v="Rajakumar   Bhaskar  Dr ."/>
    <x v="6"/>
    <s v="9W"/>
    <s v="5894147356505"/>
    <s v="23-SEP-13"/>
    <n v="5540"/>
    <n v="1865"/>
    <n v="7405"/>
    <n v="7412.5"/>
    <n v="14852"/>
    <n v="6347"/>
    <n v="0"/>
    <n v="0"/>
    <n v="1"/>
    <n v="0"/>
    <n v="0"/>
    <n v="14852"/>
    <n v="6652"/>
  </r>
  <r>
    <s v="31/05/2013"/>
    <s v="AI0009201"/>
    <m/>
    <m/>
    <s v="Rajakumar   Bhaskar  Dr ."/>
    <x v="7"/>
    <s v="6E"/>
    <s v="6EBTP2DM2"/>
    <s v="04-JUN-13"/>
    <n v="3720"/>
    <n v="3481"/>
    <n v="7201"/>
    <n v="7234"/>
    <n v="7201"/>
    <m/>
    <n v="0"/>
    <n v="1"/>
    <n v="0"/>
    <n v="0"/>
    <n v="7201"/>
    <n v="0"/>
    <n v="0"/>
  </r>
  <r>
    <s v="17/09/2013"/>
    <s v="AI0024866"/>
    <s v="AR0003656"/>
    <m/>
    <s v="Rajakumar   Bhaskar  Dr ."/>
    <x v="7"/>
    <s v="AI"/>
    <s v="0984146953169"/>
    <s v="20-SEP-13"/>
    <n v="4700"/>
    <n v="3213"/>
    <n v="7913"/>
    <n v="7234"/>
    <n v="7913"/>
    <n v="6763"/>
    <n v="0"/>
    <n v="1"/>
    <n v="0"/>
    <n v="0"/>
    <n v="7913"/>
    <n v="0"/>
    <n v="0"/>
  </r>
  <r>
    <s v="20/09/2013"/>
    <s v="AI0025267"/>
    <m/>
    <m/>
    <s v="Rajakumar   Bhaskar  Dr ."/>
    <x v="7"/>
    <s v="6E"/>
    <s v="6EU28KRG1"/>
    <s v="20-SEP-13"/>
    <n v="3940"/>
    <n v="3507"/>
    <n v="7447"/>
    <n v="7234"/>
    <n v="7447"/>
    <n v="0"/>
    <n v="0"/>
    <n v="1"/>
    <n v="0"/>
    <n v="0"/>
    <n v="7447"/>
    <n v="0"/>
    <n v="0"/>
  </r>
  <r>
    <s v="20/09/2013"/>
    <s v="AI0025315"/>
    <m/>
    <m/>
    <s v="Rajakumar   Bhaskar  Dr ."/>
    <x v="7"/>
    <s v="6E"/>
    <s v="6ET28KPX2"/>
    <s v="23-SEP-13"/>
    <n v="3940"/>
    <n v="3507"/>
    <n v="7447"/>
    <n v="7234"/>
    <n v="7447"/>
    <n v="0"/>
    <n v="0"/>
    <n v="1"/>
    <n v="0"/>
    <n v="0"/>
    <n v="7447"/>
    <n v="0"/>
    <n v="0"/>
  </r>
  <r>
    <s v="22/02/2014"/>
    <s v="AI0047693"/>
    <s v="AR0007020"/>
    <m/>
    <s v="Rajesh  Nair Mr."/>
    <x v="35"/>
    <s v="6E"/>
    <s v="6EODYT4E"/>
    <s v="03-APR-14"/>
    <n v="5926"/>
    <n v="2634"/>
    <n v="8560"/>
    <n v="11722"/>
    <n v="8560"/>
    <e v="#REF!"/>
    <n v="1"/>
    <n v="0"/>
    <n v="0"/>
    <n v="8560"/>
    <n v="0"/>
    <n v="0"/>
    <n v="0"/>
  </r>
  <r>
    <s v="08/08/2013"/>
    <s v="AI0019204"/>
    <m/>
    <m/>
    <s v="Raman   Vikramadith  Mr ."/>
    <x v="92"/>
    <s v="AF"/>
    <s v="0574145349882"/>
    <s v="13-AUG-13"/>
    <n v="90245"/>
    <n v="52755"/>
    <n v="143000"/>
    <n v="143000"/>
    <n v="143000"/>
    <m/>
    <n v="0"/>
    <n v="1"/>
    <n v="0"/>
    <n v="0"/>
    <n v="143000"/>
    <n v="0"/>
    <n v="0"/>
  </r>
  <r>
    <s v="08/08/2013"/>
    <s v="AI0019204"/>
    <m/>
    <m/>
    <s v="Raman   Vikramadith  Mr ."/>
    <x v="93"/>
    <s v="AF"/>
    <s v="0574145349883"/>
    <s v="12-OCT-13"/>
    <n v="0"/>
    <n v="0"/>
    <n v="0"/>
    <n v="0"/>
    <n v="0"/>
    <m/>
    <n v="0"/>
    <n v="1"/>
    <n v="0"/>
    <n v="0"/>
    <n v="0"/>
    <n v="0"/>
    <n v="0"/>
  </r>
  <r>
    <s v="08/08/2013"/>
    <s v="AI0019182"/>
    <m/>
    <m/>
    <s v="Raman   Vikramadith  Mr ."/>
    <x v="6"/>
    <s v="SG"/>
    <s v="775U5ELPC1"/>
    <s v="12-AUG-13"/>
    <n v="472"/>
    <n v="2394"/>
    <n v="2866"/>
    <n v="7412.5"/>
    <n v="2866"/>
    <m/>
    <n v="1"/>
    <n v="0"/>
    <n v="0"/>
    <n v="2866"/>
    <n v="0"/>
    <n v="0"/>
    <n v="0"/>
  </r>
  <r>
    <s v="04/10/2013"/>
    <s v="AI0027448"/>
    <m/>
    <m/>
    <s v="Raman   Vikramadith  Mr ."/>
    <x v="94"/>
    <s v="AF"/>
    <s v="0571817541041"/>
    <s v="18-OCT-13"/>
    <n v="0"/>
    <n v="8800"/>
    <n v="8800"/>
    <n v="8800"/>
    <n v="8800"/>
    <n v="0"/>
    <n v="0"/>
    <n v="1"/>
    <n v="0"/>
    <n v="0"/>
    <n v="8800"/>
    <n v="0"/>
    <n v="0"/>
  </r>
  <r>
    <s v="28/09/2013"/>
    <s v="AI0026797"/>
    <m/>
    <m/>
    <s v="Rao   Chithra  Ms ."/>
    <x v="6"/>
    <s v="9W"/>
    <s v="5894147646154"/>
    <s v="30-SEP-13"/>
    <n v="6750"/>
    <n v="1932"/>
    <n v="8682"/>
    <n v="7412.5"/>
    <n v="8682"/>
    <n v="0"/>
    <n v="0"/>
    <n v="0"/>
    <n v="1"/>
    <n v="0"/>
    <n v="0"/>
    <n v="8682"/>
    <n v="482"/>
  </r>
  <r>
    <s v="28/09/2013"/>
    <s v="AI0026799"/>
    <m/>
    <m/>
    <s v="Rao   Chithra  Ms ."/>
    <x v="7"/>
    <s v="9W"/>
    <s v="5894147646156"/>
    <s v="30-SEP-13"/>
    <n v="5540"/>
    <n v="1947"/>
    <n v="7487"/>
    <n v="7234"/>
    <n v="7487"/>
    <n v="0"/>
    <n v="0"/>
    <n v="1"/>
    <n v="0"/>
    <n v="0"/>
    <n v="7487"/>
    <n v="0"/>
    <n v="0"/>
  </r>
  <r>
    <s v="17/10/2013"/>
    <s v="AI0030218"/>
    <m/>
    <m/>
    <s v="Raviraj  Devadas Mr."/>
    <x v="95"/>
    <s v="AI"/>
    <s v="0984338816758"/>
    <s v="21-10-13"/>
    <n v="30950"/>
    <n v="43880"/>
    <n v="74830"/>
    <n v="74830"/>
    <n v="74830"/>
    <n v="0"/>
    <n v="0"/>
    <n v="1"/>
    <n v="0"/>
    <n v="0"/>
    <n v="74830"/>
    <n v="0"/>
    <n v="0"/>
  </r>
  <r>
    <s v="08/05/2013"/>
    <s v="AI0005714"/>
    <m/>
    <m/>
    <s v="Rikki  Goenka Ms."/>
    <x v="5"/>
    <s v="6E"/>
    <s v="6EMSHSBZ"/>
    <s v="20-MAY-13"/>
    <n v="8256"/>
    <n v="1169"/>
    <n v="9425"/>
    <n v="9425"/>
    <n v="9425"/>
    <m/>
    <n v="0"/>
    <n v="1"/>
    <n v="0"/>
    <n v="0"/>
    <n v="9425"/>
    <n v="0"/>
    <n v="0"/>
  </r>
  <r>
    <s v="03/10/2013"/>
    <s v="AI0027522"/>
    <m/>
    <m/>
    <s v="Rohan  Seth Mr."/>
    <x v="15"/>
    <s v="6E"/>
    <s v="6EP2HKRM"/>
    <s v="04-OCT-13"/>
    <n v="16848"/>
    <n v="2030"/>
    <n v="18878"/>
    <n v="19030"/>
    <n v="18878"/>
    <n v="0"/>
    <n v="0"/>
    <n v="1"/>
    <n v="0"/>
    <n v="0"/>
    <n v="18878"/>
    <n v="0"/>
    <n v="0"/>
  </r>
  <r>
    <s v="12/02/2014"/>
    <s v="AI0046140"/>
    <s v="AR0006823"/>
    <m/>
    <s v="Rohan  Seth Mr."/>
    <x v="8"/>
    <s v="6E"/>
    <s v="6EO9NPSD"/>
    <s v="13-02-14"/>
    <n v="8534"/>
    <n v="1778"/>
    <n v="10312"/>
    <n v="14406"/>
    <n v="10312"/>
    <n v="5000"/>
    <n v="1"/>
    <n v="0"/>
    <n v="0"/>
    <n v="10312"/>
    <n v="0"/>
    <n v="0"/>
    <n v="0"/>
  </r>
  <r>
    <s v="17/10/2013"/>
    <s v="AI0029324"/>
    <m/>
    <m/>
    <s v="Rohan  Seth Mr."/>
    <x v="21"/>
    <s v="SG"/>
    <s v="775QEJJHR"/>
    <s v="21-10-13"/>
    <n v="8731"/>
    <n v="1421"/>
    <n v="10152"/>
    <n v="10605"/>
    <n v="10152"/>
    <n v="0"/>
    <n v="0"/>
    <n v="1"/>
    <n v="0"/>
    <n v="0"/>
    <n v="10152"/>
    <n v="0"/>
    <n v="0"/>
  </r>
  <r>
    <s v="25/10/2013"/>
    <s v="AI0030589"/>
    <m/>
    <m/>
    <s v="Roy   Sudeshna  Ms."/>
    <x v="6"/>
    <s v="G8"/>
    <s v="1041N5E9Y1"/>
    <s v="27-10-13"/>
    <n v="4400"/>
    <n v="3468"/>
    <n v="7868"/>
    <n v="7412.5"/>
    <n v="7868"/>
    <n v="0"/>
    <n v="0"/>
    <n v="1"/>
    <n v="0"/>
    <n v="0"/>
    <n v="7868"/>
    <n v="0"/>
    <n v="0"/>
  </r>
  <r>
    <s v="11/12/2013"/>
    <s v="AI0037357"/>
    <m/>
    <m/>
    <s v="Roy   Sudeshna  Ms."/>
    <x v="6"/>
    <s v="G8"/>
    <s v="104OJPROO1"/>
    <s v="15-DEC-13"/>
    <n v="4400"/>
    <n v="3468"/>
    <n v="7868"/>
    <n v="7412.5"/>
    <n v="7868"/>
    <n v="0"/>
    <n v="0"/>
    <n v="1"/>
    <n v="0"/>
    <n v="0"/>
    <n v="7868"/>
    <n v="0"/>
    <n v="0"/>
  </r>
  <r>
    <s v="24/09/2013"/>
    <s v="AI0025809"/>
    <m/>
    <m/>
    <s v="Roy   Sudeshna  Ms."/>
    <x v="41"/>
    <s v="9W"/>
    <s v="5894147356561"/>
    <s v="06-OCT-13"/>
    <n v="3600"/>
    <n v="1442"/>
    <n v="5042"/>
    <n v="5042"/>
    <n v="5042"/>
    <n v="0"/>
    <n v="0"/>
    <n v="1"/>
    <n v="0"/>
    <n v="0"/>
    <n v="5042"/>
    <n v="0"/>
    <n v="0"/>
  </r>
  <r>
    <s v="11/12/2013"/>
    <s v="AI0037357"/>
    <m/>
    <m/>
    <s v="Roy   Sudeshna  Ms."/>
    <x v="7"/>
    <s v="AI"/>
    <s v="0984340930031"/>
    <s v="15-DEC-13"/>
    <n v="4820"/>
    <n v="3219"/>
    <n v="8039"/>
    <n v="7234"/>
    <n v="15907"/>
    <n v="0"/>
    <n v="0"/>
    <n v="0"/>
    <n v="1"/>
    <n v="0"/>
    <n v="0"/>
    <n v="15907"/>
    <n v="7907"/>
  </r>
  <r>
    <s v="24/09/2013"/>
    <s v="AI0025809"/>
    <m/>
    <m/>
    <s v="Roy   Sudeshna  Ms."/>
    <x v="42"/>
    <s v="SG"/>
    <s v="775X9ZP8T4"/>
    <s v="06-OCT-13"/>
    <n v="2205"/>
    <n v="2668"/>
    <n v="4873"/>
    <n v="4873"/>
    <n v="4873"/>
    <n v="0"/>
    <n v="0"/>
    <n v="1"/>
    <n v="0"/>
    <n v="0"/>
    <n v="4873"/>
    <n v="0"/>
    <n v="0"/>
  </r>
  <r>
    <s v="15/04/2013"/>
    <s v="AI0002098"/>
    <m/>
    <s v="INTERNAL"/>
    <s v="Roy Choudhury   Amrita  Ms."/>
    <x v="82"/>
    <s v="G8"/>
    <s v="104Q6ZYOB3"/>
    <s v="17-APR-13"/>
    <n v="9800"/>
    <n v="10022"/>
    <n v="19822"/>
    <n v="19822"/>
    <n v="19822"/>
    <m/>
    <n v="0"/>
    <n v="1"/>
    <n v="0"/>
    <n v="0"/>
    <n v="19822"/>
    <n v="0"/>
    <n v="0"/>
  </r>
  <r>
    <s v="25/02/2014"/>
    <s v="AI0048212"/>
    <m/>
    <m/>
    <s v="Rupesh  Bajpai Mr."/>
    <x v="6"/>
    <s v="6E"/>
    <s v="6EVZWBWR"/>
    <s v="26-FEB-14"/>
    <n v="4223"/>
    <n v="846"/>
    <n v="5069"/>
    <n v="7412.5"/>
    <n v="5069"/>
    <e v="#REF!"/>
    <n v="1"/>
    <n v="0"/>
    <n v="0"/>
    <n v="5069"/>
    <n v="0"/>
    <n v="0"/>
    <n v="0"/>
  </r>
  <r>
    <s v="27/02/2014"/>
    <s v="AI0048550"/>
    <m/>
    <m/>
    <s v="Rupesh  Bajpai Mr."/>
    <x v="7"/>
    <s v="6E"/>
    <s v="6EQ8RWRG"/>
    <s v="28-FEB-14"/>
    <n v="4273"/>
    <n v="933"/>
    <n v="5206"/>
    <n v="7234"/>
    <n v="5206"/>
    <e v="#REF!"/>
    <n v="1"/>
    <n v="0"/>
    <n v="0"/>
    <n v="5206"/>
    <n v="0"/>
    <n v="0"/>
    <n v="0"/>
  </r>
  <r>
    <s v="31/01/2014"/>
    <s v="VI0003688"/>
    <m/>
    <m/>
    <s v="S  Rohan Mr."/>
    <x v="96"/>
    <s v=""/>
    <s v="Malaysia"/>
    <s v=""/>
    <n v="3375"/>
    <n v="625"/>
    <n v="4000"/>
    <n v="4000"/>
    <n v="4000"/>
    <n v="0"/>
    <n v="0"/>
    <n v="1"/>
    <n v="0"/>
    <n v="0"/>
    <n v="4000"/>
    <n v="0"/>
    <n v="0"/>
  </r>
  <r>
    <s v="13/04/2013"/>
    <s v="RA0000008"/>
    <m/>
    <s v="INTERNAL"/>
    <s v="S D Mahaprabhu Mr."/>
    <x v="0"/>
    <s v=""/>
    <s v="672953634"/>
    <s v="24-APR-13"/>
    <n v="637"/>
    <n v="112"/>
    <n v="749"/>
    <n v="749"/>
    <n v="749"/>
    <m/>
    <n v="0"/>
    <n v="1"/>
    <n v="0"/>
    <n v="0"/>
    <n v="749"/>
    <n v="0"/>
    <n v="0"/>
  </r>
  <r>
    <s v="13/04/2013"/>
    <s v="RA0000008"/>
    <m/>
    <s v="INTERNAL"/>
    <s v="S D Mahaprabhu Mr."/>
    <x v="1"/>
    <s v=""/>
    <s v="672959369"/>
    <s v="25-APR-13"/>
    <n v="712"/>
    <n v="112"/>
    <n v="824"/>
    <n v="824"/>
    <n v="824"/>
    <m/>
    <n v="0"/>
    <n v="1"/>
    <n v="0"/>
    <n v="0"/>
    <n v="824"/>
    <n v="0"/>
    <n v="0"/>
  </r>
  <r>
    <s v="19/02/2014"/>
    <s v="AI0047133"/>
    <m/>
    <m/>
    <s v="Sandeep  Gantotti Mr."/>
    <x v="6"/>
    <s v="AI"/>
    <s v="0984343391246"/>
    <s v="21-FEB-14"/>
    <n v="4620"/>
    <n v="3125"/>
    <n v="7745"/>
    <n v="7412.5"/>
    <n v="7745"/>
    <e v="#REF!"/>
    <n v="0"/>
    <n v="1"/>
    <n v="0"/>
    <n v="0"/>
    <n v="7745"/>
    <n v="0"/>
    <n v="0"/>
  </r>
  <r>
    <s v="29/01/2014"/>
    <s v="AI0044657"/>
    <m/>
    <m/>
    <s v="Sandeep  Gantotti Mr."/>
    <x v="34"/>
    <s v="TR"/>
    <s v="388FMNOZR9B24"/>
    <s v="06-02-14"/>
    <n v="15780"/>
    <n v="5079"/>
    <n v="20859"/>
    <n v="37293"/>
    <n v="20859"/>
    <n v="0"/>
    <n v="1"/>
    <n v="0"/>
    <n v="0"/>
    <n v="20859"/>
    <n v="0"/>
    <n v="0"/>
    <n v="0"/>
  </r>
  <r>
    <s v="19/02/2014"/>
    <s v="AI0047134"/>
    <s v="AR0006946"/>
    <m/>
    <s v="Sandeep  Gantotti Mr."/>
    <x v="7"/>
    <s v="6E"/>
    <s v="6EFBN15H"/>
    <s v="21-FEB-14"/>
    <n v="5649"/>
    <n v="2796"/>
    <n v="8445"/>
    <n v="7234"/>
    <n v="8445"/>
    <e v="#REF!"/>
    <n v="0"/>
    <n v="0"/>
    <n v="1"/>
    <n v="0"/>
    <n v="0"/>
    <n v="8445"/>
    <n v="445"/>
  </r>
  <r>
    <s v="19/08/2013"/>
    <s v="AI0020687"/>
    <m/>
    <m/>
    <s v="Sanjay  Parikh Dr."/>
    <x v="6"/>
    <s v="6E"/>
    <s v="6EX1CDPD"/>
    <s v="23-AUG-13"/>
    <n v="3953"/>
    <n v="832"/>
    <n v="4785"/>
    <n v="7412.5"/>
    <n v="4785"/>
    <n v="0"/>
    <n v="1"/>
    <n v="0"/>
    <n v="0"/>
    <n v="4785"/>
    <n v="0"/>
    <n v="0"/>
    <n v="0"/>
  </r>
  <r>
    <s v="23/09/2013"/>
    <s v="AI0025668"/>
    <m/>
    <m/>
    <s v="Sanjay  Parikh Dr."/>
    <x v="6"/>
    <s v="6E"/>
    <s v="6EK2BFTG"/>
    <s v="25-SEP-13"/>
    <n v="6090"/>
    <n v="950"/>
    <n v="7040"/>
    <n v="7412.5"/>
    <n v="7040"/>
    <n v="0"/>
    <n v="0"/>
    <n v="1"/>
    <n v="0"/>
    <n v="0"/>
    <n v="7040"/>
    <n v="0"/>
    <n v="0"/>
  </r>
  <r>
    <s v="05/08/2013"/>
    <s v="AI0018526"/>
    <m/>
    <m/>
    <s v="Sanjay  Parikh Dr."/>
    <x v="6"/>
    <s v="G8"/>
    <s v="10464KU88"/>
    <s v="08-AUG-13"/>
    <n v="6070"/>
    <n v="3665"/>
    <n v="9735"/>
    <n v="7412.5"/>
    <n v="9735"/>
    <m/>
    <n v="0"/>
    <n v="0"/>
    <n v="1"/>
    <n v="0"/>
    <n v="0"/>
    <n v="9735"/>
    <n v="1535"/>
  </r>
  <r>
    <s v="11/10/2013"/>
    <s v="AI0028647"/>
    <s v="AR0004122"/>
    <m/>
    <s v="Sanjay  Parikh Dr."/>
    <x v="6"/>
    <s v="6E"/>
    <s v="6ER2PCTX"/>
    <s v="19-OCT-13"/>
    <n v="6256"/>
    <n v="960"/>
    <n v="7216"/>
    <n v="7412.5"/>
    <n v="7216"/>
    <n v="7116"/>
    <n v="0"/>
    <n v="1"/>
    <n v="0"/>
    <n v="0"/>
    <n v="7216"/>
    <n v="0"/>
    <n v="0"/>
  </r>
  <r>
    <s v="22/11/2013"/>
    <s v="AI0034835"/>
    <m/>
    <m/>
    <s v="Sanjay  Parikh Dr."/>
    <x v="6"/>
    <s v="6E"/>
    <s v="6EBCWSFE"/>
    <s v="29-NOV-13"/>
    <n v="6256"/>
    <n v="960"/>
    <n v="7216"/>
    <n v="7412.5"/>
    <n v="7216"/>
    <n v="0"/>
    <n v="0"/>
    <n v="1"/>
    <n v="0"/>
    <n v="0"/>
    <n v="7216"/>
    <n v="0"/>
    <n v="0"/>
  </r>
  <r>
    <s v="13/12/2013"/>
    <s v="AI0037716"/>
    <m/>
    <m/>
    <s v="Sanjay  Parikh Dr."/>
    <x v="6"/>
    <s v="6E"/>
    <s v="6EQDVB9R"/>
    <s v="17-DEC-13"/>
    <n v="5766"/>
    <n v="932"/>
    <n v="6698"/>
    <n v="7412.5"/>
    <n v="6698"/>
    <n v="0"/>
    <n v="0"/>
    <n v="1"/>
    <n v="0"/>
    <n v="0"/>
    <n v="6698"/>
    <n v="0"/>
    <n v="0"/>
  </r>
  <r>
    <s v="05/08/2013"/>
    <s v="AI0019832"/>
    <m/>
    <m/>
    <s v="Sanjay  Parikh Dr."/>
    <x v="7"/>
    <s v="9W"/>
    <s v="5894144897717"/>
    <s v="08-AUG-13"/>
    <n v="4510"/>
    <n v="1890"/>
    <n v="6400"/>
    <n v="7234"/>
    <n v="6400"/>
    <m/>
    <n v="1"/>
    <n v="0"/>
    <n v="0"/>
    <n v="6400"/>
    <n v="0"/>
    <n v="0"/>
    <n v="0"/>
  </r>
  <r>
    <s v="30/04/2013"/>
    <s v="AI0004780"/>
    <m/>
    <m/>
    <s v="Sanjay  Virmani Mr."/>
    <x v="21"/>
    <s v="6E"/>
    <s v="6EUS2RCV"/>
    <s v="03-MAY-13"/>
    <n v="8256"/>
    <n v="1537"/>
    <n v="9793"/>
    <n v="10605"/>
    <n v="9793"/>
    <m/>
    <n v="0"/>
    <n v="1"/>
    <n v="0"/>
    <n v="0"/>
    <n v="9793"/>
    <n v="0"/>
    <n v="0"/>
  </r>
  <r>
    <s v="02/05/2013"/>
    <s v="AI0004992"/>
    <m/>
    <m/>
    <s v="Sanjay  Virmani Mr."/>
    <x v="21"/>
    <s v="6E"/>
    <s v="6EHSEKDM"/>
    <s v="04-MAY-13"/>
    <n v="8256"/>
    <n v="1537"/>
    <n v="9793"/>
    <n v="10605"/>
    <n v="9793"/>
    <m/>
    <n v="0"/>
    <n v="1"/>
    <n v="0"/>
    <n v="0"/>
    <n v="9793"/>
    <n v="0"/>
    <n v="0"/>
  </r>
  <r>
    <s v="11/11/2013"/>
    <s v="AI0032728"/>
    <m/>
    <m/>
    <s v="Sanjay  Virmani Mr."/>
    <x v="21"/>
    <s v="6E"/>
    <s v="6EX3FHNB"/>
    <s v="14-NOV-13"/>
    <n v="9182"/>
    <n v="1531"/>
    <n v="10713"/>
    <n v="10605"/>
    <n v="10713"/>
    <n v="0"/>
    <n v="0"/>
    <n v="1"/>
    <n v="0"/>
    <n v="0"/>
    <n v="10713"/>
    <n v="0"/>
    <n v="0"/>
  </r>
  <r>
    <s v="30/08/2013"/>
    <s v="AI0022108"/>
    <m/>
    <m/>
    <s v="Sanjay  Virmani Mr."/>
    <x v="71"/>
    <s v="6E"/>
    <s v="6EV1N4PH"/>
    <s v="01-SEP-13"/>
    <n v="13602"/>
    <n v="2769"/>
    <n v="16371"/>
    <n v="19495"/>
    <n v="16371"/>
    <n v="0"/>
    <n v="1"/>
    <n v="0"/>
    <n v="0"/>
    <n v="16371"/>
    <n v="0"/>
    <n v="0"/>
    <n v="0"/>
  </r>
  <r>
    <s v="20/01/2014"/>
    <s v="AI0042363"/>
    <m/>
    <m/>
    <s v="Saurabh  Jain Mr."/>
    <x v="8"/>
    <s v="6E"/>
    <s v="6EJ679QM"/>
    <s v="21-JAN-14"/>
    <n v="11582"/>
    <n v="2189"/>
    <n v="13771"/>
    <n v="14406"/>
    <n v="13771"/>
    <n v="0"/>
    <n v="0"/>
    <n v="1"/>
    <n v="0"/>
    <n v="0"/>
    <n v="13771"/>
    <n v="0"/>
    <n v="0"/>
  </r>
  <r>
    <s v="13/02/2014"/>
    <s v="AI0046299"/>
    <m/>
    <m/>
    <s v="Saurabh  Jain Mr."/>
    <x v="21"/>
    <s v="6E"/>
    <s v="6EA6NR2G"/>
    <s v="16-02-14"/>
    <n v="8771"/>
    <n v="1565"/>
    <n v="10336"/>
    <n v="10605"/>
    <n v="10336"/>
    <n v="0"/>
    <n v="0"/>
    <n v="1"/>
    <n v="0"/>
    <n v="0"/>
    <n v="10336"/>
    <n v="0"/>
    <n v="0"/>
  </r>
  <r>
    <s v="18/10/2013"/>
    <s v="AI0029583"/>
    <s v="AR0004214/4242"/>
    <m/>
    <s v="Saurabh  Jain Mr."/>
    <x v="16"/>
    <s v="SG"/>
    <s v="775Q2T4VY"/>
    <s v="21-10-13"/>
    <n v="17412"/>
    <n v="2980"/>
    <n v="20392"/>
    <n v="20521"/>
    <n v="40784"/>
    <n v="30119"/>
    <n v="0"/>
    <n v="0"/>
    <n v="1"/>
    <n v="0"/>
    <n v="0"/>
    <n v="40784"/>
    <n v="18184"/>
  </r>
  <r>
    <s v="10/07/2013"/>
    <s v="AI0015081"/>
    <m/>
    <m/>
    <s v="Saurabh  Jain Mr."/>
    <x v="7"/>
    <s v="6E"/>
    <s v="6EXZ82ND"/>
    <s v="10/07/2013"/>
    <n v="5914"/>
    <n v="1023"/>
    <n v="6937"/>
    <n v="7234"/>
    <n v="6937"/>
    <m/>
    <n v="0"/>
    <n v="1"/>
    <n v="0"/>
    <n v="0"/>
    <n v="6937"/>
    <n v="0"/>
    <n v="0"/>
  </r>
  <r>
    <s v="16/09/2013"/>
    <s v="AI0024636"/>
    <s v="AR0003439"/>
    <m/>
    <s v="Saurabh  Jain Mr."/>
    <x v="7"/>
    <s v="6E"/>
    <s v="6EU286NW"/>
    <s v="17-SEP-13"/>
    <n v="6306"/>
    <n v="1045"/>
    <n v="7351"/>
    <n v="7234"/>
    <n v="7351"/>
    <n v="7251"/>
    <n v="0"/>
    <n v="1"/>
    <n v="0"/>
    <n v="0"/>
    <n v="7351"/>
    <n v="0"/>
    <n v="0"/>
  </r>
  <r>
    <s v="17/09/2013"/>
    <s v="AI0024937"/>
    <m/>
    <m/>
    <s v="Saurabh  Jain Mr."/>
    <x v="7"/>
    <s v="6E"/>
    <s v="6ES24KTA"/>
    <s v="17-SEP-13"/>
    <n v="6306"/>
    <n v="1045"/>
    <n v="7351"/>
    <n v="7234"/>
    <n v="7351"/>
    <n v="0"/>
    <n v="0"/>
    <n v="1"/>
    <n v="0"/>
    <n v="0"/>
    <n v="7351"/>
    <n v="0"/>
    <n v="0"/>
  </r>
  <r>
    <s v="05/12/2013"/>
    <s v="VI0003091"/>
    <m/>
    <m/>
    <s v="Saurabh  Jain Mr."/>
    <x v="37"/>
    <s v=""/>
    <s v="Dubai"/>
    <s v=""/>
    <n v="4800"/>
    <n v="580"/>
    <n v="5380"/>
    <n v="5380"/>
    <n v="5380"/>
    <n v="0"/>
    <n v="0"/>
    <n v="1"/>
    <n v="0"/>
    <n v="0"/>
    <n v="5380"/>
    <n v="0"/>
    <n v="0"/>
  </r>
  <r>
    <s v="31/01/2014"/>
    <s v="VI0003704"/>
    <m/>
    <m/>
    <s v="Saurabh  Jain Mr."/>
    <x v="23"/>
    <s v=""/>
    <s v="China"/>
    <s v=""/>
    <n v="14565"/>
    <n v="435"/>
    <n v="15000"/>
    <n v="15000"/>
    <n v="15000"/>
    <n v="0"/>
    <n v="0"/>
    <n v="1"/>
    <n v="0"/>
    <n v="0"/>
    <n v="15000"/>
    <n v="0"/>
    <n v="0"/>
  </r>
  <r>
    <s v="13/02/2014"/>
    <s v="AI0046376"/>
    <m/>
    <m/>
    <s v="Seth   Rohan  Mr ."/>
    <x v="7"/>
    <s v="9W"/>
    <s v="5894814804432"/>
    <s v="13-02-14"/>
    <n v="5500"/>
    <n v="1945"/>
    <n v="7445"/>
    <n v="7234"/>
    <n v="7445"/>
    <n v="0"/>
    <n v="0"/>
    <n v="1"/>
    <n v="0"/>
    <n v="0"/>
    <n v="7445"/>
    <n v="0"/>
    <n v="0"/>
  </r>
  <r>
    <s v="14/01/2014"/>
    <s v="AI0041487"/>
    <m/>
    <m/>
    <s v="Seth   Rohan  Mr ."/>
    <x v="8"/>
    <s v="9W"/>
    <s v="5894342108828"/>
    <s v="15-JAN-14"/>
    <n v="10800"/>
    <n v="3669"/>
    <n v="14469"/>
    <n v="14406"/>
    <n v="14469"/>
    <m/>
    <n v="0"/>
    <n v="1"/>
    <n v="0"/>
    <n v="0"/>
    <n v="14469"/>
    <n v="0"/>
    <n v="0"/>
  </r>
  <r>
    <s v="17/10/2013"/>
    <s v="AI0029286"/>
    <m/>
    <m/>
    <s v="Seth   Rohan  Mr ."/>
    <x v="21"/>
    <s v="AI"/>
    <s v="0984148187154"/>
    <s v="19-10-13"/>
    <n v="6440"/>
    <n v="5266"/>
    <n v="11706"/>
    <n v="10605"/>
    <n v="11706"/>
    <n v="0"/>
    <n v="0"/>
    <n v="0"/>
    <n v="1"/>
    <n v="0"/>
    <n v="0"/>
    <n v="11706"/>
    <n v="6"/>
  </r>
  <r>
    <s v="31/01/2014"/>
    <s v="AI0044551"/>
    <m/>
    <m/>
    <s v="Seth   Rohan  Mr ."/>
    <x v="33"/>
    <s v="MH"/>
    <s v="2324343027042"/>
    <s v="05-02-14"/>
    <n v="25775"/>
    <n v="7725"/>
    <n v="33500"/>
    <n v="33500"/>
    <n v="33500"/>
    <n v="0"/>
    <n v="0"/>
    <n v="1"/>
    <n v="0"/>
    <n v="0"/>
    <n v="33500"/>
    <n v="0"/>
    <n v="0"/>
  </r>
  <r>
    <s v="03/12/2013"/>
    <s v="AI0036297"/>
    <m/>
    <m/>
    <s v="Sethi   Anurag  Mr."/>
    <x v="21"/>
    <s v="G8"/>
    <s v="1040025682"/>
    <s v="06-DEC-13"/>
    <n v="6100"/>
    <n v="5833"/>
    <n v="11933"/>
    <n v="10605"/>
    <n v="11933"/>
    <n v="0"/>
    <n v="0"/>
    <n v="0"/>
    <n v="1"/>
    <n v="0"/>
    <n v="0"/>
    <n v="11933"/>
    <n v="233"/>
  </r>
  <r>
    <s v="03/12/2013"/>
    <s v="AI0036297"/>
    <m/>
    <m/>
    <s v="Sethi   Anurag  Mr."/>
    <x v="24"/>
    <s v="9W"/>
    <s v="5894340476872"/>
    <s v="06-DEC-13"/>
    <n v="7950"/>
    <n v="3951"/>
    <n v="11901"/>
    <n v="10332"/>
    <n v="23834"/>
    <n v="0"/>
    <n v="0"/>
    <n v="0"/>
    <n v="1"/>
    <n v="0"/>
    <n v="0"/>
    <n v="23834"/>
    <n v="12434"/>
  </r>
  <r>
    <s v="22/01/2014"/>
    <s v="AI0042608"/>
    <m/>
    <m/>
    <s v="Shaikh   Arfa  Ms."/>
    <x v="35"/>
    <s v="9W"/>
    <s v="5894342458275"/>
    <s v="06-02-14"/>
    <n v="7400"/>
    <n v="3480"/>
    <n v="10880"/>
    <n v="11722"/>
    <n v="10880"/>
    <n v="0"/>
    <n v="0"/>
    <n v="1"/>
    <n v="0"/>
    <n v="0"/>
    <n v="10880"/>
    <n v="0"/>
    <n v="0"/>
  </r>
  <r>
    <s v="28/11/2013"/>
    <s v="AI0035737"/>
    <m/>
    <m/>
    <s v="Shailendra  Dhondiyal Mr."/>
    <x v="21"/>
    <s v="6E"/>
    <s v="6EPC8K6H"/>
    <s v="02-DEC-13"/>
    <n v="6150"/>
    <n v="5786"/>
    <n v="11936"/>
    <n v="10605"/>
    <n v="11936"/>
    <n v="0"/>
    <n v="0"/>
    <n v="0"/>
    <n v="1"/>
    <n v="0"/>
    <n v="0"/>
    <n v="11936"/>
    <n v="236"/>
  </r>
  <r>
    <s v="28/11/2013"/>
    <s v="AI0035607"/>
    <m/>
    <m/>
    <s v="Shailendra  Dhondiyal Mr."/>
    <x v="24"/>
    <s v="SG"/>
    <s v="775G7TVHG"/>
    <s v="02-DEC-13"/>
    <n v="8731"/>
    <n v="1421"/>
    <n v="10152"/>
    <n v="10332"/>
    <n v="10152"/>
    <n v="0"/>
    <n v="0"/>
    <n v="1"/>
    <n v="0"/>
    <n v="0"/>
    <n v="10152"/>
    <n v="0"/>
    <n v="0"/>
  </r>
  <r>
    <s v="09/04/2013"/>
    <s v="RA0000007"/>
    <m/>
    <s v="INTERNAL"/>
    <s v="Sharanjit  Singh Mr."/>
    <x v="0"/>
    <s v=""/>
    <s v="670706911"/>
    <s v="29-APR-13"/>
    <n v="637"/>
    <n v="112"/>
    <n v="749"/>
    <n v="749"/>
    <n v="749"/>
    <m/>
    <n v="0"/>
    <n v="1"/>
    <n v="0"/>
    <n v="0"/>
    <n v="749"/>
    <n v="0"/>
    <n v="0"/>
  </r>
  <r>
    <s v="31/05/2013"/>
    <s v="AI0009429"/>
    <m/>
    <m/>
    <s v="Sharanjit  Singh Mr."/>
    <x v="7"/>
    <s v="6E"/>
    <s v="6EWTLIDV"/>
    <s v="04-JUN-13"/>
    <n v="5924"/>
    <n v="1024"/>
    <n v="6948"/>
    <n v="7234"/>
    <n v="6948"/>
    <m/>
    <n v="0"/>
    <n v="1"/>
    <n v="0"/>
    <n v="0"/>
    <n v="6948"/>
    <n v="0"/>
    <n v="0"/>
  </r>
  <r>
    <s v="28/01/2014"/>
    <s v="AI0043720"/>
    <m/>
    <m/>
    <s v="Sharma  Rahul Mr."/>
    <x v="16"/>
    <s v="AI"/>
    <s v="0984342458475"/>
    <s v="30-01-14"/>
    <n v="11312"/>
    <n v="10066"/>
    <n v="21378"/>
    <n v="20521"/>
    <n v="21378"/>
    <n v="0"/>
    <n v="0"/>
    <n v="1"/>
    <n v="0"/>
    <n v="0"/>
    <n v="21378"/>
    <n v="0"/>
    <n v="0"/>
  </r>
  <r>
    <s v="03/02/2014"/>
    <s v="AI0044789"/>
    <m/>
    <m/>
    <s v="Sharma  Rahul Mr."/>
    <x v="16"/>
    <s v="6E"/>
    <s v="6ECCEC4E"/>
    <s v="04-02-14"/>
    <n v="17248"/>
    <n v="3332"/>
    <n v="20580"/>
    <n v="20521"/>
    <n v="20580"/>
    <n v="0"/>
    <n v="0"/>
    <n v="1"/>
    <n v="0"/>
    <n v="0"/>
    <n v="20580"/>
    <n v="0"/>
    <n v="0"/>
  </r>
  <r>
    <s v="04/07/2013"/>
    <s v="AI0014114"/>
    <m/>
    <m/>
    <s v="Shetty   Swetha S  Ms."/>
    <x v="6"/>
    <s v="AI"/>
    <s v="0983976120041"/>
    <s v="04/07/2013"/>
    <n v="950"/>
    <n v="2922"/>
    <n v="3872"/>
    <n v="7412.5"/>
    <n v="3872"/>
    <m/>
    <n v="1"/>
    <n v="0"/>
    <n v="0"/>
    <n v="3872"/>
    <n v="0"/>
    <n v="0"/>
    <n v="0"/>
  </r>
  <r>
    <s v="04/07/2013"/>
    <s v="AI0014114"/>
    <m/>
    <m/>
    <s v="Shetty   Swetha S  Ms."/>
    <x v="7"/>
    <s v="6E"/>
    <s v="6EY26QLQ2"/>
    <s v="04/07/2013"/>
    <n v="748"/>
    <n v="2572"/>
    <n v="3320"/>
    <n v="7234"/>
    <n v="3320"/>
    <m/>
    <n v="1"/>
    <n v="0"/>
    <n v="0"/>
    <n v="3320"/>
    <n v="0"/>
    <n v="0"/>
    <n v="0"/>
  </r>
  <r>
    <s v="08/10/2013"/>
    <s v="AI0028197"/>
    <m/>
    <m/>
    <s v="Shetty   Swetha S  Ms."/>
    <x v="97"/>
    <s v="9W"/>
    <s v="5894148057052"/>
    <s v="11-OCT-13"/>
    <n v="5400"/>
    <n v="18435"/>
    <n v="23835"/>
    <n v="23835"/>
    <n v="23835"/>
    <n v="0"/>
    <n v="0"/>
    <n v="1"/>
    <n v="0"/>
    <n v="0"/>
    <n v="23835"/>
    <n v="0"/>
    <n v="0"/>
  </r>
  <r>
    <s v="29/05/2013"/>
    <s v="AI0008918"/>
    <m/>
    <m/>
    <s v="Singh   Sharanjit  Mr."/>
    <x v="8"/>
    <s v="6E"/>
    <s v="6EATLSBN1"/>
    <s v="01-JUN-13"/>
    <n v="7719"/>
    <n v="6849"/>
    <n v="14568"/>
    <n v="14406"/>
    <n v="14568"/>
    <m/>
    <n v="0"/>
    <n v="1"/>
    <n v="0"/>
    <n v="0"/>
    <n v="14568"/>
    <n v="0"/>
    <n v="0"/>
  </r>
  <r>
    <s v="06/05/2013"/>
    <s v="AI0005385"/>
    <m/>
    <m/>
    <s v="Singh Damanbir Mr ."/>
    <x v="6"/>
    <s v="9W"/>
    <s v="5893973429849"/>
    <s v="08-MAY-13"/>
    <n v="4500"/>
    <n v="3171"/>
    <n v="7671"/>
    <n v="7412.5"/>
    <n v="7671"/>
    <m/>
    <n v="0"/>
    <n v="1"/>
    <n v="0"/>
    <n v="0"/>
    <n v="7671"/>
    <n v="0"/>
    <n v="0"/>
  </r>
  <r>
    <s v="26/07/2013"/>
    <s v="AI0017396"/>
    <m/>
    <m/>
    <s v="Singh Damanbir Mr ."/>
    <x v="6"/>
    <s v="9W"/>
    <s v="5894144546137"/>
    <s v="29-JUL-13"/>
    <n v="1638"/>
    <n v="1491"/>
    <n v="3129"/>
    <n v="7412.5"/>
    <n v="3129"/>
    <m/>
    <n v="1"/>
    <n v="0"/>
    <n v="0"/>
    <n v="3129"/>
    <n v="0"/>
    <n v="0"/>
    <n v="0"/>
  </r>
  <r>
    <s v="04/10/2013"/>
    <s v="AI0027614"/>
    <m/>
    <m/>
    <s v="Singh Damanbir Mr ."/>
    <x v="6"/>
    <s v="AI"/>
    <s v="0984147816597"/>
    <s v="09-OCT-13"/>
    <n v="4820"/>
    <n v="3136"/>
    <n v="7956"/>
    <n v="7412.5"/>
    <n v="7956"/>
    <n v="0"/>
    <n v="0"/>
    <n v="1"/>
    <n v="0"/>
    <n v="0"/>
    <n v="7956"/>
    <n v="0"/>
    <n v="0"/>
  </r>
  <r>
    <s v="08/11/2013"/>
    <s v="AI0032255"/>
    <m/>
    <m/>
    <s v="Singh Damanbir Mr ."/>
    <x v="6"/>
    <s v="9W"/>
    <s v="5894339562793"/>
    <s v="12-NOV-13"/>
    <n v="6100"/>
    <n v="1896"/>
    <n v="7996"/>
    <n v="7412.5"/>
    <n v="7996"/>
    <n v="0"/>
    <n v="0"/>
    <n v="1"/>
    <n v="0"/>
    <n v="0"/>
    <n v="7996"/>
    <n v="0"/>
    <n v="0"/>
  </r>
  <r>
    <s v="17/12/2013"/>
    <s v="AI0038321"/>
    <m/>
    <m/>
    <s v="Singh Damanbir Mr ."/>
    <x v="6"/>
    <s v="9W"/>
    <s v="5894341198520"/>
    <s v="20-DEC-13"/>
    <n v="5500"/>
    <n v="1887"/>
    <n v="7387"/>
    <n v="7412.5"/>
    <n v="7387"/>
    <n v="0"/>
    <n v="0"/>
    <n v="1"/>
    <n v="0"/>
    <n v="0"/>
    <n v="7387"/>
    <n v="0"/>
    <n v="0"/>
  </r>
  <r>
    <s v="08/01/2014"/>
    <s v="AI0040783"/>
    <m/>
    <m/>
    <s v="Singh Damanbir Mr ."/>
    <x v="21"/>
    <s v="9W"/>
    <s v="5894341890570"/>
    <s v="10-JAN-14"/>
    <n v="6400"/>
    <n v="4029"/>
    <n v="10429"/>
    <n v="10605"/>
    <n v="10429"/>
    <m/>
    <n v="0"/>
    <n v="1"/>
    <n v="0"/>
    <n v="0"/>
    <n v="10429"/>
    <n v="0"/>
    <n v="0"/>
  </r>
  <r>
    <s v="22/01/2014"/>
    <s v="AI0042791"/>
    <m/>
    <m/>
    <s v="Singh Damanbir Mr ."/>
    <x v="98"/>
    <s v="EK"/>
    <s v="1764342505684"/>
    <s v="26-01-14"/>
    <n v="27480"/>
    <n v="6820"/>
    <n v="34300"/>
    <n v="21300"/>
    <n v="34300"/>
    <n v="0"/>
    <n v="0"/>
    <n v="0"/>
    <n v="1"/>
    <n v="0"/>
    <n v="0"/>
    <n v="34300"/>
    <n v="10800"/>
  </r>
  <r>
    <s v="23/01/2014"/>
    <s v="AI0043076"/>
    <m/>
    <m/>
    <s v="Singh Damanbir Mr ."/>
    <x v="98"/>
    <s v="EK"/>
    <s v="1764342625833"/>
    <s v="26-01-14"/>
    <n v="0"/>
    <n v="8300"/>
    <n v="8300"/>
    <n v="21300"/>
    <n v="8300"/>
    <n v="0"/>
    <n v="1"/>
    <n v="0"/>
    <n v="0"/>
    <n v="8300"/>
    <n v="0"/>
    <n v="0"/>
    <n v="0"/>
  </r>
  <r>
    <s v="22/10/2013"/>
    <s v="AI0029984"/>
    <s v="AR0004500"/>
    <m/>
    <s v="Singh Damanbir Mr ."/>
    <x v="18"/>
    <s v="AI"/>
    <s v="0984339005500"/>
    <s v="25-10-13"/>
    <n v="2870"/>
    <n v="2714"/>
    <n v="5584"/>
    <n v="5161"/>
    <n v="5584"/>
    <n v="4431"/>
    <n v="0"/>
    <n v="1"/>
    <n v="0"/>
    <n v="0"/>
    <n v="5584"/>
    <n v="0"/>
    <n v="0"/>
  </r>
  <r>
    <s v="02/12/2013"/>
    <s v="AI0036242"/>
    <m/>
    <m/>
    <s v="Singh Damanbir Mr ."/>
    <x v="33"/>
    <s v="MH"/>
    <s v="2324340465220"/>
    <s v="04-DEC-13"/>
    <n v="31900"/>
    <n v="5100"/>
    <n v="37000"/>
    <n v="33500"/>
    <n v="37000"/>
    <n v="0"/>
    <n v="0"/>
    <n v="0"/>
    <n v="1"/>
    <n v="0"/>
    <n v="0"/>
    <n v="37000"/>
    <n v="100"/>
  </r>
  <r>
    <s v="31/01/2014"/>
    <s v="AI0044552"/>
    <m/>
    <m/>
    <s v="Singh Damanbir Mr ."/>
    <x v="33"/>
    <s v="MH"/>
    <s v="2324343027043"/>
    <s v="05-02-14"/>
    <n v="25775"/>
    <n v="7725"/>
    <n v="33500"/>
    <n v="33500"/>
    <n v="33500"/>
    <n v="0"/>
    <n v="0"/>
    <n v="1"/>
    <n v="0"/>
    <n v="0"/>
    <n v="33500"/>
    <n v="0"/>
    <n v="0"/>
  </r>
  <r>
    <s v="24/10/2013"/>
    <s v="AI0030316"/>
    <m/>
    <m/>
    <s v="Singh Damanbir Mr ."/>
    <x v="41"/>
    <s v="SG"/>
    <s v="775K4HSGC"/>
    <s v="24-10-13"/>
    <n v="4109"/>
    <n v="840"/>
    <n v="4949"/>
    <n v="5042"/>
    <n v="4949"/>
    <n v="0"/>
    <n v="0"/>
    <n v="1"/>
    <n v="0"/>
    <n v="0"/>
    <n v="4949"/>
    <n v="0"/>
    <n v="0"/>
  </r>
  <r>
    <s v="10/04/2013"/>
    <s v="AI0001564"/>
    <m/>
    <s v="INTERNAL"/>
    <s v="Singh Damanbir Mr ."/>
    <x v="7"/>
    <s v="9W"/>
    <s v="5893513821057"/>
    <s v="11-APR-13"/>
    <n v="3920"/>
    <n v="3222"/>
    <n v="7142"/>
    <n v="7234"/>
    <n v="7142"/>
    <m/>
    <n v="0"/>
    <n v="1"/>
    <n v="0"/>
    <n v="0"/>
    <n v="7142"/>
    <n v="0"/>
    <n v="0"/>
  </r>
  <r>
    <s v="06/05/2013"/>
    <s v="AI0005385"/>
    <m/>
    <m/>
    <s v="Singh Damanbir Mr ."/>
    <x v="7"/>
    <s v="9W"/>
    <s v="5893973429850"/>
    <s v="08-MAY-13"/>
    <n v="4500"/>
    <n v="3254"/>
    <n v="7754"/>
    <n v="7234"/>
    <n v="7754"/>
    <m/>
    <n v="0"/>
    <n v="1"/>
    <n v="0"/>
    <n v="0"/>
    <n v="7754"/>
    <n v="0"/>
    <n v="0"/>
  </r>
  <r>
    <s v="26/07/2013"/>
    <s v="AI0017396"/>
    <m/>
    <m/>
    <s v="Singh Damanbir Mr ."/>
    <x v="7"/>
    <s v="9W"/>
    <s v="5894144546138"/>
    <s v="30-JUL-13"/>
    <n v="1382"/>
    <n v="1612"/>
    <n v="2994"/>
    <n v="7234"/>
    <n v="2994"/>
    <m/>
    <n v="1"/>
    <n v="0"/>
    <n v="0"/>
    <n v="2994"/>
    <n v="0"/>
    <n v="0"/>
    <n v="0"/>
  </r>
  <r>
    <s v="12/09/2013"/>
    <s v="AI0024061"/>
    <m/>
    <m/>
    <s v="Singh Damanbir Mr ."/>
    <x v="7"/>
    <s v="9W"/>
    <s v="5894146982110"/>
    <s v="21-SEP-13"/>
    <n v="4560"/>
    <n v="1992"/>
    <n v="6552"/>
    <n v="7234"/>
    <n v="6552"/>
    <n v="0"/>
    <n v="0"/>
    <n v="1"/>
    <n v="0"/>
    <n v="0"/>
    <n v="6552"/>
    <n v="0"/>
    <n v="0"/>
  </r>
  <r>
    <s v="07/10/2013"/>
    <s v="AI0027915"/>
    <m/>
    <m/>
    <s v="Singh Damanbir Mr ."/>
    <x v="7"/>
    <s v="9W"/>
    <s v="5894147816654"/>
    <s v="10-OCT-13"/>
    <n v="6050"/>
    <n v="1976"/>
    <n v="8026"/>
    <n v="7234"/>
    <n v="8026"/>
    <n v="0"/>
    <n v="0"/>
    <n v="0"/>
    <n v="1"/>
    <n v="0"/>
    <n v="0"/>
    <n v="8026"/>
    <n v="26"/>
  </r>
  <r>
    <s v="25/11/2013"/>
    <s v="AI0034902"/>
    <m/>
    <m/>
    <s v="Singh Damanbir Mr ."/>
    <x v="7"/>
    <s v="9W"/>
    <s v="5894339996161"/>
    <s v="25-NOV-13"/>
    <n v="6100"/>
    <n v="1979"/>
    <n v="8079"/>
    <n v="7234"/>
    <n v="8079"/>
    <n v="0"/>
    <n v="0"/>
    <n v="0"/>
    <n v="1"/>
    <n v="0"/>
    <n v="0"/>
    <n v="8079"/>
    <n v="79"/>
  </r>
  <r>
    <s v="18/12/2013"/>
    <s v="AI0038339"/>
    <m/>
    <m/>
    <s v="Singh Damanbir Mr ."/>
    <x v="7"/>
    <s v="9W"/>
    <s v="5894340930189"/>
    <s v="20-DEC-13"/>
    <n v="6100"/>
    <n v="1979"/>
    <n v="8079"/>
    <n v="7234"/>
    <n v="8079"/>
    <n v="0"/>
    <n v="0"/>
    <n v="0"/>
    <n v="1"/>
    <n v="0"/>
    <n v="0"/>
    <n v="8079"/>
    <n v="79"/>
  </r>
  <r>
    <s v="11/11/2013"/>
    <s v="AI0032756"/>
    <m/>
    <m/>
    <s v="Singh Damanbir Mr ."/>
    <x v="10"/>
    <s v="6E"/>
    <s v="6ES3GVMA"/>
    <s v="13-NOV-13"/>
    <n v="4360"/>
    <n v="937"/>
    <n v="5297"/>
    <n v="5814"/>
    <n v="5297"/>
    <n v="0"/>
    <n v="0"/>
    <n v="1"/>
    <n v="0"/>
    <n v="0"/>
    <n v="5297"/>
    <n v="0"/>
    <n v="0"/>
  </r>
  <r>
    <s v="11/01/2014"/>
    <s v="AI0041224"/>
    <m/>
    <m/>
    <s v="Singh Damanbir Mr ."/>
    <x v="99"/>
    <s v="6E"/>
    <s v="6EW55F3P"/>
    <s v="12-JAN-14"/>
    <n v="8449"/>
    <n v="1583"/>
    <n v="10032"/>
    <n v="9855"/>
    <n v="10032"/>
    <m/>
    <n v="0"/>
    <n v="1"/>
    <n v="0"/>
    <n v="0"/>
    <n v="10032"/>
    <n v="0"/>
    <n v="0"/>
  </r>
  <r>
    <s v="06/01/2014"/>
    <s v="AI0040383"/>
    <m/>
    <m/>
    <s v="Singh Damanbir Mr ."/>
    <x v="19"/>
    <s v="AI"/>
    <s v="0984341697628"/>
    <s v="07-JAN-14"/>
    <n v="2870"/>
    <n v="2938"/>
    <n v="5808"/>
    <n v="5438"/>
    <n v="5808"/>
    <m/>
    <n v="0"/>
    <n v="1"/>
    <n v="0"/>
    <n v="0"/>
    <n v="5808"/>
    <n v="0"/>
    <n v="0"/>
  </r>
  <r>
    <s v="12/01/2014"/>
    <s v="AI0041247"/>
    <m/>
    <m/>
    <s v="Singh Damanbir Mr ."/>
    <x v="19"/>
    <s v="AI"/>
    <s v="0984342108761"/>
    <s v="14-JAN-14"/>
    <n v="3070"/>
    <n v="2949"/>
    <n v="6019"/>
    <n v="5438"/>
    <n v="6019"/>
    <m/>
    <n v="0"/>
    <n v="0"/>
    <n v="1"/>
    <n v="0"/>
    <n v="0"/>
    <n v="6019"/>
    <n v="19"/>
  </r>
  <r>
    <s v="10/02/2014"/>
    <s v="AI0045863"/>
    <m/>
    <m/>
    <s v="Singh Damanbir Mr ."/>
    <x v="19"/>
    <s v="6E"/>
    <s v="6ECYYMQN"/>
    <s v="11-02-14"/>
    <n v="3986"/>
    <n v="1057"/>
    <n v="5043"/>
    <n v="5438"/>
    <n v="5043"/>
    <n v="0"/>
    <n v="0"/>
    <n v="1"/>
    <n v="0"/>
    <n v="0"/>
    <n v="5043"/>
    <n v="0"/>
    <n v="0"/>
  </r>
  <r>
    <s v="21/11/2013"/>
    <s v="AI0034485"/>
    <m/>
    <m/>
    <s v="Singh Damanbir Mr ."/>
    <x v="12"/>
    <s v="9W"/>
    <s v="5894339996111"/>
    <s v="24-NOV-13"/>
    <n v="4100"/>
    <n v="1694"/>
    <n v="5794"/>
    <n v="5519"/>
    <n v="5794"/>
    <n v="0"/>
    <n v="0"/>
    <n v="1"/>
    <n v="0"/>
    <n v="0"/>
    <n v="5794"/>
    <n v="0"/>
    <n v="0"/>
  </r>
  <r>
    <s v="08/04/2013"/>
    <s v="AI0001213"/>
    <m/>
    <s v="INTERNAL"/>
    <s v="Singh Damanbir Mr ."/>
    <x v="100"/>
    <s v="6E"/>
    <s v="6EVR2SLP"/>
    <s v="09-APR-13"/>
    <n v="7455"/>
    <n v="774"/>
    <n v="8229"/>
    <n v="8229"/>
    <n v="8229"/>
    <m/>
    <n v="0"/>
    <n v="1"/>
    <n v="0"/>
    <n v="0"/>
    <n v="8229"/>
    <n v="0"/>
    <n v="0"/>
  </r>
  <r>
    <s v="08/02/2014"/>
    <s v="AI0045642"/>
    <m/>
    <m/>
    <s v="Singh Damanbir Mr ."/>
    <x v="101"/>
    <s v="6E"/>
    <s v="6EZBL2XA"/>
    <s v="09-02-14"/>
    <n v="15217"/>
    <n v="1205"/>
    <n v="16422"/>
    <n v="16422"/>
    <n v="16422"/>
    <n v="0"/>
    <n v="0"/>
    <n v="1"/>
    <n v="0"/>
    <n v="0"/>
    <n v="16422"/>
    <n v="0"/>
    <n v="0"/>
  </r>
  <r>
    <s v="24/10/2013"/>
    <s v="AI0030414"/>
    <m/>
    <m/>
    <s v="Singh Damanbir Mr ."/>
    <x v="102"/>
    <s v="CX"/>
    <s v="1604339031132/3"/>
    <s v="25-10-13"/>
    <n v="17135"/>
    <n v="23865"/>
    <n v="41000"/>
    <n v="41000"/>
    <n v="41000"/>
    <n v="0"/>
    <n v="0"/>
    <n v="1"/>
    <n v="0"/>
    <n v="0"/>
    <n v="41000"/>
    <n v="0"/>
    <n v="0"/>
  </r>
  <r>
    <s v="16/01/2014"/>
    <s v="VI0003505"/>
    <m/>
    <m/>
    <s v="Singh Damanbir Mr ."/>
    <x v="37"/>
    <s v=""/>
    <s v="Dubai"/>
    <s v=""/>
    <n v="4800"/>
    <n v="562"/>
    <n v="5362"/>
    <n v="5380"/>
    <n v="5362"/>
    <n v="0"/>
    <n v="0"/>
    <n v="1"/>
    <n v="0"/>
    <n v="0"/>
    <n v="5362"/>
    <n v="0"/>
    <n v="0"/>
  </r>
  <r>
    <s v="30/01/2014"/>
    <s v="AI0044071"/>
    <m/>
    <m/>
    <s v="Singh Hardeep Mr ."/>
    <x v="6"/>
    <s v="6E"/>
    <s v="6EFE6TVR"/>
    <s v="03-02-14"/>
    <n v="5766"/>
    <n v="1053"/>
    <n v="6819"/>
    <n v="7412.5"/>
    <n v="6819"/>
    <n v="0"/>
    <n v="0"/>
    <n v="1"/>
    <n v="0"/>
    <n v="0"/>
    <n v="6819"/>
    <n v="0"/>
    <n v="0"/>
  </r>
  <r>
    <s v="03/05/2013"/>
    <s v="AI0005116"/>
    <m/>
    <m/>
    <s v="Singh Hardeep Mr ."/>
    <x v="21"/>
    <s v="6E"/>
    <s v="6EPSCHCT"/>
    <s v="04-MAY-13"/>
    <n v="8256"/>
    <n v="1537"/>
    <n v="9793"/>
    <n v="10605"/>
    <n v="9793"/>
    <m/>
    <n v="0"/>
    <n v="1"/>
    <n v="0"/>
    <n v="0"/>
    <n v="9793"/>
    <n v="0"/>
    <n v="0"/>
  </r>
  <r>
    <s v="04/07/2013"/>
    <s v="AI0014353"/>
    <m/>
    <m/>
    <s v="Singh Hardeep Mr ."/>
    <x v="21"/>
    <s v="6E"/>
    <s v="6ED2WRDM"/>
    <s v="04/07/2013"/>
    <n v="8246"/>
    <n v="1535"/>
    <n v="9781"/>
    <n v="10605"/>
    <n v="9781"/>
    <m/>
    <n v="0"/>
    <n v="1"/>
    <n v="0"/>
    <n v="0"/>
    <n v="9781"/>
    <n v="0"/>
    <n v="0"/>
  </r>
  <r>
    <s v="12/07/2013"/>
    <s v="AI0015355"/>
    <m/>
    <m/>
    <s v="Singh Hardeep Mr ."/>
    <x v="21"/>
    <s v="6E"/>
    <s v="6EFZYGTH"/>
    <s v="12/07/2013"/>
    <n v="5314"/>
    <n v="1873"/>
    <n v="7187"/>
    <n v="10605"/>
    <n v="7187"/>
    <m/>
    <n v="1"/>
    <n v="0"/>
    <n v="0"/>
    <n v="7187"/>
    <n v="0"/>
    <n v="0"/>
    <n v="0"/>
  </r>
  <r>
    <s v="18/07/2013"/>
    <s v="AI0016073"/>
    <m/>
    <m/>
    <s v="Singh Hardeep Mr ."/>
    <x v="21"/>
    <s v="AI"/>
    <s v="0983976529150"/>
    <s v="21-JUL-13"/>
    <n v="4847"/>
    <n v="5179"/>
    <n v="10026"/>
    <n v="10605"/>
    <n v="10026"/>
    <m/>
    <n v="0"/>
    <n v="1"/>
    <n v="0"/>
    <n v="0"/>
    <n v="10026"/>
    <n v="0"/>
    <n v="0"/>
  </r>
  <r>
    <s v="03/09/2013"/>
    <s v="AI0022737"/>
    <m/>
    <m/>
    <s v="Singh Hardeep Mr ."/>
    <x v="21"/>
    <s v="AI"/>
    <s v="0984146422744"/>
    <s v="06-SEP-13"/>
    <n v="967"/>
    <n v="4438"/>
    <n v="5405"/>
    <n v="10605"/>
    <n v="5405"/>
    <n v="0"/>
    <n v="1"/>
    <n v="0"/>
    <n v="0"/>
    <n v="5405"/>
    <n v="0"/>
    <n v="0"/>
    <n v="0"/>
  </r>
  <r>
    <s v="22/10/2013"/>
    <s v="AI0030063"/>
    <m/>
    <m/>
    <s v="Singh Hardeep Mr ."/>
    <x v="21"/>
    <s v="6E"/>
    <s v="6EJ2URRV"/>
    <s v="24-10-13"/>
    <n v="9128"/>
    <n v="1585"/>
    <n v="10713"/>
    <n v="10605"/>
    <n v="10713"/>
    <n v="0"/>
    <n v="0"/>
    <n v="1"/>
    <n v="0"/>
    <n v="0"/>
    <n v="10713"/>
    <n v="0"/>
    <n v="0"/>
  </r>
  <r>
    <s v="07/11/2013"/>
    <s v="AI0031970"/>
    <s v="AR0004616"/>
    <m/>
    <s v="Singh Hardeep Mr ."/>
    <x v="21"/>
    <s v="6E"/>
    <s v="6EU3BZRT"/>
    <s v="09-NOV-13"/>
    <n v="9128"/>
    <n v="1585"/>
    <n v="10713"/>
    <n v="10605"/>
    <n v="10713"/>
    <n v="10613"/>
    <n v="0"/>
    <n v="1"/>
    <n v="0"/>
    <n v="0"/>
    <n v="10713"/>
    <n v="0"/>
    <n v="0"/>
  </r>
  <r>
    <s v="09/11/2013"/>
    <s v="AI0032323"/>
    <m/>
    <m/>
    <s v="Singh Hardeep Mr ."/>
    <x v="21"/>
    <s v="6E"/>
    <s v="6EP3C8RV"/>
    <s v="10-NOV-13"/>
    <n v="9128"/>
    <n v="1585"/>
    <n v="10713"/>
    <n v="10605"/>
    <n v="10713"/>
    <n v="0"/>
    <n v="0"/>
    <n v="1"/>
    <n v="0"/>
    <n v="0"/>
    <n v="10713"/>
    <n v="0"/>
    <n v="0"/>
  </r>
  <r>
    <s v="14/01/2014"/>
    <s v="AI0041789"/>
    <s v="AR0006233"/>
    <m/>
    <s v="Singh Hardeep Mr ."/>
    <x v="16"/>
    <s v="6E"/>
    <s v="6ES7R9RJ"/>
    <s v="17-JAN-14"/>
    <n v="17326"/>
    <n v="3339"/>
    <n v="20665"/>
    <n v="20521"/>
    <n v="20665"/>
    <n v="10064"/>
    <n v="0"/>
    <n v="1"/>
    <n v="0"/>
    <n v="0"/>
    <n v="20665"/>
    <n v="0"/>
    <n v="0"/>
  </r>
  <r>
    <s v="19/08/2013"/>
    <s v="AI0020738"/>
    <m/>
    <m/>
    <s v="Singh Hardeep Mr ."/>
    <x v="7"/>
    <s v="6E"/>
    <s v="6EP1EGMP"/>
    <s v="22-AUG-13"/>
    <n v="4003"/>
    <n v="917"/>
    <n v="4920"/>
    <n v="7234"/>
    <n v="4920"/>
    <n v="0"/>
    <n v="1"/>
    <n v="0"/>
    <n v="0"/>
    <n v="4920"/>
    <n v="0"/>
    <n v="0"/>
    <n v="0"/>
  </r>
  <r>
    <s v="16/09/2013"/>
    <s v="AI0024633"/>
    <m/>
    <m/>
    <s v="Singh Hardeep Mr ."/>
    <x v="22"/>
    <s v="6E"/>
    <s v="6EF24UPP"/>
    <s v="16-SEP-13"/>
    <n v="8449"/>
    <n v="1630"/>
    <n v="10079"/>
    <n v="10079"/>
    <n v="10079"/>
    <n v="0"/>
    <n v="0"/>
    <n v="1"/>
    <n v="0"/>
    <n v="0"/>
    <n v="10079"/>
    <n v="0"/>
    <n v="0"/>
  </r>
  <r>
    <s v="12/11/2013"/>
    <s v="AI0032825"/>
    <s v="AR0004828"/>
    <m/>
    <s v="Singh Hardeep Mr ."/>
    <x v="22"/>
    <s v="6E"/>
    <s v="6EX3GJSD"/>
    <s v="16-NOV-13"/>
    <n v="8449"/>
    <n v="1630"/>
    <n v="10079"/>
    <n v="10079"/>
    <n v="10079"/>
    <n v="9979"/>
    <n v="0"/>
    <n v="1"/>
    <n v="0"/>
    <n v="0"/>
    <n v="10079"/>
    <n v="0"/>
    <n v="0"/>
  </r>
  <r>
    <s v="14/11/2013"/>
    <s v="AI0033343"/>
    <m/>
    <m/>
    <s v="Singh Hardeep Mr ."/>
    <x v="22"/>
    <s v="6E"/>
    <s v="6EE3FGTW"/>
    <s v="21-NOV-13"/>
    <n v="8449"/>
    <n v="1630"/>
    <n v="10079"/>
    <n v="10079"/>
    <n v="10079"/>
    <n v="0"/>
    <n v="0"/>
    <n v="1"/>
    <n v="0"/>
    <n v="0"/>
    <n v="10079"/>
    <n v="0"/>
    <n v="0"/>
  </r>
  <r>
    <s v="15/11/2013"/>
    <s v="AI0033466"/>
    <m/>
    <m/>
    <s v="Singh Hardeep Mr ."/>
    <x v="22"/>
    <s v="6E"/>
    <s v="6EU3LETG"/>
    <s v="16-NOV-13"/>
    <n v="8449"/>
    <n v="1630"/>
    <n v="10079"/>
    <n v="10079"/>
    <n v="10079"/>
    <n v="0"/>
    <n v="0"/>
    <n v="1"/>
    <n v="0"/>
    <n v="0"/>
    <n v="10079"/>
    <n v="0"/>
    <n v="0"/>
  </r>
  <r>
    <s v="30/01/2014"/>
    <s v="AI0044072"/>
    <s v="AR0006562"/>
    <m/>
    <s v="Singh Hardeep Mr ."/>
    <x v="22"/>
    <s v="6E"/>
    <s v="6EY5VFXC"/>
    <s v="05-02-14"/>
    <n v="7959"/>
    <n v="1769"/>
    <n v="9728"/>
    <n v="10079"/>
    <n v="9728"/>
    <n v="9628"/>
    <n v="0"/>
    <n v="1"/>
    <n v="0"/>
    <n v="0"/>
    <n v="9728"/>
    <n v="0"/>
    <n v="0"/>
  </r>
  <r>
    <s v="04/02/2014"/>
    <s v="AI0045025"/>
    <m/>
    <m/>
    <s v="Singh Hardeep Mr ."/>
    <x v="22"/>
    <s v="6E"/>
    <s v="6EO9CHHD"/>
    <s v="06-02-14"/>
    <n v="7407"/>
    <n v="1572"/>
    <n v="8979"/>
    <n v="10079"/>
    <n v="8979"/>
    <n v="0"/>
    <n v="1"/>
    <n v="0"/>
    <n v="0"/>
    <n v="8979"/>
    <n v="0"/>
    <n v="0"/>
    <n v="0"/>
  </r>
  <r>
    <s v="25/09/2013"/>
    <s v="AI0026526"/>
    <m/>
    <m/>
    <s v="Singh Hardeep Mr ."/>
    <x v="103"/>
    <s v="BA"/>
    <s v="1254147397696"/>
    <s v="28-SEP-13"/>
    <n v="7420"/>
    <n v="5580"/>
    <n v="13000"/>
    <n v="13000"/>
    <n v="13000"/>
    <n v="0"/>
    <n v="0"/>
    <n v="1"/>
    <n v="0"/>
    <n v="0"/>
    <n v="13000"/>
    <n v="0"/>
    <n v="0"/>
  </r>
  <r>
    <s v="04/12/2013"/>
    <s v="AI0036498"/>
    <m/>
    <m/>
    <s v="Singh Hardeep Mr ."/>
    <x v="104"/>
    <s v="SN"/>
    <s v="0824340624893"/>
    <s v="15-DEC-13"/>
    <n v="10110"/>
    <n v="13436"/>
    <n v="23546"/>
    <n v="23546"/>
    <n v="134680"/>
    <n v="0"/>
    <n v="0"/>
    <n v="0"/>
    <n v="1"/>
    <n v="0"/>
    <n v="0"/>
    <n v="134680"/>
    <n v="108680"/>
  </r>
  <r>
    <s v="04/12/2013"/>
    <s v="AI0036498"/>
    <m/>
    <m/>
    <s v="Singh Hardeep Mr ."/>
    <x v="105"/>
    <s v="DE"/>
    <s v="881EM3LIT7"/>
    <s v="13-DEC-13"/>
    <n v="6561"/>
    <n v="5231"/>
    <n v="11792"/>
    <n v="11792"/>
    <n v="11792"/>
    <n v="0"/>
    <n v="0"/>
    <n v="1"/>
    <n v="0"/>
    <n v="0"/>
    <n v="11792"/>
    <n v="0"/>
    <n v="0"/>
  </r>
  <r>
    <s v="28/06/2013"/>
    <s v="AI0013302"/>
    <m/>
    <m/>
    <s v="Singh Hardeep Mr ."/>
    <x v="24"/>
    <s v="6E"/>
    <s v="6EDV73CP"/>
    <s v="03-JUL-13"/>
    <n v="8296"/>
    <n v="1398"/>
    <n v="9694"/>
    <n v="10332"/>
    <n v="9694"/>
    <m/>
    <n v="0"/>
    <n v="1"/>
    <n v="0"/>
    <n v="0"/>
    <n v="9694"/>
    <n v="0"/>
    <n v="0"/>
  </r>
  <r>
    <s v="08/07/2013"/>
    <s v="AI0014699"/>
    <m/>
    <m/>
    <s v="Singh Hardeep Mr ."/>
    <x v="24"/>
    <s v="6E"/>
    <s v="6EZZ5SMX"/>
    <s v="08/07/2013"/>
    <n v="8296"/>
    <n v="1398"/>
    <n v="9694"/>
    <n v="10332"/>
    <n v="9694"/>
    <m/>
    <n v="0"/>
    <n v="1"/>
    <n v="0"/>
    <n v="0"/>
    <n v="9694"/>
    <n v="0"/>
    <n v="0"/>
  </r>
  <r>
    <s v="15/10/2013"/>
    <s v="AI0029070"/>
    <m/>
    <m/>
    <s v="Singh Hardeep Mr ."/>
    <x v="24"/>
    <s v="6E"/>
    <s v="6EY2QUMN"/>
    <s v="16-OCT-13"/>
    <n v="9178"/>
    <n v="1446"/>
    <n v="10624"/>
    <n v="10332"/>
    <n v="10624"/>
    <n v="0"/>
    <n v="0"/>
    <n v="1"/>
    <n v="0"/>
    <n v="0"/>
    <n v="10624"/>
    <n v="0"/>
    <n v="0"/>
  </r>
  <r>
    <s v="03/11/2013"/>
    <s v="AI0031442"/>
    <m/>
    <m/>
    <s v="Singh Hardeep Mr ."/>
    <x v="24"/>
    <s v="6E"/>
    <s v="6EX35RPS"/>
    <s v="04-NOV-13"/>
    <n v="9178"/>
    <n v="1446"/>
    <n v="10624"/>
    <n v="10332"/>
    <n v="10624"/>
    <n v="0"/>
    <n v="0"/>
    <n v="1"/>
    <n v="0"/>
    <n v="0"/>
    <n v="10624"/>
    <n v="0"/>
    <n v="0"/>
  </r>
  <r>
    <s v="21/01/2014"/>
    <s v="AI0042048"/>
    <m/>
    <m/>
    <s v="Singh Hardeep Mr ."/>
    <x v="24"/>
    <s v="6E"/>
    <s v="6ETD1B2U"/>
    <s v="25-01-14"/>
    <n v="8688"/>
    <n v="1601"/>
    <n v="10289"/>
    <n v="10332"/>
    <n v="10289"/>
    <n v="0"/>
    <n v="0"/>
    <n v="1"/>
    <n v="0"/>
    <n v="0"/>
    <n v="10289"/>
    <n v="0"/>
    <n v="0"/>
  </r>
  <r>
    <s v="26/04/2013"/>
    <s v="AI0004304"/>
    <s v="AR0000604"/>
    <m/>
    <s v="Singh Hardeep Mr ."/>
    <x v="71"/>
    <s v="6E"/>
    <s v="6EZS6IAM"/>
    <s v="30-APR-13"/>
    <n v="16562"/>
    <n v="2933"/>
    <n v="19495"/>
    <n v="19495"/>
    <n v="19495"/>
    <n v="19295"/>
    <n v="0"/>
    <n v="1"/>
    <n v="0"/>
    <n v="0"/>
    <n v="19495"/>
    <n v="0"/>
    <n v="0"/>
  </r>
  <r>
    <s v="29/04/2013"/>
    <s v="AI0004455"/>
    <m/>
    <m/>
    <s v="Singh Hardeep Mr ."/>
    <x v="71"/>
    <s v="6E"/>
    <s v="6ELS8EBT"/>
    <s v="02-MAY-13"/>
    <n v="16562"/>
    <n v="2933"/>
    <n v="19495"/>
    <n v="19495"/>
    <n v="19495"/>
    <m/>
    <n v="0"/>
    <n v="1"/>
    <n v="0"/>
    <n v="0"/>
    <n v="19495"/>
    <n v="0"/>
    <n v="0"/>
  </r>
  <r>
    <s v="04/07/2013"/>
    <s v="AI0014355"/>
    <m/>
    <m/>
    <s v="Singh Hardeep Mr ."/>
    <x v="71"/>
    <s v="6E"/>
    <s v="6EH761LR"/>
    <s v="04/07/2013"/>
    <n v="16542"/>
    <n v="2932"/>
    <n v="19474"/>
    <n v="19495"/>
    <n v="19474"/>
    <m/>
    <n v="0"/>
    <n v="1"/>
    <n v="0"/>
    <n v="0"/>
    <n v="19474"/>
    <n v="0"/>
    <n v="0"/>
  </r>
  <r>
    <s v="30/10/2013"/>
    <s v="AI0031078"/>
    <s v="AR0004463"/>
    <m/>
    <s v="Singh Hardeep Mr ."/>
    <x v="71"/>
    <s v="6E"/>
    <s v="6EB34ESM"/>
    <s v="05-11-13"/>
    <n v="18306"/>
    <n v="3030"/>
    <n v="21336"/>
    <n v="19495"/>
    <n v="21336"/>
    <n v="10399"/>
    <n v="0"/>
    <n v="1"/>
    <n v="0"/>
    <n v="0"/>
    <n v="21336"/>
    <n v="0"/>
    <n v="0"/>
  </r>
  <r>
    <s v="19/08/2013"/>
    <s v="AI0020737"/>
    <s v="AR0002969"/>
    <m/>
    <s v="Singh Hardeep Mr ."/>
    <x v="25"/>
    <s v="6E"/>
    <s v="6EL1E6SF"/>
    <s v="21-AUG-13"/>
    <n v="4983"/>
    <n v="1214"/>
    <n v="6197"/>
    <n v="9855"/>
    <n v="6197"/>
    <n v="6097"/>
    <n v="1"/>
    <n v="0"/>
    <n v="0"/>
    <n v="6197"/>
    <n v="0"/>
    <n v="0"/>
    <n v="0"/>
  </r>
  <r>
    <s v="20/08/2013"/>
    <s v="AI0020739"/>
    <m/>
    <m/>
    <s v="Singh Hardeep Mr ."/>
    <x v="25"/>
    <s v="6E"/>
    <s v="6EM1C9TE"/>
    <s v="21-AUG-13"/>
    <n v="4983"/>
    <n v="1214"/>
    <n v="6197"/>
    <n v="9855"/>
    <n v="6197"/>
    <n v="0"/>
    <n v="1"/>
    <n v="0"/>
    <n v="0"/>
    <n v="6197"/>
    <n v="0"/>
    <n v="0"/>
    <n v="0"/>
  </r>
  <r>
    <s v="14/11/2013"/>
    <s v="AI0033342"/>
    <m/>
    <m/>
    <s v="Singh Hardeep Mr ."/>
    <x v="25"/>
    <s v="6E"/>
    <s v="6ED3ECTD"/>
    <s v="19-NOV-13"/>
    <n v="8449"/>
    <n v="1406"/>
    <n v="9855"/>
    <n v="9855"/>
    <n v="9855"/>
    <n v="0"/>
    <n v="0"/>
    <n v="1"/>
    <n v="0"/>
    <n v="0"/>
    <n v="9855"/>
    <n v="0"/>
    <n v="0"/>
  </r>
  <r>
    <s v="18/11/2013"/>
    <s v="AI0034070"/>
    <s v="AR0004967"/>
    <m/>
    <s v="Singh Hardeep Mr ."/>
    <x v="25"/>
    <s v="6E"/>
    <s v="6EM9SL2N"/>
    <s v="19-NOV-13"/>
    <n v="8449"/>
    <n v="1406"/>
    <n v="9855"/>
    <n v="9855"/>
    <n v="9855"/>
    <n v="9755"/>
    <n v="0"/>
    <n v="1"/>
    <n v="0"/>
    <n v="0"/>
    <n v="9855"/>
    <n v="0"/>
    <n v="0"/>
  </r>
  <r>
    <s v="06/09/2013"/>
    <s v="AI0023380"/>
    <m/>
    <m/>
    <s v="Singh Hardeep Mr ."/>
    <x v="106"/>
    <s v="6E"/>
    <s v="6EH1UURM"/>
    <s v="11-SEP-13"/>
    <n v="16898"/>
    <n v="3034"/>
    <n v="19932"/>
    <n v="19932"/>
    <n v="19932"/>
    <n v="0"/>
    <n v="0"/>
    <n v="1"/>
    <n v="0"/>
    <n v="0"/>
    <n v="19932"/>
    <n v="0"/>
    <n v="0"/>
  </r>
  <r>
    <s v="11/09/2013"/>
    <s v="AI0023923"/>
    <s v="AR0003391"/>
    <m/>
    <s v="Singh Hardeep Mr ."/>
    <x v="106"/>
    <s v="6E"/>
    <s v="6ED22PMH"/>
    <s v="15-SEP-13"/>
    <n v="16898"/>
    <n v="3034"/>
    <n v="19932"/>
    <n v="19932"/>
    <n v="19932"/>
    <n v="9954"/>
    <n v="0"/>
    <n v="1"/>
    <n v="0"/>
    <n v="0"/>
    <n v="19932"/>
    <n v="0"/>
    <n v="0"/>
  </r>
  <r>
    <s v="29/11/2013"/>
    <s v="AI0035621"/>
    <m/>
    <m/>
    <s v="Singh Hardeep Mr ."/>
    <x v="106"/>
    <s v="6E"/>
    <s v="6EPCLZ2U"/>
    <s v="03-DEC-13"/>
    <n v="15918"/>
    <n v="2981"/>
    <n v="18899"/>
    <n v="19932"/>
    <n v="18899"/>
    <n v="0"/>
    <n v="0"/>
    <n v="1"/>
    <n v="0"/>
    <n v="0"/>
    <n v="18899"/>
    <n v="0"/>
    <n v="0"/>
  </r>
  <r>
    <s v="12/11/2013"/>
    <s v="AI0032824"/>
    <m/>
    <m/>
    <s v="Singh Hardeep Mr ."/>
    <x v="99"/>
    <s v="6E"/>
    <s v="6EG3G4TR"/>
    <s v="14-NOV-13"/>
    <n v="8449"/>
    <n v="1406"/>
    <n v="9855"/>
    <n v="9855"/>
    <n v="9855"/>
    <n v="0"/>
    <n v="0"/>
    <n v="1"/>
    <n v="0"/>
    <n v="0"/>
    <n v="9855"/>
    <n v="0"/>
    <n v="0"/>
  </r>
  <r>
    <s v="24/02/2014"/>
    <s v="AI0047812"/>
    <m/>
    <m/>
    <s v="Singh Hardeep Mr ."/>
    <x v="99"/>
    <s v="6E"/>
    <s v="6EY8KU9G"/>
    <s v="26-FEB-14"/>
    <n v="7383"/>
    <n v="1346"/>
    <n v="8729"/>
    <n v="9855"/>
    <n v="8729"/>
    <e v="#REF!"/>
    <n v="1"/>
    <n v="0"/>
    <n v="0"/>
    <n v="8729"/>
    <n v="0"/>
    <n v="0"/>
    <n v="0"/>
  </r>
  <r>
    <s v="31/01/2014"/>
    <s v="AI0044548"/>
    <m/>
    <m/>
    <s v="Singh Hardeep Mr ."/>
    <x v="107"/>
    <s v="AI"/>
    <s v="0984343030661"/>
    <s v="11-02-14"/>
    <n v="2500"/>
    <n v="49300"/>
    <n v="51800"/>
    <n v="51800"/>
    <n v="51800"/>
    <n v="0"/>
    <n v="0"/>
    <n v="1"/>
    <n v="0"/>
    <n v="0"/>
    <n v="51800"/>
    <n v="0"/>
    <n v="0"/>
  </r>
  <r>
    <s v="04/12/2013"/>
    <s v="AI0036498"/>
    <m/>
    <m/>
    <s v="Singh Hardeep Mr ."/>
    <x v="108"/>
    <s v="AI"/>
    <s v="0984340655368"/>
    <s v="10-DEC-13"/>
    <n v="33150"/>
    <n v="66192"/>
    <n v="99342"/>
    <n v="99342"/>
    <n v="99342"/>
    <n v="0"/>
    <n v="0"/>
    <n v="1"/>
    <n v="0"/>
    <n v="0"/>
    <n v="99342"/>
    <n v="0"/>
    <n v="0"/>
  </r>
  <r>
    <s v="31/01/2014"/>
    <s v="AI0044550"/>
    <m/>
    <m/>
    <s v="Singh Hardeep Mr ."/>
    <x v="11"/>
    <s v="SK"/>
    <s v="1174343027206"/>
    <s v="18-02-14"/>
    <n v="13215"/>
    <n v="8785"/>
    <n v="22000"/>
    <n v="21000"/>
    <n v="22000"/>
    <n v="0"/>
    <n v="0"/>
    <n v="1"/>
    <n v="0"/>
    <n v="0"/>
    <n v="22000"/>
    <n v="0"/>
    <n v="0"/>
  </r>
  <r>
    <s v="24/02/2014"/>
    <s v="AI0047813"/>
    <m/>
    <m/>
    <s v="Singh Hardeep Mr ."/>
    <x v="19"/>
    <s v="6E"/>
    <s v="6EQ6F5GM"/>
    <s v="28-FEB-14"/>
    <n v="3965"/>
    <n v="1056"/>
    <n v="5021"/>
    <n v="5438"/>
    <n v="5021"/>
    <e v="#REF!"/>
    <n v="0"/>
    <n v="1"/>
    <n v="0"/>
    <n v="0"/>
    <n v="5021"/>
    <n v="0"/>
    <n v="0"/>
  </r>
  <r>
    <s v="12/11/2013"/>
    <s v="AI0032790"/>
    <m/>
    <m/>
    <s v="Singh Hardeep Mr ."/>
    <x v="12"/>
    <s v="9W"/>
    <s v="5894339562874"/>
    <s v="15-NOV-13"/>
    <n v="4300"/>
    <n v="1705"/>
    <n v="6005"/>
    <n v="5519"/>
    <n v="6005"/>
    <n v="0"/>
    <n v="0"/>
    <n v="1"/>
    <n v="0"/>
    <n v="0"/>
    <n v="6005"/>
    <n v="0"/>
    <n v="0"/>
  </r>
  <r>
    <s v="31/01/2014"/>
    <s v="AI0044549"/>
    <m/>
    <m/>
    <s v="Singh Hardeep Mr ."/>
    <x v="109"/>
    <s v="BA"/>
    <s v="1254343077906"/>
    <s v="11-02-14"/>
    <n v="7850"/>
    <n v="12150"/>
    <n v="20000"/>
    <n v="20000"/>
    <n v="20000"/>
    <n v="0"/>
    <n v="0"/>
    <n v="1"/>
    <n v="0"/>
    <n v="0"/>
    <n v="20000"/>
    <n v="0"/>
    <n v="0"/>
  </r>
  <r>
    <s v="03/10/2013"/>
    <s v="AI0027352"/>
    <m/>
    <m/>
    <s v="Singh Hardeep Mr ."/>
    <x v="110"/>
    <s v="AI"/>
    <s v="0984147851267"/>
    <s v="08-OCT-13"/>
    <n v="0"/>
    <n v="6500"/>
    <n v="6500"/>
    <n v="3250"/>
    <n v="6500"/>
    <n v="0"/>
    <n v="0"/>
    <n v="0"/>
    <n v="1"/>
    <n v="0"/>
    <n v="0"/>
    <n v="6500"/>
    <n v="2900"/>
  </r>
  <r>
    <s v="04/12/2013"/>
    <s v="AI0036498"/>
    <m/>
    <m/>
    <s v="Singh Hardeep Mr ."/>
    <x v="110"/>
    <s v="AI"/>
    <s v="0984340655369"/>
    <s v="24-DEC-13"/>
    <n v="0"/>
    <n v="0"/>
    <n v="0"/>
    <n v="3250"/>
    <n v="0"/>
    <n v="0"/>
    <n v="1"/>
    <n v="0"/>
    <n v="0"/>
    <n v="0"/>
    <n v="0"/>
    <n v="0"/>
    <n v="0"/>
  </r>
  <r>
    <s v="31/01/2014"/>
    <s v="AI0044605"/>
    <m/>
    <m/>
    <s v="Singh Hardeep Mr ."/>
    <x v="111"/>
    <s v="LX"/>
    <s v="7244342896325"/>
    <s v="14-02-14"/>
    <n v="15485"/>
    <n v="23315"/>
    <n v="38800"/>
    <n v="38800"/>
    <n v="38800"/>
    <n v="0"/>
    <n v="0"/>
    <n v="1"/>
    <n v="0"/>
    <n v="0"/>
    <n v="38800"/>
    <n v="0"/>
    <n v="0"/>
  </r>
  <r>
    <s v="23/04/2013"/>
    <s v="AI0003767"/>
    <s v="AR0000578"/>
    <m/>
    <s v="Sivaraman   Nirupama  Ms."/>
    <x v="6"/>
    <s v="6E"/>
    <s v="6EBRVHDW2"/>
    <s v="27-APR-13"/>
    <n v="3720"/>
    <n v="3336"/>
    <n v="7056"/>
    <n v="7412.5"/>
    <n v="7056"/>
    <n v="5956"/>
    <n v="0"/>
    <n v="1"/>
    <n v="0"/>
    <n v="0"/>
    <n v="7056"/>
    <n v="0"/>
    <n v="0"/>
  </r>
  <r>
    <s v="25/04/2013"/>
    <s v="AI0004131"/>
    <m/>
    <m/>
    <s v="Sivaraman   Nirupama  Ms."/>
    <x v="6"/>
    <s v="AI"/>
    <s v="0983972579137"/>
    <s v="27-APR-13"/>
    <n v="3940"/>
    <n v="3088"/>
    <n v="7028"/>
    <n v="7412.5"/>
    <n v="7028"/>
    <m/>
    <n v="0"/>
    <n v="1"/>
    <n v="0"/>
    <n v="0"/>
    <n v="7028"/>
    <n v="0"/>
    <n v="0"/>
  </r>
  <r>
    <s v="23/04/2013"/>
    <s v="AI0003767"/>
    <m/>
    <m/>
    <s v="Sivaraman   Nirupama  Ms."/>
    <x v="7"/>
    <s v="SG"/>
    <s v="775H76I8G1"/>
    <s v="26-APR-13"/>
    <n v="5299"/>
    <n v="3667"/>
    <n v="8966"/>
    <n v="7234"/>
    <n v="8966"/>
    <m/>
    <n v="0"/>
    <n v="0"/>
    <n v="1"/>
    <n v="0"/>
    <n v="0"/>
    <n v="8966"/>
    <n v="966"/>
  </r>
  <r>
    <s v="12/04/2013"/>
    <s v="AI0001702"/>
    <m/>
    <s v="INTERNAL"/>
    <s v="Somaiya   Jigna  Ms."/>
    <x v="112"/>
    <s v="AI"/>
    <s v="0983513821090"/>
    <s v="16-APR-13"/>
    <n v="2300"/>
    <n v="2554"/>
    <n v="4854"/>
    <n v="4854"/>
    <n v="4854"/>
    <m/>
    <n v="0"/>
    <n v="1"/>
    <n v="0"/>
    <n v="0"/>
    <n v="4854"/>
    <n v="0"/>
    <n v="0"/>
  </r>
  <r>
    <s v="02/04/2013"/>
    <s v="AI0000187"/>
    <m/>
    <s v="INTERNAL"/>
    <s v="Somaiya   Jigna  Ms."/>
    <x v="6"/>
    <s v="SG"/>
    <s v="775ZHS3CR2"/>
    <s v="06-APR-13"/>
    <n v="2978"/>
    <n v="3136"/>
    <n v="6114"/>
    <n v="7412.5"/>
    <n v="6114"/>
    <m/>
    <n v="1"/>
    <n v="0"/>
    <n v="0"/>
    <n v="6114"/>
    <n v="0"/>
    <n v="0"/>
    <n v="0"/>
  </r>
  <r>
    <s v="30/05/2013"/>
    <s v="AI0009026"/>
    <m/>
    <m/>
    <s v="Somaiya   Jigna  Ms."/>
    <x v="6"/>
    <s v="6E"/>
    <s v="6EMT68LN2"/>
    <s v="08-JUN-13"/>
    <n v="2740"/>
    <n v="3220"/>
    <n v="5960"/>
    <n v="7412.5"/>
    <n v="5960"/>
    <m/>
    <n v="1"/>
    <n v="0"/>
    <n v="0"/>
    <n v="5960"/>
    <n v="0"/>
    <n v="0"/>
    <n v="0"/>
  </r>
  <r>
    <s v="12/04/2013"/>
    <s v="AI0001702"/>
    <m/>
    <s v="INTERNAL"/>
    <s v="Somaiya   Jigna  Ms."/>
    <x v="50"/>
    <s v="6E"/>
    <s v="6EDR65AM1"/>
    <s v="15-APR-13"/>
    <n v="2140"/>
    <n v="2960"/>
    <n v="5100"/>
    <n v="3186"/>
    <n v="5100"/>
    <m/>
    <n v="0"/>
    <n v="0"/>
    <n v="1"/>
    <n v="0"/>
    <n v="0"/>
    <n v="5100"/>
    <n v="1500"/>
  </r>
  <r>
    <s v="02/04/2013"/>
    <s v="AI0000187"/>
    <m/>
    <s v="INTERNAL"/>
    <s v="Somaiya   Jigna  Ms."/>
    <x v="7"/>
    <s v="6E"/>
    <s v="6EFQNEDT1"/>
    <s v="05-APR-13"/>
    <n v="3039"/>
    <n v="3289"/>
    <n v="6328"/>
    <n v="7234"/>
    <n v="6328"/>
    <m/>
    <n v="1"/>
    <n v="0"/>
    <n v="0"/>
    <n v="6328"/>
    <n v="0"/>
    <n v="0"/>
    <n v="0"/>
  </r>
  <r>
    <s v="30/05/2013"/>
    <s v="AI0009026"/>
    <m/>
    <m/>
    <s v="Somaiya   Jigna  Ms."/>
    <x v="7"/>
    <s v="9W"/>
    <s v="5893974400146"/>
    <s v="07-JUN-13"/>
    <n v="3950"/>
    <n v="3171"/>
    <n v="7121"/>
    <n v="7234"/>
    <n v="7121"/>
    <m/>
    <n v="0"/>
    <n v="1"/>
    <n v="0"/>
    <n v="0"/>
    <n v="7121"/>
    <n v="0"/>
    <n v="0"/>
  </r>
  <r>
    <s v="24/04/2013"/>
    <s v="AI0003774"/>
    <m/>
    <m/>
    <s v="Somaiya   Jigna  Ms."/>
    <x v="35"/>
    <s v="SG"/>
    <s v="775B4IT2M1"/>
    <s v="03-MAY-13"/>
    <n v="9598"/>
    <n v="7071"/>
    <n v="16669"/>
    <n v="11722"/>
    <n v="16669"/>
    <m/>
    <n v="0"/>
    <n v="0"/>
    <n v="1"/>
    <n v="0"/>
    <n v="0"/>
    <n v="16669"/>
    <n v="3769"/>
  </r>
  <r>
    <s v="14/02/2014"/>
    <s v="AI0046490"/>
    <m/>
    <m/>
    <s v="Sridhar V Mr."/>
    <x v="28"/>
    <s v="6E"/>
    <s v="6EHYR8VN"/>
    <s v="23-02-14"/>
    <n v="8617"/>
    <n v="963"/>
    <n v="9580"/>
    <n v="9066"/>
    <n v="9580"/>
    <n v="0"/>
    <n v="0"/>
    <n v="1"/>
    <n v="0"/>
    <n v="0"/>
    <n v="9580"/>
    <n v="0"/>
    <n v="0"/>
  </r>
  <r>
    <s v="17/02/2014"/>
    <s v="AI0046872"/>
    <m/>
    <m/>
    <s v="Sridhar V Mr."/>
    <x v="39"/>
    <s v="6E"/>
    <s v="6EZ37PMY"/>
    <s v="21-FEB-14"/>
    <n v="8543"/>
    <n v="1086"/>
    <n v="9629"/>
    <n v="9477"/>
    <n v="9629"/>
    <e v="#REF!"/>
    <n v="0"/>
    <n v="1"/>
    <n v="0"/>
    <n v="0"/>
    <n v="9629"/>
    <n v="0"/>
    <n v="0"/>
  </r>
  <r>
    <s v="09/04/2013"/>
    <s v="AI0001525"/>
    <m/>
    <s v="INTERNAL"/>
    <s v="Sridhar V Mr."/>
    <x v="6"/>
    <s v="AI"/>
    <s v="0983513857273"/>
    <s v="12-APR-13"/>
    <n v="4400"/>
    <n v="3112"/>
    <n v="7512"/>
    <n v="7412.5"/>
    <n v="7512"/>
    <m/>
    <n v="0"/>
    <n v="1"/>
    <n v="0"/>
    <n v="0"/>
    <n v="7512"/>
    <n v="0"/>
    <n v="0"/>
  </r>
  <r>
    <s v="15/05/2013"/>
    <s v="AI0006762"/>
    <m/>
    <m/>
    <s v="Sridhar V Mr."/>
    <x v="16"/>
    <s v="6E"/>
    <s v="6EUSPGAN"/>
    <s v="20-MAY-13"/>
    <n v="16562"/>
    <n v="2933"/>
    <n v="19495"/>
    <n v="20521"/>
    <n v="19495"/>
    <m/>
    <n v="0"/>
    <n v="1"/>
    <n v="0"/>
    <n v="0"/>
    <n v="19495"/>
    <n v="0"/>
    <n v="0"/>
  </r>
  <r>
    <s v="02/12/2013"/>
    <s v="AI0036057"/>
    <m/>
    <m/>
    <s v="Sridhar V Mr."/>
    <x v="18"/>
    <s v="6E"/>
    <s v="6EXB6STA"/>
    <s v="18-DEC-13"/>
    <n v="4310"/>
    <n v="851"/>
    <n v="5161"/>
    <n v="5161"/>
    <n v="10322"/>
    <n v="0"/>
    <n v="0"/>
    <n v="0"/>
    <n v="1"/>
    <n v="0"/>
    <n v="0"/>
    <n v="10322"/>
    <n v="4622"/>
  </r>
  <r>
    <s v="03/12/2013"/>
    <s v="AI0036499"/>
    <m/>
    <m/>
    <s v="Sridhar V Mr."/>
    <x v="113"/>
    <s v="BA"/>
    <s v="1254340624826"/>
    <s v="11-JAN-14"/>
    <n v="64280"/>
    <n v="50720"/>
    <n v="115000"/>
    <n v="115000"/>
    <n v="115000"/>
    <n v="0"/>
    <n v="0"/>
    <n v="1"/>
    <n v="0"/>
    <n v="0"/>
    <n v="115000"/>
    <n v="0"/>
    <n v="0"/>
  </r>
  <r>
    <s v="30/01/2014"/>
    <s v="AI0044075"/>
    <m/>
    <m/>
    <s v="Sridhar V Mr."/>
    <x v="40"/>
    <s v="6E"/>
    <s v="6EL83WWW"/>
    <s v="03-02-14"/>
    <n v="23803"/>
    <n v="2792"/>
    <n v="26595"/>
    <n v="20677"/>
    <n v="26595"/>
    <n v="0"/>
    <n v="0"/>
    <n v="0"/>
    <n v="1"/>
    <n v="0"/>
    <n v="0"/>
    <n v="26595"/>
    <n v="3795"/>
  </r>
  <r>
    <s v="09/04/2013"/>
    <s v="AI0002983"/>
    <s v="AR00000388"/>
    <s v="INTERNAL"/>
    <s v="Sridhar V Mr."/>
    <x v="7"/>
    <s v="SG"/>
    <s v="775JHQUAW"/>
    <s v="12-APR-13"/>
    <n v="5672"/>
    <n v="1010"/>
    <n v="6682"/>
    <n v="7234"/>
    <n v="6682"/>
    <n v="6582"/>
    <n v="0"/>
    <n v="1"/>
    <n v="0"/>
    <n v="0"/>
    <n v="6682"/>
    <n v="0"/>
    <n v="0"/>
  </r>
  <r>
    <s v="12/04/2013"/>
    <s v="AI0001739"/>
    <m/>
    <s v="INTERNAL"/>
    <s v="Sridhar V Mr."/>
    <x v="7"/>
    <s v="6E"/>
    <s v="6EZRZTLP"/>
    <s v="12-APR-13"/>
    <n v="8699"/>
    <n v="1178"/>
    <n v="9877"/>
    <n v="7234"/>
    <n v="9877"/>
    <m/>
    <n v="0"/>
    <n v="0"/>
    <n v="1"/>
    <n v="0"/>
    <n v="0"/>
    <n v="9877"/>
    <n v="1877"/>
  </r>
  <r>
    <s v="20/05/2013"/>
    <s v="AI0007507"/>
    <m/>
    <m/>
    <s v="Sridhar V Mr."/>
    <x v="24"/>
    <s v="9W"/>
    <s v="5893974025477"/>
    <s v="20-MAY-13"/>
    <n v="6000"/>
    <n v="5154"/>
    <n v="11154"/>
    <n v="10332"/>
    <n v="11154"/>
    <m/>
    <n v="0"/>
    <n v="1"/>
    <n v="0"/>
    <n v="0"/>
    <n v="11154"/>
    <n v="0"/>
    <n v="0"/>
  </r>
  <r>
    <s v="02/12/2013"/>
    <s v="AI0036056"/>
    <m/>
    <m/>
    <s v="Sridhar V Mr."/>
    <x v="19"/>
    <s v="6E"/>
    <s v="6EX2WBHY"/>
    <s v="19-DEC-13"/>
    <n v="4360"/>
    <n v="1078"/>
    <n v="5438"/>
    <n v="5438"/>
    <n v="5438"/>
    <n v="0"/>
    <n v="0"/>
    <n v="1"/>
    <n v="0"/>
    <n v="0"/>
    <n v="5438"/>
    <n v="0"/>
    <n v="0"/>
  </r>
  <r>
    <s v="17/12/2013"/>
    <s v="AI0038205"/>
    <m/>
    <m/>
    <s v="Sridhar V Mr."/>
    <x v="19"/>
    <s v="6E"/>
    <s v="6EE9DU3N"/>
    <s v="19-DEC-13"/>
    <n v="4360"/>
    <n v="1078"/>
    <n v="5438"/>
    <n v="5438"/>
    <n v="5438"/>
    <n v="0"/>
    <n v="0"/>
    <n v="1"/>
    <n v="0"/>
    <n v="0"/>
    <n v="5438"/>
    <n v="0"/>
    <n v="0"/>
  </r>
  <r>
    <s v="14/02/2014"/>
    <s v="AI0046489"/>
    <m/>
    <m/>
    <s v="Srihari S Mr ."/>
    <x v="15"/>
    <s v="6E"/>
    <s v="6EX1P22L"/>
    <s v="21-02-14"/>
    <n v="17184"/>
    <n v="2049"/>
    <n v="19233"/>
    <n v="19030"/>
    <n v="19233"/>
    <n v="0"/>
    <n v="0"/>
    <n v="1"/>
    <n v="0"/>
    <n v="0"/>
    <n v="19233"/>
    <n v="0"/>
    <n v="0"/>
  </r>
  <r>
    <s v="27/01/2014"/>
    <s v="AI0043359"/>
    <m/>
    <m/>
    <s v="Srihari S Mr ."/>
    <x v="8"/>
    <s v="G8"/>
    <s v="104YSYU553"/>
    <s v="29-01-14"/>
    <n v="8450"/>
    <n v="6979"/>
    <n v="15429"/>
    <n v="14406"/>
    <n v="15429"/>
    <n v="0"/>
    <n v="0"/>
    <n v="1"/>
    <n v="0"/>
    <n v="0"/>
    <n v="15429"/>
    <n v="0"/>
    <n v="0"/>
  </r>
  <r>
    <s v="28/11/2013"/>
    <s v="AI0035557"/>
    <m/>
    <m/>
    <s v="Srihari S Mr ."/>
    <x v="9"/>
    <s v="6E"/>
    <s v="6EYEEZ7R"/>
    <s v="04-DEC-13"/>
    <n v="8670"/>
    <n v="1927"/>
    <n v="10597"/>
    <n v="10597"/>
    <n v="21194"/>
    <n v="0"/>
    <n v="0"/>
    <n v="0"/>
    <n v="1"/>
    <n v="0"/>
    <n v="0"/>
    <n v="21194"/>
    <n v="9494"/>
  </r>
  <r>
    <s v="10/10/2013"/>
    <s v="AI0028517"/>
    <m/>
    <m/>
    <s v="Srihari S Mr ."/>
    <x v="69"/>
    <s v="9W"/>
    <s v="5894147816735"/>
    <s v="21-OCT-13"/>
    <n v="6400"/>
    <n v="3539"/>
    <n v="9939"/>
    <n v="9939"/>
    <n v="9939"/>
    <n v="0"/>
    <n v="0"/>
    <n v="1"/>
    <n v="0"/>
    <n v="0"/>
    <n v="9939"/>
    <n v="0"/>
    <n v="0"/>
  </r>
  <r>
    <s v="15/04/2013"/>
    <s v="AI0002098"/>
    <m/>
    <s v="INTERNAL"/>
    <s v="Srihari S Mr ."/>
    <x v="82"/>
    <s v="G8"/>
    <s v="104Q6ZYOB1"/>
    <s v="17-APR-13"/>
    <n v="9800"/>
    <n v="10022"/>
    <n v="19822"/>
    <n v="19822"/>
    <n v="19822"/>
    <m/>
    <n v="0"/>
    <n v="1"/>
    <n v="0"/>
    <n v="0"/>
    <n v="19822"/>
    <n v="0"/>
    <n v="0"/>
  </r>
  <r>
    <s v="29/01/2014"/>
    <s v="AI0043879"/>
    <m/>
    <m/>
    <s v="Srihari S Mr ."/>
    <x v="40"/>
    <s v="6E"/>
    <s v="6EX2I4ML"/>
    <s v="03-02-14"/>
    <n v="18306"/>
    <n v="2371"/>
    <n v="20677"/>
    <n v="20677"/>
    <n v="20677"/>
    <n v="0"/>
    <n v="0"/>
    <n v="1"/>
    <n v="0"/>
    <n v="0"/>
    <n v="20677"/>
    <n v="0"/>
    <n v="0"/>
  </r>
  <r>
    <s v="28/01/2014"/>
    <s v="AI0043595"/>
    <m/>
    <m/>
    <s v="Srihari S Mr ."/>
    <x v="7"/>
    <s v="6E"/>
    <s v="6EQ71J9J"/>
    <s v="29-01-14"/>
    <n v="5816"/>
    <n v="1139"/>
    <n v="6955"/>
    <n v="7234"/>
    <n v="6955"/>
    <n v="0"/>
    <n v="0"/>
    <n v="1"/>
    <n v="0"/>
    <n v="0"/>
    <n v="6955"/>
    <n v="0"/>
    <n v="0"/>
  </r>
  <r>
    <s v="10/10/2013"/>
    <s v="AI0028531"/>
    <m/>
    <m/>
    <s v="Srihari S Mr ."/>
    <x v="24"/>
    <s v="AI"/>
    <s v="0984148159276"/>
    <s v="27-OCT-13"/>
    <n v="3330"/>
    <n v="4954"/>
    <n v="8284"/>
    <n v="10332"/>
    <n v="8284"/>
    <n v="0"/>
    <n v="1"/>
    <n v="0"/>
    <n v="0"/>
    <n v="8284"/>
    <n v="0"/>
    <n v="0"/>
    <n v="0"/>
  </r>
  <r>
    <s v="10/10/2013"/>
    <s v="AI0028530"/>
    <m/>
    <m/>
    <s v="Srihari S Mr ."/>
    <x v="114"/>
    <s v="AI"/>
    <s v="0984148159275"/>
    <s v="26-OCT-13"/>
    <n v="3070"/>
    <n v="2705"/>
    <n v="5775"/>
    <n v="5775"/>
    <n v="5775"/>
    <n v="0"/>
    <n v="0"/>
    <n v="1"/>
    <n v="0"/>
    <n v="0"/>
    <n v="5775"/>
    <n v="0"/>
    <n v="0"/>
  </r>
  <r>
    <s v="25/10/2013"/>
    <s v="AI0030592"/>
    <m/>
    <m/>
    <s v="Sudeshna  Roy Ms."/>
    <x v="7"/>
    <s v="6E"/>
    <s v="6EK34HMG"/>
    <s v="27-10-13"/>
    <n v="6306"/>
    <n v="1045"/>
    <n v="7351"/>
    <n v="7234"/>
    <n v="7351"/>
    <n v="0"/>
    <n v="0"/>
    <n v="1"/>
    <n v="0"/>
    <n v="0"/>
    <n v="7351"/>
    <n v="0"/>
    <n v="0"/>
  </r>
  <r>
    <s v="16/05/2013"/>
    <s v="AI0007000"/>
    <m/>
    <m/>
    <s v="Sudhir  Bhatt Mr."/>
    <x v="16"/>
    <s v="6E"/>
    <s v="6EXT6DBM1"/>
    <s v="20-MAY-13"/>
    <n v="16562"/>
    <n v="2933"/>
    <n v="19495"/>
    <n v="20521"/>
    <n v="19495"/>
    <m/>
    <n v="0"/>
    <n v="1"/>
    <n v="0"/>
    <n v="0"/>
    <n v="19495"/>
    <n v="0"/>
    <n v="0"/>
  </r>
  <r>
    <s v="28/01/2014"/>
    <s v="AI0043740"/>
    <m/>
    <m/>
    <s v="Suhas  Prabhu Mr."/>
    <x v="6"/>
    <s v="6E"/>
    <s v="6EG46L5P"/>
    <s v="03-02-14"/>
    <n v="5766"/>
    <n v="1053"/>
    <n v="6819"/>
    <n v="7412.5"/>
    <n v="6819"/>
    <n v="0"/>
    <n v="0"/>
    <n v="1"/>
    <n v="0"/>
    <n v="0"/>
    <n v="6819"/>
    <n v="0"/>
    <n v="0"/>
  </r>
  <r>
    <s v="28/11/2013"/>
    <s v="AI0035557"/>
    <m/>
    <m/>
    <s v="Surabhi  Koushik Ms."/>
    <x v="9"/>
    <s v="6E"/>
    <s v="6EYEEZ7R"/>
    <s v="04-DEC-13"/>
    <n v="8670"/>
    <n v="1927"/>
    <n v="10597"/>
    <n v="10597"/>
    <n v="10597"/>
    <n v="0"/>
    <n v="0"/>
    <n v="1"/>
    <n v="0"/>
    <n v="0"/>
    <n v="10597"/>
    <n v="0"/>
    <n v="0"/>
  </r>
  <r>
    <s v="16/05/2013"/>
    <s v="AI0006991"/>
    <m/>
    <m/>
    <s v="Sushant  Kumar Mr."/>
    <x v="21"/>
    <s v="6E"/>
    <s v="6EFT33AM"/>
    <s v="20-MAY-13"/>
    <n v="10149"/>
    <n v="1881"/>
    <n v="12030"/>
    <n v="10605"/>
    <n v="12030"/>
    <m/>
    <n v="0"/>
    <n v="0"/>
    <n v="1"/>
    <n v="0"/>
    <n v="0"/>
    <n v="12030"/>
    <n v="330"/>
  </r>
  <r>
    <s v="03/04/2013"/>
    <s v="RA0000001"/>
    <m/>
    <s v="INTERNAL"/>
    <s v="Sushant  Kumar Mr."/>
    <x v="0"/>
    <s v=""/>
    <s v="668099412"/>
    <s v="17-APR-13"/>
    <n v="637"/>
    <n v="112"/>
    <n v="749"/>
    <n v="749"/>
    <n v="749"/>
    <m/>
    <n v="0"/>
    <n v="1"/>
    <n v="0"/>
    <n v="0"/>
    <n v="749"/>
    <n v="0"/>
    <n v="0"/>
  </r>
  <r>
    <s v="03/04/2013"/>
    <s v="RA0000001"/>
    <s v="RR0000001"/>
    <s v="INTERNAL"/>
    <s v="Sushant  Kumar Mr."/>
    <x v="1"/>
    <s v=""/>
    <s v="668117397"/>
    <s v="18-APR-13"/>
    <n v="156"/>
    <n v="112"/>
    <n v="268"/>
    <n v="824"/>
    <n v="268"/>
    <n v="207"/>
    <n v="1"/>
    <n v="0"/>
    <n v="0"/>
    <n v="268"/>
    <n v="0"/>
    <n v="0"/>
    <n v="0"/>
  </r>
  <r>
    <s v="05/04/2013"/>
    <s v="RA0000003"/>
    <m/>
    <s v="INTERNAL"/>
    <s v="Sushant  Kumar Mr."/>
    <x v="1"/>
    <s v=""/>
    <s v="668568781"/>
    <s v="18-APR-13"/>
    <n v="712"/>
    <n v="112"/>
    <n v="824"/>
    <n v="824"/>
    <n v="824"/>
    <m/>
    <n v="0"/>
    <n v="1"/>
    <n v="0"/>
    <n v="0"/>
    <n v="824"/>
    <n v="0"/>
    <n v="0"/>
  </r>
  <r>
    <s v="16/05/2013"/>
    <s v="AI0006995"/>
    <m/>
    <m/>
    <s v="Sushant  Kumar Mr."/>
    <x v="24"/>
    <s v="6E"/>
    <s v="6ECSM2EN"/>
    <s v="23-MAY-13"/>
    <n v="8306"/>
    <n v="1398"/>
    <n v="9704"/>
    <n v="10332"/>
    <n v="9704"/>
    <m/>
    <n v="0"/>
    <n v="1"/>
    <n v="0"/>
    <n v="0"/>
    <n v="9704"/>
    <n v="0"/>
    <n v="0"/>
  </r>
  <r>
    <s v="10/12/2013"/>
    <s v="AI0037212"/>
    <m/>
    <m/>
    <s v="Taharali  Wajiha Mrs."/>
    <x v="115"/>
    <s v="EK"/>
    <s v="1764340894532"/>
    <s v="10-DEC-13"/>
    <n v="0"/>
    <n v="9000"/>
    <n v="9000"/>
    <n v="9000"/>
    <n v="9000"/>
    <n v="0"/>
    <n v="0"/>
    <n v="1"/>
    <n v="0"/>
    <n v="0"/>
    <n v="9000"/>
    <n v="0"/>
    <n v="0"/>
  </r>
  <r>
    <s v="23/04/2013"/>
    <s v="AI0003766"/>
    <m/>
    <m/>
    <s v="Tamhankar   Chetan  Mr."/>
    <x v="6"/>
    <s v="G8"/>
    <s v="104UJBHRB2"/>
    <s v="26-APR-13"/>
    <n v="6820"/>
    <n v="3702"/>
    <n v="10522"/>
    <n v="7412.5"/>
    <n v="10522"/>
    <m/>
    <n v="0"/>
    <n v="0"/>
    <n v="1"/>
    <n v="0"/>
    <n v="0"/>
    <n v="10522"/>
    <n v="2322"/>
  </r>
  <r>
    <s v="23/04/2013"/>
    <s v="AI0003766"/>
    <m/>
    <m/>
    <s v="Tamhankar   Chetan  Mr."/>
    <x v="7"/>
    <s v="AI"/>
    <s v="0983972579098"/>
    <s v="26-APR-13"/>
    <n v="3940"/>
    <n v="3171"/>
    <n v="7111"/>
    <n v="7234"/>
    <n v="7111"/>
    <m/>
    <n v="0"/>
    <n v="1"/>
    <n v="0"/>
    <n v="0"/>
    <n v="7111"/>
    <n v="0"/>
    <n v="0"/>
  </r>
  <r>
    <s v="23/12/2013"/>
    <s v="AI0038899"/>
    <m/>
    <m/>
    <s v="Tanvi  Srivastava Ms."/>
    <x v="25"/>
    <s v="6E"/>
    <s v="6EJDY93R"/>
    <s v="24-DEC-13"/>
    <n v="7959"/>
    <n v="1379"/>
    <n v="9338"/>
    <n v="9855"/>
    <n v="9338"/>
    <e v="#REF!"/>
    <n v="0"/>
    <n v="1"/>
    <n v="0"/>
    <n v="0"/>
    <n v="9338"/>
    <n v="0"/>
    <n v="0"/>
  </r>
  <r>
    <s v="11/09/2013"/>
    <s v="AI0023778"/>
    <m/>
    <m/>
    <s v="Thyagarajan   Venkatraman  Mr."/>
    <x v="7"/>
    <s v="9W"/>
    <s v="5894146953008"/>
    <s v="15-OCT-13"/>
    <n v="19981"/>
    <n v="2751"/>
    <n v="22732"/>
    <n v="7234"/>
    <n v="22732"/>
    <n v="0"/>
    <n v="0"/>
    <n v="0"/>
    <n v="1"/>
    <n v="0"/>
    <n v="0"/>
    <n v="22732"/>
    <n v="14732"/>
  </r>
  <r>
    <s v="02/04/2013"/>
    <s v="AI0000145"/>
    <m/>
    <s v="INTERNAL"/>
    <s v="Upadhyay   Aditi  Ms."/>
    <x v="6"/>
    <s v="AI"/>
    <s v="0983513384851"/>
    <s v="03-APR-13"/>
    <n v="3190"/>
    <n v="3047"/>
    <n v="6237"/>
    <n v="7412.5"/>
    <n v="6237"/>
    <m/>
    <n v="1"/>
    <n v="0"/>
    <n v="0"/>
    <n v="6237"/>
    <n v="0"/>
    <n v="0"/>
    <n v="0"/>
  </r>
  <r>
    <s v="17/04/2013"/>
    <s v="AI0002425"/>
    <m/>
    <m/>
    <s v="Upadhyay   Aditi  Ms."/>
    <x v="6"/>
    <s v="AI"/>
    <s v="0983513821199"/>
    <s v="18-APR-13"/>
    <n v="3940"/>
    <n v="3088"/>
    <n v="7028"/>
    <n v="7412.5"/>
    <n v="7028"/>
    <m/>
    <n v="0"/>
    <n v="1"/>
    <n v="0"/>
    <n v="0"/>
    <n v="7028"/>
    <n v="0"/>
    <n v="0"/>
  </r>
  <r>
    <s v="06/06/2013"/>
    <s v="AI0010084"/>
    <m/>
    <m/>
    <s v="Upadhyay   Aditi  Ms."/>
    <x v="6"/>
    <s v="AI"/>
    <s v="0983974847596"/>
    <s v="10-JUN-13"/>
    <n v="4400"/>
    <n v="3113"/>
    <n v="7513"/>
    <n v="7412.5"/>
    <n v="7513"/>
    <m/>
    <n v="0"/>
    <n v="1"/>
    <n v="0"/>
    <n v="0"/>
    <n v="7513"/>
    <n v="0"/>
    <n v="0"/>
  </r>
  <r>
    <s v="12/07/2013"/>
    <s v="AI0015354"/>
    <m/>
    <m/>
    <s v="Upadhyay   Aditi  Ms."/>
    <x v="6"/>
    <s v="AI"/>
    <s v="0983976529015"/>
    <s v="12/07/2013"/>
    <n v="291"/>
    <n v="2885"/>
    <n v="3176"/>
    <n v="7412.5"/>
    <n v="3176"/>
    <m/>
    <n v="1"/>
    <n v="0"/>
    <n v="0"/>
    <n v="3176"/>
    <n v="0"/>
    <n v="0"/>
    <n v="0"/>
  </r>
  <r>
    <s v="26/07/2013"/>
    <s v="AI0017332"/>
    <m/>
    <m/>
    <s v="Upadhyay   Aditi  Ms."/>
    <x v="6"/>
    <s v="AI"/>
    <s v="0984144546117"/>
    <s v="30-JUL-13"/>
    <n v="582"/>
    <n v="2377"/>
    <n v="2959"/>
    <n v="7412.5"/>
    <n v="2959"/>
    <m/>
    <n v="1"/>
    <n v="0"/>
    <n v="0"/>
    <n v="2959"/>
    <n v="0"/>
    <n v="0"/>
    <n v="0"/>
  </r>
  <r>
    <s v="23/08/2013"/>
    <s v="AI0021089"/>
    <m/>
    <m/>
    <s v="Upadhyay   Aditi  Ms."/>
    <x v="6"/>
    <s v="AI"/>
    <s v="0984146108766"/>
    <s v="27-AUG-13"/>
    <n v="1716"/>
    <n v="2965"/>
    <n v="4681"/>
    <n v="7412.5"/>
    <n v="8634"/>
    <n v="0"/>
    <n v="0"/>
    <n v="0"/>
    <n v="1"/>
    <n v="0"/>
    <n v="0"/>
    <n v="8634"/>
    <n v="434"/>
  </r>
  <r>
    <s v="02/04/2013"/>
    <s v="AI0000145"/>
    <m/>
    <s v="INTERNAL"/>
    <s v="Upadhyay   Aditi  Ms."/>
    <x v="7"/>
    <s v="6E"/>
    <s v="6EVQD9LR2"/>
    <s v="05-APR-13"/>
    <n v="4799"/>
    <n v="3498"/>
    <n v="8297"/>
    <n v="7234"/>
    <n v="8297"/>
    <m/>
    <n v="0"/>
    <n v="0"/>
    <n v="1"/>
    <n v="0"/>
    <n v="0"/>
    <n v="8297"/>
    <n v="297"/>
  </r>
  <r>
    <s v="17/04/2013"/>
    <s v="AI0002425"/>
    <m/>
    <m/>
    <s v="Upadhyay   Aditi  Ms."/>
    <x v="7"/>
    <s v="SG"/>
    <s v="775TIYTAM2"/>
    <s v="18-APR-13"/>
    <n v="3646"/>
    <n v="3474"/>
    <n v="7120"/>
    <n v="7234"/>
    <n v="7120"/>
    <m/>
    <n v="0"/>
    <n v="1"/>
    <n v="0"/>
    <n v="0"/>
    <n v="7120"/>
    <n v="0"/>
    <n v="0"/>
  </r>
  <r>
    <s v="06/06/2013"/>
    <s v="AI0010084"/>
    <m/>
    <m/>
    <s v="Upadhyay   Aditi  Ms."/>
    <x v="7"/>
    <s v="AI"/>
    <s v="0983974847597"/>
    <s v="11-JUN-13"/>
    <n v="3940"/>
    <n v="3171"/>
    <n v="7111"/>
    <n v="7234"/>
    <n v="7111"/>
    <m/>
    <n v="0"/>
    <n v="1"/>
    <n v="0"/>
    <n v="0"/>
    <n v="7111"/>
    <n v="0"/>
    <n v="0"/>
  </r>
  <r>
    <s v="12/07/2013"/>
    <s v="AI0015354"/>
    <m/>
    <m/>
    <s v="Upadhyay   Aditi  Ms."/>
    <x v="7"/>
    <s v="6E"/>
    <s v="6EGZ9LPC2"/>
    <s v="12/07/2013"/>
    <n v="590"/>
    <n v="2553"/>
    <n v="3143"/>
    <n v="7234"/>
    <n v="3143"/>
    <m/>
    <n v="1"/>
    <n v="0"/>
    <n v="0"/>
    <n v="3143"/>
    <n v="0"/>
    <n v="0"/>
    <n v="0"/>
  </r>
  <r>
    <s v="26/07/2013"/>
    <s v="AI0017332"/>
    <m/>
    <m/>
    <s v="Upadhyay   Aditi  Ms."/>
    <x v="7"/>
    <s v="6E"/>
    <s v="6ENZL1PV2"/>
    <s v="30-JUL-13"/>
    <n v="482"/>
    <n v="2541"/>
    <n v="3023"/>
    <n v="7234"/>
    <n v="3023"/>
    <m/>
    <n v="1"/>
    <n v="0"/>
    <n v="0"/>
    <n v="3023"/>
    <n v="0"/>
    <n v="0"/>
    <n v="0"/>
  </r>
  <r>
    <s v="23/08/2013"/>
    <s v="AI0021089"/>
    <m/>
    <m/>
    <s v="Upadhyay   Aditi  Ms."/>
    <x v="7"/>
    <s v="AI"/>
    <s v="0984146108767"/>
    <s v="29-AUG-13"/>
    <n v="1445"/>
    <n v="2508"/>
    <n v="3953"/>
    <n v="7234"/>
    <n v="3953"/>
    <n v="0"/>
    <n v="1"/>
    <n v="0"/>
    <n v="0"/>
    <n v="3953"/>
    <n v="0"/>
    <n v="0"/>
    <n v="0"/>
  </r>
  <r>
    <s v="08/08/2013"/>
    <s v="AI0019242"/>
    <m/>
    <m/>
    <s v="V P   Karthik  Mr."/>
    <x v="18"/>
    <s v="AI"/>
    <s v="0984145233346"/>
    <s v="11-AUG-13"/>
    <n v="1590"/>
    <n v="2643"/>
    <n v="4233"/>
    <n v="5161"/>
    <n v="4233"/>
    <m/>
    <n v="1"/>
    <n v="0"/>
    <n v="0"/>
    <n v="4233"/>
    <n v="0"/>
    <n v="0"/>
    <n v="0"/>
  </r>
  <r>
    <s v="08/08/2013"/>
    <s v="AI0019242"/>
    <m/>
    <m/>
    <s v="V P   Karthik  Mr."/>
    <x v="19"/>
    <s v="6E"/>
    <s v="6EO11TSG2"/>
    <s v="12-AUG-13"/>
    <n v="767"/>
    <n v="2385"/>
    <n v="3152"/>
    <n v="5438"/>
    <n v="3152"/>
    <m/>
    <n v="1"/>
    <n v="0"/>
    <n v="0"/>
    <n v="3152"/>
    <n v="0"/>
    <n v="0"/>
    <n v="0"/>
  </r>
  <r>
    <s v="18/09/2013"/>
    <s v="AI0024958"/>
    <m/>
    <m/>
    <s v="Varun  Bhargav Mr."/>
    <x v="15"/>
    <s v="6E"/>
    <s v="6EO28HME"/>
    <s v="20-SEP-13"/>
    <n v="16848"/>
    <n v="2030"/>
    <n v="18878"/>
    <n v="19030"/>
    <n v="18878"/>
    <n v="0"/>
    <n v="0"/>
    <n v="1"/>
    <n v="0"/>
    <n v="0"/>
    <n v="18878"/>
    <n v="0"/>
    <n v="0"/>
  </r>
  <r>
    <s v="27/08/2013"/>
    <s v="AI0021816"/>
    <m/>
    <m/>
    <s v="Varun  Bhargav Mr."/>
    <x v="8"/>
    <s v="6E"/>
    <s v="6EP1MNPD"/>
    <s v="29-AUG-13"/>
    <n v="7956"/>
    <n v="1622"/>
    <n v="9578"/>
    <n v="14406"/>
    <n v="9578"/>
    <n v="0"/>
    <n v="1"/>
    <n v="0"/>
    <n v="0"/>
    <n v="9578"/>
    <n v="0"/>
    <n v="0"/>
    <n v="0"/>
  </r>
  <r>
    <s v="02/05/2013"/>
    <s v="AI0004890"/>
    <m/>
    <m/>
    <s v="Varun  Bhargav Mr."/>
    <x v="16"/>
    <s v="6E"/>
    <s v="6EYRUWAQ"/>
    <s v="06-MAY-13"/>
    <n v="16562"/>
    <n v="2933"/>
    <n v="19495"/>
    <n v="20521"/>
    <n v="19495"/>
    <m/>
    <n v="0"/>
    <n v="1"/>
    <n v="0"/>
    <n v="0"/>
    <n v="19495"/>
    <n v="0"/>
    <n v="0"/>
  </r>
  <r>
    <s v="10/07/2013"/>
    <s v="AI0015081"/>
    <m/>
    <m/>
    <s v="Varun  Bhargav Mr."/>
    <x v="7"/>
    <s v="6E"/>
    <s v="6EXZ82ND"/>
    <s v="10/07/2013"/>
    <n v="5914"/>
    <n v="1023"/>
    <n v="6937"/>
    <n v="7234"/>
    <n v="6937"/>
    <m/>
    <n v="0"/>
    <n v="1"/>
    <n v="0"/>
    <n v="0"/>
    <n v="6937"/>
    <n v="0"/>
    <n v="0"/>
  </r>
  <r>
    <s v="11/09/2013"/>
    <s v="AI0023822"/>
    <m/>
    <m/>
    <s v="Venkatraman  Thyagarajan Mr."/>
    <x v="41"/>
    <s v="6E"/>
    <s v="6ES239MA"/>
    <s v="16-OCT-13"/>
    <n v="4310"/>
    <n v="851"/>
    <n v="5161"/>
    <n v="5042"/>
    <n v="5161"/>
    <n v="0"/>
    <n v="0"/>
    <n v="1"/>
    <n v="0"/>
    <n v="0"/>
    <n v="5161"/>
    <n v="0"/>
    <n v="0"/>
  </r>
  <r>
    <s v="02/12/2013"/>
    <s v="AI0036368"/>
    <m/>
    <m/>
    <s v="Venuka  Khandelwal Ms."/>
    <x v="16"/>
    <s v="6E"/>
    <s v="6EC1TBKI"/>
    <s v="06-DEC-13"/>
    <n v="17326"/>
    <n v="2976"/>
    <n v="20302"/>
    <n v="20521"/>
    <n v="40604"/>
    <n v="0"/>
    <n v="0"/>
    <n v="0"/>
    <n v="1"/>
    <n v="0"/>
    <n v="0"/>
    <n v="40604"/>
    <n v="18004"/>
  </r>
  <r>
    <s v="26/02/2014"/>
    <s v="AI0048428"/>
    <m/>
    <m/>
    <s v="Venuka  Khandelwal Ms."/>
    <x v="16"/>
    <s v="6E"/>
    <s v="6EHYNDQN"/>
    <s v="28-FEB-14"/>
    <n v="17534"/>
    <n v="2987"/>
    <n v="20521"/>
    <n v="20521"/>
    <n v="20521"/>
    <e v="#REF!"/>
    <n v="0"/>
    <n v="1"/>
    <n v="0"/>
    <n v="0"/>
    <n v="20521"/>
    <n v="0"/>
    <n v="0"/>
  </r>
  <r>
    <s v="05/09/2013"/>
    <s v="AI0022969"/>
    <m/>
    <m/>
    <s v="Virmani   Sanjay  Mr."/>
    <x v="21"/>
    <s v="9W"/>
    <s v="5894146516099"/>
    <s v="06-SEP-13"/>
    <n v="6590"/>
    <n v="4015"/>
    <n v="10605"/>
    <n v="10605"/>
    <n v="10605"/>
    <n v="0"/>
    <n v="0"/>
    <n v="1"/>
    <n v="0"/>
    <n v="0"/>
    <n v="10605"/>
    <n v="0"/>
    <n v="0"/>
  </r>
  <r>
    <s v="18/10/2013"/>
    <s v="AI0029384"/>
    <m/>
    <m/>
    <s v="Virmani   Sanjay  Mr."/>
    <x v="21"/>
    <s v="9W"/>
    <s v="5894148187161"/>
    <s v="19-10-13"/>
    <n v="7500"/>
    <n v="4065"/>
    <n v="11565"/>
    <n v="10605"/>
    <n v="11565"/>
    <n v="0"/>
    <n v="0"/>
    <n v="1"/>
    <n v="0"/>
    <n v="0"/>
    <n v="11565"/>
    <n v="0"/>
    <n v="0"/>
  </r>
  <r>
    <s v="11/11/2013"/>
    <s v="AI0032710"/>
    <s v="AR0004756"/>
    <m/>
    <s v="Virmani   Sanjay  Mr."/>
    <x v="7"/>
    <s v="SG"/>
    <s v="775K1GV5Y1"/>
    <s v="13-NOV-13"/>
    <n v="5487"/>
    <n v="3690"/>
    <n v="9177"/>
    <n v="7234"/>
    <n v="9177"/>
    <n v="7577"/>
    <n v="0"/>
    <n v="0"/>
    <n v="1"/>
    <n v="0"/>
    <n v="0"/>
    <n v="9177"/>
    <n v="1177"/>
  </r>
  <r>
    <s v="03/02/2014"/>
    <s v="AI0044762"/>
    <m/>
    <m/>
    <s v="Virmani   Sanjay  Mr."/>
    <x v="71"/>
    <s v="9W"/>
    <s v="5894342969621"/>
    <s v="06-02-14"/>
    <n v="12038"/>
    <n v="7701"/>
    <n v="19739"/>
    <n v="19495"/>
    <n v="19739"/>
    <n v="0"/>
    <n v="0"/>
    <n v="1"/>
    <n v="0"/>
    <n v="0"/>
    <n v="19739"/>
    <n v="0"/>
    <n v="0"/>
  </r>
  <r>
    <s v="01/07/2013"/>
    <s v="AI0013623"/>
    <m/>
    <m/>
    <s v="Wei  Hanlin Mr."/>
    <x v="116"/>
    <s v="MU"/>
    <s v="7813983481538"/>
    <s v="01/07/2013"/>
    <n v="10597"/>
    <n v="5903"/>
    <n v="16500"/>
    <n v="10655"/>
    <n v="16500"/>
    <m/>
    <n v="0"/>
    <n v="0"/>
    <n v="1"/>
    <n v="0"/>
    <n v="0"/>
    <n v="16500"/>
    <n v="4700"/>
  </r>
  <r>
    <s v="05/07/2013"/>
    <s v="AI0014298"/>
    <m/>
    <m/>
    <s v="Wei  Hanlin Mr."/>
    <x v="116"/>
    <s v="MU"/>
    <s v="7813983552112"/>
    <s v="05/07/2013"/>
    <n v="3230"/>
    <n v="1580"/>
    <n v="4810"/>
    <n v="10655"/>
    <n v="4810"/>
    <m/>
    <n v="1"/>
    <n v="0"/>
    <n v="0"/>
    <n v="4810"/>
    <n v="0"/>
    <n v="0"/>
    <n v="0"/>
  </r>
  <r>
    <s v="25/02/2014"/>
    <s v="AI0048211"/>
    <s v="AR0007078"/>
    <m/>
    <s v="Yogesh  Pardeshi Mr."/>
    <x v="9"/>
    <s v="6E"/>
    <s v="6ETBP8XN"/>
    <s v="28-FEB-14"/>
    <n v="7880"/>
    <n v="1883"/>
    <n v="9763"/>
    <n v="10597"/>
    <n v="9763"/>
    <e v="#REF!"/>
    <n v="0"/>
    <n v="1"/>
    <n v="0"/>
    <n v="0"/>
    <n v="9763"/>
    <n v="0"/>
    <n v="0"/>
  </r>
  <r>
    <s v="27/02/2014"/>
    <s v="AI0048625"/>
    <m/>
    <m/>
    <s v="Yogesh  Pardeshi Mr."/>
    <x v="12"/>
    <s v="6E"/>
    <s v="6EMD7G4E"/>
    <s v="28-FEB-14"/>
    <n v="3665"/>
    <n v="1039"/>
    <n v="4704"/>
    <n v="5519"/>
    <n v="4704"/>
    <e v="#REF!"/>
    <n v="1"/>
    <n v="0"/>
    <n v="0"/>
    <n v="4704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810">
  <r>
    <x v="0"/>
    <x v="0"/>
    <x v="0"/>
    <s v="669287559"/>
    <s v="24-APR-13"/>
    <n v="842"/>
    <n v="112"/>
    <n v="954"/>
    <n v="749"/>
    <n v="954"/>
    <m/>
    <n v="0"/>
    <n v="0"/>
    <n v="1"/>
  </r>
  <r>
    <x v="0"/>
    <x v="1"/>
    <x v="0"/>
    <s v="669291089"/>
    <s v="26-APR-13"/>
    <n v="712"/>
    <n v="112"/>
    <n v="824"/>
    <n v="824"/>
    <n v="824"/>
    <m/>
    <n v="0"/>
    <n v="1"/>
    <n v="0"/>
  </r>
  <r>
    <x v="1"/>
    <x v="2"/>
    <x v="1"/>
    <s v="0983975550359"/>
    <s v="22-JUN-13"/>
    <n v="5090"/>
    <n v="4601"/>
    <n v="9691"/>
    <n v="9753.5"/>
    <n v="9691"/>
    <m/>
    <n v="0"/>
    <n v="1"/>
    <n v="0"/>
  </r>
  <r>
    <x v="1"/>
    <x v="3"/>
    <x v="2"/>
    <s v="6EXSJ7BP"/>
    <s v="17-MAY-13"/>
    <n v="8256"/>
    <n v="1194"/>
    <n v="9450"/>
    <n v="9450"/>
    <n v="9450"/>
    <m/>
    <n v="0"/>
    <n v="1"/>
    <n v="0"/>
  </r>
  <r>
    <x v="1"/>
    <x v="4"/>
    <x v="3"/>
    <s v="Canada"/>
    <s v=""/>
    <n v="9985"/>
    <n v="515"/>
    <n v="10500"/>
    <n v="10500"/>
    <n v="10500"/>
    <n v="0"/>
    <n v="0"/>
    <n v="1"/>
    <n v="0"/>
  </r>
  <r>
    <x v="1"/>
    <x v="5"/>
    <x v="2"/>
    <s v="6EMSHSBZ"/>
    <s v="20-MAY-13"/>
    <n v="8256"/>
    <n v="1169"/>
    <n v="9425"/>
    <n v="9425"/>
    <n v="9425"/>
    <m/>
    <n v="0"/>
    <n v="1"/>
    <n v="0"/>
  </r>
  <r>
    <x v="2"/>
    <x v="6"/>
    <x v="2"/>
    <s v="6EO2IIPR"/>
    <s v="01-OCT-13"/>
    <n v="6256"/>
    <n v="960"/>
    <n v="7216"/>
    <n v="7412.5"/>
    <n v="14432"/>
    <n v="0"/>
    <n v="0"/>
    <n v="0"/>
    <n v="1"/>
  </r>
  <r>
    <x v="2"/>
    <x v="7"/>
    <x v="2"/>
    <s v="6ED2HQMH"/>
    <s v="01-OCT-13"/>
    <n v="6306"/>
    <n v="1045"/>
    <n v="7351"/>
    <n v="7234"/>
    <n v="14702"/>
    <n v="0"/>
    <n v="0"/>
    <n v="0"/>
    <n v="1"/>
  </r>
  <r>
    <x v="3"/>
    <x v="8"/>
    <x v="2"/>
    <s v="6EJ1SYYL"/>
    <s v="13-JAN-14"/>
    <n v="8900"/>
    <n v="7267"/>
    <n v="16167"/>
    <n v="14406"/>
    <n v="16167"/>
    <m/>
    <n v="0"/>
    <n v="0"/>
    <n v="1"/>
  </r>
  <r>
    <x v="4"/>
    <x v="6"/>
    <x v="4"/>
    <s v="775F4EYUC1"/>
    <s v="15-MAY-13"/>
    <n v="4213"/>
    <n v="3394"/>
    <n v="7607"/>
    <n v="7412.5"/>
    <n v="7607"/>
    <m/>
    <n v="0"/>
    <n v="1"/>
    <n v="0"/>
  </r>
  <r>
    <x v="4"/>
    <x v="6"/>
    <x v="5"/>
    <s v="5894146108824"/>
    <s v="29-AUG-13"/>
    <n v="2540"/>
    <n v="1699"/>
    <n v="4239"/>
    <n v="7412.5"/>
    <n v="8355"/>
    <n v="0"/>
    <n v="0"/>
    <n v="0"/>
    <n v="1"/>
  </r>
  <r>
    <x v="4"/>
    <x v="6"/>
    <x v="2"/>
    <s v="6EI3IFTA"/>
    <s v="19-NOV-13"/>
    <n v="6256"/>
    <n v="960"/>
    <n v="7216"/>
    <n v="7412.5"/>
    <n v="7216"/>
    <n v="0"/>
    <n v="0"/>
    <n v="1"/>
    <n v="0"/>
  </r>
  <r>
    <x v="4"/>
    <x v="9"/>
    <x v="2"/>
    <s v="6EC3IGMA"/>
    <s v="14-NOV-13"/>
    <n v="8670"/>
    <n v="1927"/>
    <n v="10597"/>
    <n v="10597"/>
    <n v="10597"/>
    <n v="0"/>
    <n v="0"/>
    <n v="1"/>
    <n v="0"/>
  </r>
  <r>
    <x v="4"/>
    <x v="7"/>
    <x v="2"/>
    <s v="6EVTZBBW2"/>
    <s v="16-MAY-13"/>
    <n v="3720"/>
    <n v="3481"/>
    <n v="7201"/>
    <n v="7234"/>
    <n v="7201"/>
    <m/>
    <n v="0"/>
    <n v="1"/>
    <n v="0"/>
  </r>
  <r>
    <x v="4"/>
    <x v="7"/>
    <x v="4"/>
    <s v="775H6U9PJ"/>
    <s v="16-MAY-13"/>
    <n v="3779"/>
    <n v="3214"/>
    <n v="6993"/>
    <n v="7234"/>
    <n v="6993"/>
    <m/>
    <n v="0"/>
    <n v="1"/>
    <n v="0"/>
  </r>
  <r>
    <x v="4"/>
    <x v="7"/>
    <x v="5"/>
    <s v="5894146108825"/>
    <s v="30-AUG-13"/>
    <n v="2345"/>
    <n v="1771"/>
    <n v="4116"/>
    <n v="7234"/>
    <n v="4116"/>
    <n v="0"/>
    <n v="1"/>
    <n v="0"/>
    <n v="0"/>
  </r>
  <r>
    <x v="4"/>
    <x v="7"/>
    <x v="2"/>
    <s v="6EW3W54F"/>
    <s v="04-02-14"/>
    <n v="5816"/>
    <n v="1139"/>
    <n v="6955"/>
    <n v="7234"/>
    <n v="6955"/>
    <n v="0"/>
    <n v="0"/>
    <n v="1"/>
    <n v="0"/>
  </r>
  <r>
    <x v="4"/>
    <x v="10"/>
    <x v="5"/>
    <s v="5894339562942"/>
    <s v="21-NOV-13"/>
    <n v="3600"/>
    <n v="1525"/>
    <n v="5125"/>
    <n v="5814"/>
    <n v="5125"/>
    <n v="0"/>
    <n v="1"/>
    <n v="0"/>
    <n v="0"/>
  </r>
  <r>
    <x v="4"/>
    <x v="11"/>
    <x v="6"/>
    <s v="1174342956464"/>
    <s v="18-02-14"/>
    <n v="13215"/>
    <n v="6785"/>
    <n v="20000"/>
    <n v="21000"/>
    <n v="20000"/>
    <n v="0"/>
    <n v="0"/>
    <n v="1"/>
    <n v="0"/>
  </r>
  <r>
    <x v="4"/>
    <x v="12"/>
    <x v="2"/>
    <s v="6EXEZWYH"/>
    <s v="03-02-14"/>
    <n v="3870"/>
    <n v="1130"/>
    <n v="5000"/>
    <n v="5519"/>
    <n v="5000"/>
    <n v="0"/>
    <n v="0"/>
    <n v="1"/>
    <n v="0"/>
  </r>
  <r>
    <x v="4"/>
    <x v="13"/>
    <x v="7"/>
    <s v="1764340465137"/>
    <s v="09-DEC-13"/>
    <n v="66445"/>
    <n v="20055"/>
    <n v="86500"/>
    <n v="86500"/>
    <n v="86500"/>
    <n v="0"/>
    <n v="0"/>
    <n v="1"/>
    <n v="0"/>
  </r>
  <r>
    <x v="4"/>
    <x v="14"/>
    <x v="8"/>
    <s v="1254342637970/1"/>
    <s v="11-02-14"/>
    <n v="28250"/>
    <n v="49950"/>
    <n v="78200"/>
    <n v="78200"/>
    <n v="78200"/>
    <n v="0"/>
    <n v="0"/>
    <n v="1"/>
    <n v="0"/>
  </r>
  <r>
    <x v="5"/>
    <x v="15"/>
    <x v="2"/>
    <s v="6EO2E3TL"/>
    <s v="29-SEP-13"/>
    <n v="16848"/>
    <n v="2030"/>
    <n v="18878"/>
    <n v="19030"/>
    <n v="18878"/>
    <n v="0"/>
    <n v="0"/>
    <n v="1"/>
    <n v="0"/>
  </r>
  <r>
    <x v="5"/>
    <x v="6"/>
    <x v="2"/>
    <s v="6EP1S4TB1"/>
    <s v="06-SEP-13"/>
    <n v="3940"/>
    <n v="3361"/>
    <n v="7301"/>
    <n v="7412.5"/>
    <n v="14651"/>
    <n v="6201"/>
    <n v="0"/>
    <n v="0"/>
    <n v="1"/>
  </r>
  <r>
    <x v="5"/>
    <x v="6"/>
    <x v="2"/>
    <s v="6EZ1TFND"/>
    <s v="06-SEP-13"/>
    <n v="6011"/>
    <n v="946"/>
    <n v="6957"/>
    <n v="7412.5"/>
    <n v="6957"/>
    <n v="0"/>
    <n v="0"/>
    <n v="1"/>
    <n v="0"/>
  </r>
  <r>
    <x v="5"/>
    <x v="8"/>
    <x v="2"/>
    <s v="6EIUV8AS1"/>
    <s v="28-JUN-13"/>
    <n v="6280"/>
    <n v="5566"/>
    <n v="11846"/>
    <n v="14406"/>
    <n v="11846"/>
    <m/>
    <n v="1"/>
    <n v="0"/>
    <n v="0"/>
  </r>
  <r>
    <x v="5"/>
    <x v="8"/>
    <x v="2"/>
    <s v="6EXZWBPM1"/>
    <s v="31-JUL-13"/>
    <n v="964"/>
    <n v="4937"/>
    <n v="5901"/>
    <n v="14406"/>
    <n v="5901"/>
    <m/>
    <n v="1"/>
    <n v="0"/>
    <n v="0"/>
  </r>
  <r>
    <x v="5"/>
    <x v="8"/>
    <x v="1"/>
    <s v="0984341198626"/>
    <s v="20-DEC-13"/>
    <n v="8471"/>
    <n v="6163"/>
    <n v="14634"/>
    <n v="14406"/>
    <n v="14634"/>
    <n v="0"/>
    <n v="0"/>
    <n v="1"/>
    <n v="0"/>
  </r>
  <r>
    <x v="5"/>
    <x v="16"/>
    <x v="2"/>
    <s v="6EYRUWAQ"/>
    <s v="06-MAY-13"/>
    <n v="16562"/>
    <n v="2933"/>
    <n v="19495"/>
    <n v="20521"/>
    <n v="19495"/>
    <m/>
    <n v="0"/>
    <n v="1"/>
    <n v="0"/>
  </r>
  <r>
    <x v="5"/>
    <x v="16"/>
    <x v="2"/>
    <s v="6EM1S1NT"/>
    <s v="07-SEP-13"/>
    <n v="17424"/>
    <n v="2981"/>
    <n v="20405"/>
    <n v="20521"/>
    <n v="20405"/>
    <n v="0"/>
    <n v="0"/>
    <n v="1"/>
    <n v="0"/>
  </r>
  <r>
    <x v="5"/>
    <x v="16"/>
    <x v="2"/>
    <s v="6EC1TBKI"/>
    <s v="06-DEC-13"/>
    <n v="17326"/>
    <n v="2976"/>
    <n v="20302"/>
    <n v="20521"/>
    <n v="20302"/>
    <n v="0"/>
    <n v="0"/>
    <n v="1"/>
    <n v="0"/>
  </r>
  <r>
    <x v="5"/>
    <x v="16"/>
    <x v="2"/>
    <s v="6EHYNDQN"/>
    <s v="28-FEB-14"/>
    <n v="17534"/>
    <n v="2987"/>
    <n v="20521"/>
    <n v="20521"/>
    <n v="41042"/>
    <e v="#REF!"/>
    <n v="0"/>
    <n v="0"/>
    <n v="1"/>
  </r>
  <r>
    <x v="5"/>
    <x v="17"/>
    <x v="9"/>
    <s v="1604338903397"/>
    <s v="25-10-13"/>
    <n v="21880"/>
    <n v="23120"/>
    <n v="45000"/>
    <n v="45000"/>
    <n v="45000"/>
    <n v="0"/>
    <n v="0"/>
    <n v="1"/>
    <n v="0"/>
  </r>
  <r>
    <x v="5"/>
    <x v="18"/>
    <x v="2"/>
    <s v="6EQ1LCPW"/>
    <s v="30-AUG-13"/>
    <n v="2967"/>
    <n v="777"/>
    <n v="3744"/>
    <n v="5161"/>
    <n v="3744"/>
    <n v="0"/>
    <n v="1"/>
    <n v="0"/>
    <n v="0"/>
  </r>
  <r>
    <x v="5"/>
    <x v="7"/>
    <x v="5"/>
    <s v="5894146516100"/>
    <s v="06-SEP-13"/>
    <n v="5410"/>
    <n v="1940"/>
    <n v="7350"/>
    <n v="7234"/>
    <n v="7350"/>
    <n v="0"/>
    <n v="0"/>
    <n v="1"/>
    <n v="0"/>
  </r>
  <r>
    <x v="5"/>
    <x v="19"/>
    <x v="2"/>
    <s v="6EF1LRTF1"/>
    <s v="30-AUG-13"/>
    <n v="2699"/>
    <n v="2615"/>
    <n v="5314"/>
    <n v="5438"/>
    <n v="5314"/>
    <n v="0"/>
    <n v="0"/>
    <n v="1"/>
    <n v="0"/>
  </r>
  <r>
    <x v="6"/>
    <x v="6"/>
    <x v="5"/>
    <s v="5894341518565"/>
    <s v="06-JAN-14"/>
    <n v="5100"/>
    <n v="1840"/>
    <n v="6940"/>
    <n v="7412.5"/>
    <n v="6940"/>
    <n v="0"/>
    <n v="0"/>
    <n v="1"/>
    <n v="0"/>
  </r>
  <r>
    <x v="6"/>
    <x v="6"/>
    <x v="5"/>
    <s v="5894342346791"/>
    <s v="20-JAN-14"/>
    <n v="5500"/>
    <n v="1837"/>
    <n v="7337"/>
    <n v="7412.5"/>
    <n v="7337"/>
    <n v="0"/>
    <n v="0"/>
    <n v="1"/>
    <n v="0"/>
  </r>
  <r>
    <x v="6"/>
    <x v="6"/>
    <x v="5"/>
    <s v="5894342458471"/>
    <s v="29-01-14"/>
    <n v="6100"/>
    <n v="1896"/>
    <n v="7996"/>
    <n v="7412.5"/>
    <n v="7996"/>
    <n v="0"/>
    <n v="0"/>
    <n v="1"/>
    <n v="0"/>
  </r>
  <r>
    <x v="6"/>
    <x v="6"/>
    <x v="5"/>
    <s v="5894342969666"/>
    <s v="07-02-14"/>
    <n v="6400"/>
    <n v="1912"/>
    <n v="8312"/>
    <n v="7412.5"/>
    <n v="8312"/>
    <n v="0"/>
    <n v="0"/>
    <n v="0"/>
    <n v="1"/>
  </r>
  <r>
    <x v="6"/>
    <x v="20"/>
    <x v="5"/>
    <s v="5894340320965"/>
    <s v="02-DEC-13"/>
    <n v="13750"/>
    <n v="5316"/>
    <n v="19066"/>
    <n v="18882"/>
    <n v="19066"/>
    <n v="0"/>
    <n v="0"/>
    <n v="1"/>
    <n v="0"/>
  </r>
  <r>
    <x v="6"/>
    <x v="21"/>
    <x v="5"/>
    <s v="5894340894712"/>
    <s v="15-DEC-13"/>
    <n v="6400"/>
    <n v="4029"/>
    <n v="10429"/>
    <n v="10605"/>
    <n v="10429"/>
    <n v="0"/>
    <n v="0"/>
    <n v="1"/>
    <n v="0"/>
  </r>
  <r>
    <x v="6"/>
    <x v="21"/>
    <x v="5"/>
    <s v="5894341198732"/>
    <s v="23-DEC-13"/>
    <n v="6400"/>
    <n v="4104"/>
    <n v="10504"/>
    <n v="10605"/>
    <n v="20868"/>
    <e v="#REF!"/>
    <n v="0"/>
    <n v="0"/>
    <n v="1"/>
  </r>
  <r>
    <x v="6"/>
    <x v="21"/>
    <x v="5"/>
    <s v="5894341343085"/>
    <s v="23-DEC-13"/>
    <n v="6100"/>
    <n v="4013"/>
    <n v="10113"/>
    <n v="10605"/>
    <n v="10113"/>
    <n v="0"/>
    <n v="0"/>
    <n v="1"/>
    <n v="0"/>
  </r>
  <r>
    <x v="6"/>
    <x v="18"/>
    <x v="5"/>
    <s v="5894342458490"/>
    <s v="03-02-14"/>
    <n v="4170"/>
    <n v="1474"/>
    <n v="5644"/>
    <n v="5161"/>
    <n v="5644"/>
    <n v="0"/>
    <n v="0"/>
    <n v="1"/>
    <n v="0"/>
  </r>
  <r>
    <x v="6"/>
    <x v="7"/>
    <x v="5"/>
    <s v="5894340894714"/>
    <s v="19-DEC-13"/>
    <n v="5500"/>
    <n v="1970"/>
    <n v="7470"/>
    <n v="7234"/>
    <n v="7470"/>
    <n v="0"/>
    <n v="0"/>
    <n v="1"/>
    <n v="0"/>
  </r>
  <r>
    <x v="6"/>
    <x v="7"/>
    <x v="2"/>
    <s v="6EW4N42C"/>
    <s v="07-02-14"/>
    <n v="4292"/>
    <n v="933"/>
    <n v="5225"/>
    <n v="7234"/>
    <n v="5225"/>
    <n v="5125"/>
    <n v="1"/>
    <n v="0"/>
    <n v="0"/>
  </r>
  <r>
    <x v="6"/>
    <x v="7"/>
    <x v="5"/>
    <s v="5894342969705"/>
    <s v="07-02-14"/>
    <n v="5920"/>
    <n v="1969"/>
    <n v="7889"/>
    <n v="7234"/>
    <n v="7889"/>
    <n v="0"/>
    <n v="0"/>
    <n v="1"/>
    <n v="0"/>
  </r>
  <r>
    <x v="6"/>
    <x v="7"/>
    <x v="5"/>
    <s v="5894343391150"/>
    <s v="14-02-14"/>
    <n v="8200"/>
    <n v="2095"/>
    <n v="10295"/>
    <n v="7234"/>
    <n v="10295"/>
    <n v="0"/>
    <n v="0"/>
    <n v="0"/>
    <n v="1"/>
  </r>
  <r>
    <x v="6"/>
    <x v="22"/>
    <x v="5"/>
    <s v="5894340476850"/>
    <s v="05-DEC-13"/>
    <n v="7650"/>
    <n v="3422"/>
    <n v="11072"/>
    <n v="10079"/>
    <n v="11072"/>
    <n v="0"/>
    <n v="0"/>
    <n v="1"/>
    <n v="0"/>
  </r>
  <r>
    <x v="6"/>
    <x v="22"/>
    <x v="5"/>
    <s v="5894342108986"/>
    <s v="22-01-14"/>
    <n v="7650"/>
    <n v="3422"/>
    <n v="11072"/>
    <n v="10079"/>
    <n v="11072"/>
    <n v="0"/>
    <n v="0"/>
    <n v="1"/>
    <n v="0"/>
  </r>
  <r>
    <x v="6"/>
    <x v="22"/>
    <x v="5"/>
    <s v="5894342458472"/>
    <s v="30-01-14"/>
    <n v="7650"/>
    <n v="3422"/>
    <n v="11072"/>
    <n v="10079"/>
    <n v="11072"/>
    <n v="0"/>
    <n v="0"/>
    <n v="1"/>
    <n v="0"/>
  </r>
  <r>
    <x v="6"/>
    <x v="22"/>
    <x v="5"/>
    <s v="5894342969742"/>
    <s v="12-02-14"/>
    <n v="7650"/>
    <n v="3422"/>
    <n v="11072"/>
    <n v="10079"/>
    <n v="11072"/>
    <n v="0"/>
    <n v="0"/>
    <n v="1"/>
    <n v="0"/>
  </r>
  <r>
    <x v="6"/>
    <x v="23"/>
    <x v="3"/>
    <s v="China"/>
    <s v=""/>
    <n v="14565"/>
    <n v="435"/>
    <n v="15000"/>
    <n v="15000"/>
    <n v="15000"/>
    <n v="0"/>
    <n v="0"/>
    <n v="1"/>
    <n v="0"/>
  </r>
  <r>
    <x v="6"/>
    <x v="24"/>
    <x v="4"/>
    <s v="775JZE9VB"/>
    <s v="06-DEC-13"/>
    <n v="8451"/>
    <n v="1406"/>
    <n v="9857"/>
    <n v="10332"/>
    <n v="19714"/>
    <n v="0"/>
    <n v="0"/>
    <n v="0"/>
    <n v="1"/>
  </r>
  <r>
    <x v="6"/>
    <x v="24"/>
    <x v="5"/>
    <s v="5894341198733"/>
    <s v="25-DEC-13"/>
    <n v="6400"/>
    <n v="3964"/>
    <n v="10364"/>
    <n v="10332"/>
    <n v="10364"/>
    <n v="0"/>
    <n v="0"/>
    <n v="1"/>
    <n v="0"/>
  </r>
  <r>
    <x v="6"/>
    <x v="24"/>
    <x v="5"/>
    <s v="5894342108987"/>
    <s v="23-01-14"/>
    <n v="7950"/>
    <n v="3951"/>
    <n v="11901"/>
    <n v="10332"/>
    <n v="11901"/>
    <n v="0"/>
    <n v="0"/>
    <n v="0"/>
    <n v="1"/>
  </r>
  <r>
    <x v="6"/>
    <x v="24"/>
    <x v="2"/>
    <s v="6ES4EZSF"/>
    <s v="31-01-14"/>
    <n v="8688"/>
    <n v="1601"/>
    <n v="10289"/>
    <n v="10332"/>
    <n v="10289"/>
    <n v="0"/>
    <n v="0"/>
    <n v="1"/>
    <n v="0"/>
  </r>
  <r>
    <x v="6"/>
    <x v="24"/>
    <x v="5"/>
    <s v="5894342969627"/>
    <s v="04-02-14"/>
    <n v="7400"/>
    <n v="3920"/>
    <n v="11320"/>
    <n v="10332"/>
    <n v="11320"/>
    <n v="0"/>
    <n v="0"/>
    <n v="1"/>
    <n v="0"/>
  </r>
  <r>
    <x v="6"/>
    <x v="25"/>
    <x v="5"/>
    <s v="5894340894713"/>
    <s v="16-DEC-13"/>
    <n v="7330"/>
    <n v="3206"/>
    <n v="10536"/>
    <n v="9855"/>
    <n v="10536"/>
    <n v="0"/>
    <n v="0"/>
    <n v="1"/>
    <n v="0"/>
  </r>
  <r>
    <x v="6"/>
    <x v="25"/>
    <x v="5"/>
    <s v="5894342969743"/>
    <s v="13-02-14"/>
    <n v="7650"/>
    <n v="3199"/>
    <n v="10849"/>
    <n v="9855"/>
    <n v="10849"/>
    <n v="0"/>
    <n v="0"/>
    <n v="1"/>
    <n v="0"/>
  </r>
  <r>
    <x v="6"/>
    <x v="19"/>
    <x v="5"/>
    <s v="5894342458491"/>
    <s v="03-02-14"/>
    <n v="4170"/>
    <n v="1698"/>
    <n v="5868"/>
    <n v="5438"/>
    <n v="11512"/>
    <n v="0"/>
    <n v="0"/>
    <n v="0"/>
    <n v="1"/>
  </r>
  <r>
    <x v="6"/>
    <x v="26"/>
    <x v="2"/>
    <s v="6ES81CUJ"/>
    <s v="03-02-14"/>
    <n v="8449"/>
    <n v="1948"/>
    <n v="10397"/>
    <n v="7911"/>
    <n v="10397"/>
    <n v="0"/>
    <n v="0"/>
    <n v="0"/>
    <n v="1"/>
  </r>
  <r>
    <x v="7"/>
    <x v="27"/>
    <x v="3"/>
    <s v="China"/>
    <s v=""/>
    <n v="5114"/>
    <n v="500"/>
    <n v="5614"/>
    <n v="6580.5"/>
    <n v="5614"/>
    <n v="0"/>
    <n v="1"/>
    <n v="0"/>
    <n v="0"/>
  </r>
  <r>
    <x v="8"/>
    <x v="28"/>
    <x v="2"/>
    <s v="6EHYR8VN"/>
    <s v="23-02-14"/>
    <n v="8617"/>
    <n v="963"/>
    <n v="9580"/>
    <n v="9066"/>
    <n v="19160"/>
    <n v="0"/>
    <n v="0"/>
    <n v="0"/>
    <n v="1"/>
  </r>
  <r>
    <x v="8"/>
    <x v="8"/>
    <x v="2"/>
    <s v="6ER15VNH"/>
    <s v="12-AUG-13"/>
    <n v="7956"/>
    <n v="1747"/>
    <n v="9703"/>
    <n v="14406"/>
    <n v="9703"/>
    <n v="4695"/>
    <n v="1"/>
    <n v="0"/>
    <n v="0"/>
  </r>
  <r>
    <x v="8"/>
    <x v="21"/>
    <x v="2"/>
    <s v="6EN2CJTF"/>
    <s v="01-OCT-13"/>
    <n v="9128"/>
    <n v="1585"/>
    <n v="10713"/>
    <n v="10605"/>
    <n v="21426"/>
    <n v="21226"/>
    <n v="0"/>
    <n v="0"/>
    <n v="1"/>
  </r>
  <r>
    <x v="8"/>
    <x v="16"/>
    <x v="2"/>
    <s v="6EM2B1RN"/>
    <s v="02-OCT-13"/>
    <n v="18306"/>
    <n v="3030"/>
    <n v="21336"/>
    <n v="20521"/>
    <n v="21336"/>
    <n v="10488"/>
    <n v="0"/>
    <n v="1"/>
    <n v="0"/>
  </r>
  <r>
    <x v="8"/>
    <x v="18"/>
    <x v="2"/>
    <s v="6ES4SS6P"/>
    <s v="19-DEC-13"/>
    <n v="4310"/>
    <n v="851"/>
    <n v="5161"/>
    <n v="5161"/>
    <n v="10322"/>
    <n v="10122"/>
    <n v="0"/>
    <n v="0"/>
    <n v="1"/>
  </r>
  <r>
    <x v="8"/>
    <x v="18"/>
    <x v="2"/>
    <s v="6EEYGJWN"/>
    <s v="18-DEC-13"/>
    <n v="4310"/>
    <n v="851"/>
    <n v="5161"/>
    <n v="5161"/>
    <n v="10322"/>
    <n v="5061"/>
    <n v="0"/>
    <n v="0"/>
    <n v="1"/>
  </r>
  <r>
    <x v="8"/>
    <x v="29"/>
    <x v="2"/>
    <s v="6EK8DE2D"/>
    <s v="03-02-14"/>
    <n v="9128"/>
    <n v="1311"/>
    <n v="10439"/>
    <n v="10439"/>
    <n v="10439"/>
    <n v="0"/>
    <n v="0"/>
    <n v="1"/>
    <n v="0"/>
  </r>
  <r>
    <x v="8"/>
    <x v="7"/>
    <x v="2"/>
    <s v="6EMTTKCN"/>
    <s v="04-JUN-13"/>
    <n v="5924"/>
    <n v="1024"/>
    <n v="6948"/>
    <n v="7234"/>
    <n v="6948"/>
    <n v="6848"/>
    <n v="0"/>
    <n v="1"/>
    <n v="0"/>
  </r>
  <r>
    <x v="8"/>
    <x v="7"/>
    <x v="2"/>
    <s v="6EZTW6ER"/>
    <s v="04-JUN-13"/>
    <n v="5924"/>
    <n v="1024"/>
    <n v="6948"/>
    <n v="7234"/>
    <n v="6948"/>
    <m/>
    <n v="0"/>
    <n v="1"/>
    <n v="0"/>
  </r>
  <r>
    <x v="8"/>
    <x v="7"/>
    <x v="2"/>
    <s v="6EY24SSC"/>
    <s v="20-SEP-13"/>
    <n v="6306"/>
    <n v="1045"/>
    <n v="7351"/>
    <n v="7234"/>
    <n v="7351"/>
    <n v="0"/>
    <n v="0"/>
    <n v="1"/>
    <n v="0"/>
  </r>
  <r>
    <x v="8"/>
    <x v="7"/>
    <x v="2"/>
    <s v="6EG7H7PW"/>
    <s v="29-01-14"/>
    <n v="5816"/>
    <n v="1139"/>
    <n v="6955"/>
    <n v="7234"/>
    <n v="6955"/>
    <n v="0"/>
    <n v="0"/>
    <n v="1"/>
    <n v="0"/>
  </r>
  <r>
    <x v="8"/>
    <x v="30"/>
    <x v="2"/>
    <s v="6EP3BR8F"/>
    <s v="21-02-14"/>
    <n v="2150"/>
    <n v="4717"/>
    <n v="6867"/>
    <n v="6867"/>
    <n v="6867"/>
    <n v="0"/>
    <n v="0"/>
    <n v="1"/>
    <n v="0"/>
  </r>
  <r>
    <x v="8"/>
    <x v="19"/>
    <x v="2"/>
    <s v="6EX2WBHY"/>
    <s v="19-DEC-13"/>
    <n v="4360"/>
    <n v="1078"/>
    <n v="5438"/>
    <n v="5438"/>
    <n v="21752"/>
    <n v="21352"/>
    <n v="0"/>
    <n v="0"/>
    <n v="1"/>
  </r>
  <r>
    <x v="8"/>
    <x v="19"/>
    <x v="2"/>
    <s v="6EE9DU3N"/>
    <s v="19-DEC-13"/>
    <n v="4360"/>
    <n v="1078"/>
    <n v="5438"/>
    <n v="5438"/>
    <n v="21752"/>
    <n v="5338"/>
    <n v="0"/>
    <n v="0"/>
    <n v="1"/>
  </r>
  <r>
    <x v="8"/>
    <x v="31"/>
    <x v="2"/>
    <s v="6EVB9PFN"/>
    <s v="03-02-14"/>
    <n v="4360"/>
    <n v="925"/>
    <n v="5285"/>
    <n v="5455"/>
    <n v="5285"/>
    <n v="5185"/>
    <n v="0"/>
    <n v="1"/>
    <n v="0"/>
  </r>
  <r>
    <x v="9"/>
    <x v="32"/>
    <x v="3"/>
    <s v="Switzerland"/>
    <s v=""/>
    <n v="6492"/>
    <n v="1008"/>
    <n v="7500"/>
    <n v="7500"/>
    <n v="7500"/>
    <n v="0"/>
    <n v="0"/>
    <n v="1"/>
    <n v="0"/>
  </r>
  <r>
    <x v="10"/>
    <x v="6"/>
    <x v="2"/>
    <s v="6EO2IIPR"/>
    <s v="01-OCT-13"/>
    <n v="6256"/>
    <n v="960"/>
    <n v="7216"/>
    <n v="7412.5"/>
    <n v="7216"/>
    <n v="0"/>
    <n v="0"/>
    <n v="1"/>
    <n v="0"/>
  </r>
  <r>
    <x v="10"/>
    <x v="7"/>
    <x v="2"/>
    <s v="6ED2HQMH"/>
    <s v="01-OCT-13"/>
    <n v="6306"/>
    <n v="1045"/>
    <n v="7351"/>
    <n v="7234"/>
    <n v="7351"/>
    <n v="0"/>
    <n v="0"/>
    <n v="1"/>
    <n v="0"/>
  </r>
  <r>
    <x v="11"/>
    <x v="9"/>
    <x v="2"/>
    <s v="6EE1WGNY1"/>
    <s v="22-JAN-14"/>
    <n v="8670"/>
    <n v="2108"/>
    <n v="10778"/>
    <n v="10597"/>
    <n v="10778"/>
    <n v="0"/>
    <n v="0"/>
    <n v="1"/>
    <n v="0"/>
  </r>
  <r>
    <x v="12"/>
    <x v="6"/>
    <x v="2"/>
    <s v="6EQZ74PR"/>
    <s v="10/07/2013"/>
    <n v="5864"/>
    <n v="937"/>
    <n v="6801"/>
    <n v="7412.5"/>
    <n v="6801"/>
    <m/>
    <n v="0"/>
    <n v="1"/>
    <n v="0"/>
  </r>
  <r>
    <x v="12"/>
    <x v="8"/>
    <x v="2"/>
    <s v="6EOT96AN"/>
    <s v="28-MAY-13"/>
    <n v="11798"/>
    <n v="1960"/>
    <n v="13758"/>
    <n v="14406"/>
    <n v="13758"/>
    <m/>
    <n v="0"/>
    <n v="1"/>
    <n v="0"/>
  </r>
  <r>
    <x v="12"/>
    <x v="33"/>
    <x v="10"/>
    <s v="2324340765299"/>
    <s v="11-DEC-13"/>
    <n v="22665"/>
    <n v="4835"/>
    <n v="27500"/>
    <n v="33500"/>
    <n v="27500"/>
    <n v="0"/>
    <n v="1"/>
    <n v="0"/>
    <n v="0"/>
  </r>
  <r>
    <x v="12"/>
    <x v="34"/>
    <x v="11"/>
    <s v="6184340925076"/>
    <s v="16-DEC-13"/>
    <n v="24500"/>
    <n v="23000"/>
    <n v="47500"/>
    <n v="37293"/>
    <n v="47500"/>
    <n v="0"/>
    <n v="0"/>
    <n v="0"/>
    <n v="1"/>
  </r>
  <r>
    <x v="12"/>
    <x v="7"/>
    <x v="2"/>
    <s v="6EIZ84SN1"/>
    <s v="10/07/2013"/>
    <n v="744"/>
    <n v="2572"/>
    <n v="3316"/>
    <n v="7234"/>
    <n v="3316"/>
    <m/>
    <n v="1"/>
    <n v="0"/>
    <n v="0"/>
  </r>
  <r>
    <x v="13"/>
    <x v="6"/>
    <x v="2"/>
    <s v="6EARN6LX"/>
    <s v="23-APR-13"/>
    <n v="5482"/>
    <n v="916"/>
    <n v="6398"/>
    <n v="7412.5"/>
    <n v="6398"/>
    <m/>
    <n v="1"/>
    <n v="0"/>
    <n v="0"/>
  </r>
  <r>
    <x v="13"/>
    <x v="8"/>
    <x v="2"/>
    <s v="6EFR1UDW"/>
    <s v="09-APR-13"/>
    <n v="10814"/>
    <n v="1905"/>
    <n v="12719"/>
    <n v="14406"/>
    <n v="12719"/>
    <m/>
    <n v="1"/>
    <n v="0"/>
    <n v="0"/>
  </r>
  <r>
    <x v="13"/>
    <x v="7"/>
    <x v="2"/>
    <s v="6ELTU7AR"/>
    <s v="16-JUN-13"/>
    <n v="5924"/>
    <n v="1024"/>
    <n v="6948"/>
    <n v="7234"/>
    <n v="6948"/>
    <m/>
    <n v="0"/>
    <n v="1"/>
    <n v="0"/>
  </r>
  <r>
    <x v="13"/>
    <x v="7"/>
    <x v="2"/>
    <s v="6EPUNGER"/>
    <s v="30-JUN-13"/>
    <n v="5914"/>
    <n v="1023"/>
    <n v="6937"/>
    <n v="7234"/>
    <n v="6937"/>
    <m/>
    <n v="0"/>
    <n v="1"/>
    <n v="0"/>
  </r>
  <r>
    <x v="13"/>
    <x v="19"/>
    <x v="4"/>
    <s v="775CCTE8R"/>
    <s v="24-APR-13"/>
    <n v="2140"/>
    <n v="2949"/>
    <n v="5089"/>
    <n v="5438"/>
    <n v="5089"/>
    <m/>
    <n v="0"/>
    <n v="1"/>
    <n v="0"/>
  </r>
  <r>
    <x v="14"/>
    <x v="35"/>
    <x v="5"/>
    <s v="5894342458274"/>
    <s v="06-02-14"/>
    <n v="7400"/>
    <n v="3480"/>
    <n v="10880"/>
    <n v="11722"/>
    <n v="21760"/>
    <n v="0"/>
    <n v="0"/>
    <n v="0"/>
    <n v="1"/>
  </r>
  <r>
    <x v="15"/>
    <x v="8"/>
    <x v="5"/>
    <s v="5894342108891"/>
    <s v="17-JAN-14"/>
    <n v="10800"/>
    <n v="3669"/>
    <n v="14469"/>
    <n v="14406"/>
    <n v="14469"/>
    <n v="0"/>
    <n v="0"/>
    <n v="1"/>
    <n v="0"/>
  </r>
  <r>
    <x v="15"/>
    <x v="8"/>
    <x v="5"/>
    <s v="5894343391085"/>
    <s v="12-02-14"/>
    <n v="10800"/>
    <n v="3669"/>
    <n v="14469"/>
    <n v="14406"/>
    <n v="14469"/>
    <n v="0"/>
    <n v="0"/>
    <n v="1"/>
    <n v="0"/>
  </r>
  <r>
    <x v="16"/>
    <x v="6"/>
    <x v="5"/>
    <s v="5893976187170"/>
    <s v="08/07/2013"/>
    <n v="3010"/>
    <n v="2983"/>
    <n v="5993"/>
    <n v="7412.5"/>
    <n v="5993"/>
    <m/>
    <n v="1"/>
    <n v="0"/>
    <n v="0"/>
  </r>
  <r>
    <x v="16"/>
    <x v="6"/>
    <x v="1"/>
    <s v="0984147816675"/>
    <s v="10-OCT-13"/>
    <n v="4820"/>
    <n v="3136"/>
    <n v="7956"/>
    <n v="7412.5"/>
    <n v="15982"/>
    <n v="0"/>
    <n v="0"/>
    <n v="0"/>
    <n v="1"/>
  </r>
  <r>
    <x v="16"/>
    <x v="6"/>
    <x v="5"/>
    <s v="5894339562792"/>
    <s v="12-NOV-13"/>
    <n v="6100"/>
    <n v="1896"/>
    <n v="7996"/>
    <n v="7412.5"/>
    <n v="15992"/>
    <n v="0"/>
    <n v="0"/>
    <n v="0"/>
    <n v="1"/>
  </r>
  <r>
    <x v="16"/>
    <x v="6"/>
    <x v="5"/>
    <s v="5894341697668"/>
    <s v="10-JAN-14"/>
    <n v="6100"/>
    <n v="1896"/>
    <n v="7996"/>
    <n v="7412.5"/>
    <n v="7996"/>
    <m/>
    <n v="0"/>
    <n v="1"/>
    <n v="0"/>
  </r>
  <r>
    <x v="16"/>
    <x v="8"/>
    <x v="2"/>
    <s v="6EG4KKFP"/>
    <s v="20-JAN-14"/>
    <n v="7580"/>
    <n v="7083"/>
    <n v="14663"/>
    <n v="14406"/>
    <n v="14663"/>
    <n v="0"/>
    <n v="0"/>
    <n v="1"/>
    <n v="0"/>
  </r>
  <r>
    <x v="16"/>
    <x v="8"/>
    <x v="5"/>
    <s v="5894342956280"/>
    <s v="31-01-14"/>
    <n v="11430"/>
    <n v="3704"/>
    <n v="15134"/>
    <n v="14406"/>
    <n v="15134"/>
    <n v="0"/>
    <n v="0"/>
    <n v="1"/>
    <n v="0"/>
  </r>
  <r>
    <x v="16"/>
    <x v="36"/>
    <x v="5"/>
    <s v="5894340894579"/>
    <s v="11-DEC-13"/>
    <n v="30630"/>
    <n v="11570"/>
    <n v="42200"/>
    <n v="42200"/>
    <n v="42200"/>
    <n v="0"/>
    <n v="0"/>
    <n v="1"/>
    <n v="0"/>
  </r>
  <r>
    <x v="16"/>
    <x v="16"/>
    <x v="2"/>
    <s v="6EK271MW"/>
    <s v="17-SEP-13"/>
    <n v="18306"/>
    <n v="3030"/>
    <n v="21336"/>
    <n v="20521"/>
    <n v="21336"/>
    <n v="10399"/>
    <n v="0"/>
    <n v="1"/>
    <n v="0"/>
  </r>
  <r>
    <x v="16"/>
    <x v="16"/>
    <x v="2"/>
    <s v="6ERDG53E"/>
    <s v="13-02-14"/>
    <n v="17592"/>
    <n v="2991"/>
    <n v="20583"/>
    <n v="20521"/>
    <n v="20583"/>
    <n v="0"/>
    <n v="0"/>
    <n v="1"/>
    <n v="0"/>
  </r>
  <r>
    <x v="16"/>
    <x v="34"/>
    <x v="11"/>
    <s v="6184144934344"/>
    <s v="03-AUG-13"/>
    <n v="19000"/>
    <n v="18975"/>
    <n v="37975"/>
    <n v="37293"/>
    <n v="37975"/>
    <m/>
    <n v="0"/>
    <n v="1"/>
    <n v="0"/>
  </r>
  <r>
    <x v="16"/>
    <x v="34"/>
    <x v="11"/>
    <s v="6184145062027"/>
    <s v="12-AUG-13"/>
    <n v="16000"/>
    <n v="21786"/>
    <n v="37786"/>
    <n v="37293"/>
    <n v="37786"/>
    <m/>
    <n v="0"/>
    <n v="1"/>
    <n v="0"/>
  </r>
  <r>
    <x v="16"/>
    <x v="34"/>
    <x v="11"/>
    <s v="6184145349924"/>
    <s v="13-AUG-13"/>
    <n v="0"/>
    <n v="2000"/>
    <n v="2000"/>
    <n v="37293"/>
    <n v="2000"/>
    <m/>
    <n v="1"/>
    <n v="0"/>
    <n v="0"/>
  </r>
  <r>
    <x v="16"/>
    <x v="34"/>
    <x v="11"/>
    <s v="6184342903867"/>
    <s v="04-02-14"/>
    <n v="16000"/>
    <n v="21800"/>
    <n v="37800"/>
    <n v="37293"/>
    <n v="37800"/>
    <n v="0"/>
    <n v="0"/>
    <n v="1"/>
    <n v="0"/>
  </r>
  <r>
    <x v="16"/>
    <x v="7"/>
    <x v="2"/>
    <s v="6ETZ5FMB1"/>
    <s v="08/07/2013"/>
    <n v="745"/>
    <n v="2572"/>
    <n v="3317"/>
    <n v="7234"/>
    <n v="3317"/>
    <m/>
    <n v="1"/>
    <n v="0"/>
    <n v="0"/>
  </r>
  <r>
    <x v="16"/>
    <x v="7"/>
    <x v="5"/>
    <s v="5894147816676"/>
    <s v="10-OCT-13"/>
    <n v="6050"/>
    <n v="1976"/>
    <n v="8026"/>
    <n v="7234"/>
    <n v="8026"/>
    <n v="0"/>
    <n v="0"/>
    <n v="0"/>
    <n v="1"/>
  </r>
  <r>
    <x v="16"/>
    <x v="7"/>
    <x v="1"/>
    <s v="0984339562795"/>
    <s v="13-NOV-13"/>
    <n v="4620"/>
    <n v="3208"/>
    <n v="7828"/>
    <n v="7234"/>
    <n v="7828"/>
    <n v="6128"/>
    <n v="0"/>
    <n v="1"/>
    <n v="0"/>
  </r>
  <r>
    <x v="16"/>
    <x v="7"/>
    <x v="5"/>
    <s v="5894339562862"/>
    <s v="12-NOV-13"/>
    <n v="6340"/>
    <n v="1992"/>
    <n v="8332"/>
    <n v="7234"/>
    <n v="8332"/>
    <n v="0"/>
    <n v="0"/>
    <n v="0"/>
    <n v="1"/>
  </r>
  <r>
    <x v="16"/>
    <x v="7"/>
    <x v="5"/>
    <s v="5894341697669"/>
    <s v="15-JAN-14"/>
    <n v="5300"/>
    <n v="1934"/>
    <n v="7234"/>
    <n v="7234"/>
    <n v="15230"/>
    <m/>
    <n v="0"/>
    <n v="0"/>
    <n v="1"/>
  </r>
  <r>
    <x v="16"/>
    <x v="7"/>
    <x v="2"/>
    <s v="6EVDMN2E"/>
    <s v="04-02-14"/>
    <n v="5816"/>
    <n v="1139"/>
    <n v="6955"/>
    <n v="7234"/>
    <n v="6955"/>
    <n v="0"/>
    <n v="0"/>
    <n v="1"/>
    <n v="0"/>
  </r>
  <r>
    <x v="16"/>
    <x v="24"/>
    <x v="2"/>
    <s v="6EF26BPB"/>
    <s v="18-SEP-13"/>
    <n v="9178"/>
    <n v="1446"/>
    <n v="10624"/>
    <n v="10332"/>
    <n v="10624"/>
    <n v="0"/>
    <n v="0"/>
    <n v="1"/>
    <n v="0"/>
  </r>
  <r>
    <x v="16"/>
    <x v="37"/>
    <x v="3"/>
    <s v="Dubai"/>
    <s v=""/>
    <n v="4800"/>
    <n v="580"/>
    <n v="5380"/>
    <n v="5380"/>
    <n v="5380"/>
    <n v="0"/>
    <n v="0"/>
    <n v="1"/>
    <n v="0"/>
  </r>
  <r>
    <x v="17"/>
    <x v="21"/>
    <x v="4"/>
    <s v="775D7FKXW2"/>
    <s v="28-JUN-13"/>
    <n v="4487"/>
    <n v="5560"/>
    <n v="10047"/>
    <n v="10605"/>
    <n v="10047"/>
    <m/>
    <n v="0"/>
    <n v="1"/>
    <n v="0"/>
  </r>
  <r>
    <x v="17"/>
    <x v="24"/>
    <x v="5"/>
    <s v="5893975712796"/>
    <s v="28-JUN-13"/>
    <n v="6470"/>
    <n v="4551"/>
    <n v="11021"/>
    <n v="10332"/>
    <n v="11021"/>
    <m/>
    <n v="0"/>
    <n v="1"/>
    <n v="0"/>
  </r>
  <r>
    <x v="18"/>
    <x v="6"/>
    <x v="5"/>
    <s v="5894341697683"/>
    <s v="09-JAN-14"/>
    <n v="6100"/>
    <n v="1896"/>
    <n v="7996"/>
    <n v="7412.5"/>
    <n v="7996"/>
    <m/>
    <n v="0"/>
    <n v="1"/>
    <n v="0"/>
  </r>
  <r>
    <x v="18"/>
    <x v="6"/>
    <x v="5"/>
    <s v="5894342969681"/>
    <s v="07-02-14"/>
    <n v="6400"/>
    <n v="1912"/>
    <n v="8312"/>
    <n v="7412.5"/>
    <n v="8312"/>
    <n v="6562"/>
    <n v="0"/>
    <n v="0"/>
    <n v="1"/>
  </r>
  <r>
    <x v="18"/>
    <x v="8"/>
    <x v="5"/>
    <s v="5894342956252"/>
    <s v="30-01-14"/>
    <n v="10800"/>
    <n v="3668"/>
    <n v="14468"/>
    <n v="14406"/>
    <n v="14468"/>
    <n v="0"/>
    <n v="0"/>
    <n v="1"/>
    <n v="0"/>
  </r>
  <r>
    <x v="18"/>
    <x v="38"/>
    <x v="5"/>
    <s v="5894342242974"/>
    <s v="20-JAN-14"/>
    <n v="6465"/>
    <n v="22035"/>
    <n v="28500"/>
    <n v="28500"/>
    <n v="28500"/>
    <n v="0"/>
    <n v="0"/>
    <n v="1"/>
    <n v="0"/>
  </r>
  <r>
    <x v="18"/>
    <x v="21"/>
    <x v="2"/>
    <s v="6EG9WL3N"/>
    <s v="28-FEB-14"/>
    <n v="7550"/>
    <n v="4601"/>
    <n v="12151"/>
    <n v="10605"/>
    <n v="12151"/>
    <e v="#REF!"/>
    <n v="0"/>
    <n v="0"/>
    <n v="1"/>
  </r>
  <r>
    <x v="18"/>
    <x v="16"/>
    <x v="2"/>
    <s v="6EH391VV"/>
    <s v="13-02-14"/>
    <n v="17592"/>
    <n v="2991"/>
    <n v="20583"/>
    <n v="20521"/>
    <n v="20583"/>
    <n v="0"/>
    <n v="0"/>
    <n v="1"/>
    <n v="0"/>
  </r>
  <r>
    <x v="18"/>
    <x v="7"/>
    <x v="5"/>
    <s v="5894342108763"/>
    <s v="14-JAN-14"/>
    <n v="6100"/>
    <n v="1979"/>
    <n v="8079"/>
    <n v="7234"/>
    <n v="8079"/>
    <m/>
    <n v="0"/>
    <n v="0"/>
    <n v="1"/>
  </r>
  <r>
    <x v="18"/>
    <x v="7"/>
    <x v="2"/>
    <s v="6ENBT8KK"/>
    <s v="07-02-14"/>
    <n v="4292"/>
    <n v="933"/>
    <n v="5225"/>
    <n v="7234"/>
    <n v="5225"/>
    <n v="5125"/>
    <n v="1"/>
    <n v="0"/>
    <n v="0"/>
  </r>
  <r>
    <x v="18"/>
    <x v="24"/>
    <x v="5"/>
    <s v="5894815144203"/>
    <s v="28-FEB-14"/>
    <n v="10840"/>
    <n v="4113"/>
    <n v="14953"/>
    <n v="10332"/>
    <n v="14953"/>
    <e v="#REF!"/>
    <n v="0"/>
    <n v="0"/>
    <n v="1"/>
  </r>
  <r>
    <x v="19"/>
    <x v="6"/>
    <x v="5"/>
    <s v="5894339562845"/>
    <s v="13-NOV-13"/>
    <n v="6100"/>
    <n v="1896"/>
    <n v="7996"/>
    <n v="7412.5"/>
    <n v="7996"/>
    <e v="#REF!"/>
    <n v="0"/>
    <n v="1"/>
    <n v="0"/>
  </r>
  <r>
    <x v="19"/>
    <x v="6"/>
    <x v="5"/>
    <s v="5894339562887"/>
    <s v="14-NOV-13"/>
    <n v="6100"/>
    <n v="1896"/>
    <n v="7996"/>
    <n v="7412.5"/>
    <n v="16035"/>
    <n v="0"/>
    <n v="0"/>
    <n v="0"/>
    <n v="1"/>
  </r>
  <r>
    <x v="19"/>
    <x v="6"/>
    <x v="2"/>
    <s v="6EV92D4D"/>
    <s v="24-NOV-13"/>
    <n v="4450"/>
    <n v="3422"/>
    <n v="7872"/>
    <n v="7412.5"/>
    <n v="7872"/>
    <n v="0"/>
    <n v="0"/>
    <n v="1"/>
    <n v="0"/>
  </r>
  <r>
    <x v="19"/>
    <x v="6"/>
    <x v="2"/>
    <s v="6EA24GTI"/>
    <s v="17-JAN-14"/>
    <n v="4450"/>
    <n v="3561"/>
    <n v="8011"/>
    <n v="7412.5"/>
    <n v="8011"/>
    <n v="0"/>
    <n v="0"/>
    <n v="1"/>
    <n v="0"/>
  </r>
  <r>
    <x v="19"/>
    <x v="8"/>
    <x v="2"/>
    <s v="6EM2H3NA"/>
    <s v="01-OCT-13"/>
    <n v="12562"/>
    <n v="2003"/>
    <n v="14565"/>
    <n v="14406"/>
    <n v="14565"/>
    <n v="0"/>
    <n v="0"/>
    <n v="1"/>
    <n v="0"/>
  </r>
  <r>
    <x v="19"/>
    <x v="8"/>
    <x v="1"/>
    <s v="0984148057139"/>
    <s v="10-OCT-13"/>
    <n v="7719"/>
    <n v="6121"/>
    <n v="13840"/>
    <n v="14406"/>
    <n v="13840"/>
    <n v="0"/>
    <n v="0"/>
    <n v="1"/>
    <n v="0"/>
  </r>
  <r>
    <x v="19"/>
    <x v="8"/>
    <x v="5"/>
    <s v="5894815144124"/>
    <s v="25-FEB-14"/>
    <n v="10800"/>
    <n v="3669"/>
    <n v="14469"/>
    <n v="14406"/>
    <n v="14469"/>
    <e v="#REF!"/>
    <n v="0"/>
    <n v="1"/>
    <n v="0"/>
  </r>
  <r>
    <x v="19"/>
    <x v="8"/>
    <x v="5"/>
    <s v="5894815563003"/>
    <s v="02-MAR-14"/>
    <n v="10800"/>
    <n v="3669"/>
    <n v="14469"/>
    <n v="14406"/>
    <n v="14469"/>
    <e v="#REF!"/>
    <n v="0"/>
    <n v="1"/>
    <n v="0"/>
  </r>
  <r>
    <x v="19"/>
    <x v="16"/>
    <x v="4"/>
    <s v="775Q2T4VY"/>
    <s v="21-10-13"/>
    <n v="17412"/>
    <n v="2980"/>
    <n v="20392"/>
    <n v="20521"/>
    <n v="20392"/>
    <n v="0"/>
    <n v="0"/>
    <n v="1"/>
    <n v="0"/>
  </r>
  <r>
    <x v="19"/>
    <x v="16"/>
    <x v="5"/>
    <s v="5894341890559"/>
    <s v="10-JAN-14"/>
    <n v="12800"/>
    <n v="7868"/>
    <n v="20668"/>
    <n v="20521"/>
    <n v="20668"/>
    <m/>
    <n v="0"/>
    <n v="1"/>
    <n v="0"/>
  </r>
  <r>
    <x v="19"/>
    <x v="7"/>
    <x v="5"/>
    <s v="5894339562846"/>
    <s v="13-NOV-13"/>
    <n v="6100"/>
    <n v="1979"/>
    <n v="8079"/>
    <n v="7234"/>
    <n v="16075"/>
    <e v="#REF!"/>
    <n v="0"/>
    <n v="0"/>
    <n v="1"/>
  </r>
  <r>
    <x v="19"/>
    <x v="7"/>
    <x v="1"/>
    <s v="0984339562888"/>
    <s v="14-NOV-13"/>
    <n v="4820"/>
    <n v="3219"/>
    <n v="8039"/>
    <n v="7234"/>
    <n v="8039"/>
    <n v="0"/>
    <n v="0"/>
    <n v="0"/>
    <n v="1"/>
  </r>
  <r>
    <x v="19"/>
    <x v="7"/>
    <x v="5"/>
    <s v="5894339996116"/>
    <s v="25-NOV-13"/>
    <n v="6100"/>
    <n v="1979"/>
    <n v="8079"/>
    <n v="7234"/>
    <n v="8079"/>
    <n v="0"/>
    <n v="0"/>
    <n v="0"/>
    <n v="1"/>
  </r>
  <r>
    <x v="19"/>
    <x v="7"/>
    <x v="5"/>
    <s v="5894342108882"/>
    <s v="17-JAN-14"/>
    <n v="6550"/>
    <n v="2004"/>
    <n v="8554"/>
    <n v="7234"/>
    <n v="8554"/>
    <n v="0"/>
    <n v="0"/>
    <n v="0"/>
    <n v="1"/>
  </r>
  <r>
    <x v="19"/>
    <x v="22"/>
    <x v="5"/>
    <s v="5894339005561"/>
    <s v="30-10-13"/>
    <n v="7650"/>
    <n v="3422"/>
    <n v="11072"/>
    <n v="10079"/>
    <n v="11072"/>
    <n v="0"/>
    <n v="0"/>
    <n v="1"/>
    <n v="0"/>
  </r>
  <r>
    <x v="19"/>
    <x v="24"/>
    <x v="1"/>
    <s v="0984339005562"/>
    <s v="30-10-13"/>
    <n v="6440"/>
    <n v="5126"/>
    <n v="11566"/>
    <n v="10332"/>
    <n v="11566"/>
    <n v="0"/>
    <n v="0"/>
    <n v="0"/>
    <n v="1"/>
  </r>
  <r>
    <x v="20"/>
    <x v="28"/>
    <x v="2"/>
    <s v="6EFZNZSS1"/>
    <s v="30-JUL-13"/>
    <n v="1418"/>
    <n v="3313"/>
    <n v="4731"/>
    <n v="9066"/>
    <n v="4731"/>
    <m/>
    <n v="1"/>
    <n v="0"/>
    <n v="0"/>
  </r>
  <r>
    <x v="20"/>
    <x v="39"/>
    <x v="2"/>
    <s v="6EAZWNSA1"/>
    <s v="30-JUL-13"/>
    <n v="1418"/>
    <n v="3396"/>
    <n v="4814"/>
    <n v="9477"/>
    <n v="4814"/>
    <m/>
    <n v="1"/>
    <n v="0"/>
    <n v="0"/>
  </r>
  <r>
    <x v="20"/>
    <x v="6"/>
    <x v="2"/>
    <s v="6ENZ7GTV2"/>
    <s v="10/07/2013"/>
    <n v="744"/>
    <n v="2427"/>
    <n v="3171"/>
    <n v="7412.5"/>
    <n v="3171"/>
    <m/>
    <n v="1"/>
    <n v="0"/>
    <n v="0"/>
  </r>
  <r>
    <x v="21"/>
    <x v="8"/>
    <x v="2"/>
    <s v="6EH12NTX"/>
    <s v="12-AUG-13"/>
    <n v="7956"/>
    <n v="1747"/>
    <n v="9703"/>
    <n v="14406"/>
    <n v="9703"/>
    <n v="4795"/>
    <n v="1"/>
    <n v="0"/>
    <n v="0"/>
  </r>
  <r>
    <x v="21"/>
    <x v="7"/>
    <x v="2"/>
    <s v="6EWTLIDV"/>
    <s v="04-JUN-13"/>
    <n v="5924"/>
    <n v="1024"/>
    <n v="6948"/>
    <n v="7234"/>
    <n v="6948"/>
    <m/>
    <n v="0"/>
    <n v="1"/>
    <n v="0"/>
  </r>
  <r>
    <x v="21"/>
    <x v="7"/>
    <x v="12"/>
    <s v="104F6IJS2"/>
    <s v="23-SEP-13"/>
    <n v="3940"/>
    <n v="3297"/>
    <n v="7237"/>
    <n v="7234"/>
    <n v="7237"/>
    <n v="0"/>
    <n v="0"/>
    <n v="1"/>
    <n v="0"/>
  </r>
  <r>
    <x v="22"/>
    <x v="6"/>
    <x v="5"/>
    <s v="5894339562964"/>
    <s v="19-NOV-13"/>
    <n v="6100"/>
    <n v="1896"/>
    <n v="7996"/>
    <n v="7412.5"/>
    <n v="15824"/>
    <n v="0"/>
    <n v="0"/>
    <n v="0"/>
    <n v="1"/>
  </r>
  <r>
    <x v="22"/>
    <x v="7"/>
    <x v="1"/>
    <s v="0984339562965"/>
    <s v="19-NOV-13"/>
    <n v="4620"/>
    <n v="3208"/>
    <n v="7828"/>
    <n v="7234"/>
    <n v="7828"/>
    <n v="0"/>
    <n v="0"/>
    <n v="1"/>
    <n v="0"/>
  </r>
  <r>
    <x v="23"/>
    <x v="15"/>
    <x v="2"/>
    <s v="6EX1P22L"/>
    <s v="21-02-14"/>
    <n v="17184"/>
    <n v="2049"/>
    <n v="19233"/>
    <n v="19030"/>
    <n v="38466"/>
    <n v="0"/>
    <n v="0"/>
    <n v="0"/>
    <n v="1"/>
  </r>
  <r>
    <x v="23"/>
    <x v="6"/>
    <x v="1"/>
    <s v="0984146953050"/>
    <s v="18-SEP-13"/>
    <n v="4110"/>
    <n v="3097"/>
    <n v="7207"/>
    <n v="7412.5"/>
    <n v="7207"/>
    <n v="0"/>
    <n v="0"/>
    <n v="1"/>
    <n v="0"/>
  </r>
  <r>
    <x v="23"/>
    <x v="8"/>
    <x v="12"/>
    <s v="104YSYU552"/>
    <s v="29-01-14"/>
    <n v="8450"/>
    <n v="6979"/>
    <n v="15429"/>
    <n v="14406"/>
    <n v="15429"/>
    <n v="0"/>
    <n v="0"/>
    <n v="1"/>
    <n v="0"/>
  </r>
  <r>
    <x v="23"/>
    <x v="18"/>
    <x v="2"/>
    <s v="6EXB6STA"/>
    <s v="18-DEC-13"/>
    <n v="4310"/>
    <n v="851"/>
    <n v="5161"/>
    <n v="5161"/>
    <n v="5161"/>
    <n v="0"/>
    <n v="0"/>
    <n v="1"/>
    <n v="0"/>
  </r>
  <r>
    <x v="23"/>
    <x v="40"/>
    <x v="2"/>
    <s v="6EX2I4ML"/>
    <s v="03-02-14"/>
    <n v="18306"/>
    <n v="2371"/>
    <n v="20677"/>
    <n v="20677"/>
    <n v="41354"/>
    <n v="0"/>
    <n v="0"/>
    <n v="0"/>
    <n v="1"/>
  </r>
  <r>
    <x v="23"/>
    <x v="7"/>
    <x v="1"/>
    <s v="0984146953053"/>
    <s v="21-SEP-13"/>
    <n v="3130"/>
    <n v="3126"/>
    <n v="6256"/>
    <n v="7234"/>
    <n v="6256"/>
    <n v="0"/>
    <n v="1"/>
    <n v="0"/>
    <n v="0"/>
  </r>
  <r>
    <x v="23"/>
    <x v="7"/>
    <x v="2"/>
    <s v="6EQ71J9J"/>
    <s v="29-01-14"/>
    <n v="5816"/>
    <n v="1139"/>
    <n v="6955"/>
    <n v="7234"/>
    <n v="20865"/>
    <n v="0"/>
    <n v="0"/>
    <n v="0"/>
    <n v="1"/>
  </r>
  <r>
    <x v="23"/>
    <x v="19"/>
    <x v="2"/>
    <s v="6EX2WBHY"/>
    <s v="19-DEC-13"/>
    <n v="4360"/>
    <n v="1078"/>
    <n v="5438"/>
    <n v="5438"/>
    <n v="5438"/>
    <n v="0"/>
    <n v="0"/>
    <n v="1"/>
    <n v="0"/>
  </r>
  <r>
    <x v="23"/>
    <x v="19"/>
    <x v="2"/>
    <s v="6EE9DU3N"/>
    <s v="19-DEC-13"/>
    <n v="4360"/>
    <n v="1078"/>
    <n v="5438"/>
    <n v="5438"/>
    <n v="5438"/>
    <n v="0"/>
    <n v="0"/>
    <n v="1"/>
    <n v="0"/>
  </r>
  <r>
    <x v="24"/>
    <x v="17"/>
    <x v="9"/>
    <s v="1604338903398"/>
    <s v="25-10-13"/>
    <n v="21880"/>
    <n v="23120"/>
    <n v="45000"/>
    <n v="45000"/>
    <n v="45000"/>
    <n v="0"/>
    <n v="0"/>
    <n v="1"/>
    <n v="0"/>
  </r>
  <r>
    <x v="24"/>
    <x v="41"/>
    <x v="5"/>
    <s v="5894147356560"/>
    <s v="06-OCT-13"/>
    <n v="3600"/>
    <n v="1442"/>
    <n v="5042"/>
    <n v="5042"/>
    <n v="19830"/>
    <n v="0"/>
    <n v="0"/>
    <n v="0"/>
    <n v="1"/>
  </r>
  <r>
    <x v="24"/>
    <x v="42"/>
    <x v="4"/>
    <s v="775X9ZP8T3"/>
    <s v="06-OCT-13"/>
    <n v="2205"/>
    <n v="2668"/>
    <n v="4873"/>
    <n v="4873"/>
    <n v="4873"/>
    <n v="0"/>
    <n v="0"/>
    <n v="1"/>
    <n v="0"/>
  </r>
  <r>
    <x v="25"/>
    <x v="6"/>
    <x v="5"/>
    <s v="5893972579103"/>
    <s v="26-APR-13"/>
    <n v="4500"/>
    <n v="3171"/>
    <n v="7671"/>
    <n v="7412.5"/>
    <n v="7671"/>
    <m/>
    <n v="0"/>
    <n v="1"/>
    <n v="0"/>
  </r>
  <r>
    <x v="25"/>
    <x v="6"/>
    <x v="5"/>
    <s v="5893972579240"/>
    <s v="03-MAY-13"/>
    <n v="4500"/>
    <n v="3171"/>
    <n v="7671"/>
    <n v="7412.5"/>
    <n v="7671"/>
    <m/>
    <n v="0"/>
    <n v="1"/>
    <n v="0"/>
  </r>
  <r>
    <x v="25"/>
    <x v="6"/>
    <x v="5"/>
    <s v="5893973926372"/>
    <s v="24-MAY-13"/>
    <n v="4500"/>
    <n v="3171"/>
    <n v="7671"/>
    <n v="7412.5"/>
    <n v="7671"/>
    <m/>
    <n v="0"/>
    <n v="1"/>
    <n v="0"/>
  </r>
  <r>
    <x v="25"/>
    <x v="6"/>
    <x v="5"/>
    <s v="5893973926485"/>
    <s v="24-MAY-13"/>
    <n v="4500"/>
    <n v="3171"/>
    <n v="7671"/>
    <n v="7412.5"/>
    <n v="7671"/>
    <m/>
    <n v="0"/>
    <n v="1"/>
    <n v="0"/>
  </r>
  <r>
    <x v="25"/>
    <x v="6"/>
    <x v="5"/>
    <s v="5893975550331"/>
    <s v="24-JUN-13"/>
    <n v="4550"/>
    <n v="3121"/>
    <n v="7671"/>
    <n v="7412.5"/>
    <n v="7671"/>
    <m/>
    <n v="0"/>
    <n v="1"/>
    <n v="0"/>
  </r>
  <r>
    <x v="25"/>
    <x v="6"/>
    <x v="5"/>
    <s v="5893976187169"/>
    <s v="08/07/2013"/>
    <n v="3010"/>
    <n v="2983"/>
    <n v="5993"/>
    <n v="7412.5"/>
    <n v="5993"/>
    <m/>
    <n v="1"/>
    <n v="0"/>
    <n v="0"/>
  </r>
  <r>
    <x v="25"/>
    <x v="6"/>
    <x v="5"/>
    <s v="5893976529126"/>
    <s v="18-JUL-13"/>
    <n v="2540"/>
    <n v="1541"/>
    <n v="4081"/>
    <n v="7412.5"/>
    <n v="4081"/>
    <m/>
    <n v="1"/>
    <n v="0"/>
    <n v="0"/>
  </r>
  <r>
    <x v="25"/>
    <x v="6"/>
    <x v="5"/>
    <s v="5894144546054"/>
    <s v="24-JUL-13"/>
    <n v="1382"/>
    <n v="1477"/>
    <n v="2859"/>
    <n v="7412.5"/>
    <n v="2859"/>
    <m/>
    <n v="1"/>
    <n v="0"/>
    <n v="0"/>
  </r>
  <r>
    <x v="25"/>
    <x v="6"/>
    <x v="5"/>
    <s v="5894144900911"/>
    <s v="05-AUG-13"/>
    <n v="1382"/>
    <n v="1476"/>
    <n v="2858"/>
    <n v="7412.5"/>
    <n v="2858"/>
    <m/>
    <n v="1"/>
    <n v="0"/>
    <n v="0"/>
  </r>
  <r>
    <x v="25"/>
    <x v="6"/>
    <x v="5"/>
    <s v="5894146516224"/>
    <s v="12-SEP-13"/>
    <n v="5540"/>
    <n v="1865"/>
    <n v="7405"/>
    <n v="7412.5"/>
    <n v="7405"/>
    <n v="0"/>
    <n v="0"/>
    <n v="1"/>
    <n v="0"/>
  </r>
  <r>
    <x v="25"/>
    <x v="6"/>
    <x v="5"/>
    <s v="5894339005552"/>
    <s v="26-10-13"/>
    <n v="6100"/>
    <n v="1896"/>
    <n v="7996"/>
    <n v="7412.5"/>
    <n v="7996"/>
    <n v="6317"/>
    <n v="0"/>
    <n v="1"/>
    <n v="0"/>
  </r>
  <r>
    <x v="25"/>
    <x v="6"/>
    <x v="5"/>
    <s v="5894339005589"/>
    <s v="26-10-13"/>
    <n v="5800"/>
    <n v="1879"/>
    <n v="7679"/>
    <n v="7412.5"/>
    <n v="7679"/>
    <n v="0"/>
    <n v="0"/>
    <n v="1"/>
    <n v="0"/>
  </r>
  <r>
    <x v="25"/>
    <x v="6"/>
    <x v="5"/>
    <s v="5894341697684"/>
    <s v="09-JAN-14"/>
    <n v="6100"/>
    <n v="1896"/>
    <n v="7996"/>
    <n v="7412.5"/>
    <n v="15992"/>
    <m/>
    <n v="0"/>
    <n v="0"/>
    <n v="1"/>
  </r>
  <r>
    <x v="25"/>
    <x v="6"/>
    <x v="5"/>
    <s v="5894343391107"/>
    <s v="13-02-14"/>
    <n v="6100"/>
    <n v="1896"/>
    <n v="7996"/>
    <n v="7412.5"/>
    <n v="7996"/>
    <n v="0"/>
    <n v="0"/>
    <n v="1"/>
    <n v="0"/>
  </r>
  <r>
    <x v="25"/>
    <x v="8"/>
    <x v="5"/>
    <s v="5894148057108"/>
    <s v="10-OCT-13"/>
    <n v="9345"/>
    <n v="3588"/>
    <n v="12933"/>
    <n v="14406"/>
    <n v="12933"/>
    <n v="0"/>
    <n v="0"/>
    <n v="1"/>
    <n v="0"/>
  </r>
  <r>
    <x v="25"/>
    <x v="20"/>
    <x v="5"/>
    <s v="5894340465225"/>
    <s v="04-DEC-13"/>
    <n v="13750"/>
    <n v="4948"/>
    <n v="18698"/>
    <n v="18882"/>
    <n v="18698"/>
    <n v="8383"/>
    <n v="0"/>
    <n v="1"/>
    <n v="0"/>
  </r>
  <r>
    <x v="25"/>
    <x v="21"/>
    <x v="5"/>
    <s v="5893972916916"/>
    <s v="29-APR-13"/>
    <n v="5870"/>
    <n v="5287"/>
    <n v="11157"/>
    <n v="10605"/>
    <n v="11157"/>
    <m/>
    <n v="0"/>
    <n v="1"/>
    <n v="0"/>
  </r>
  <r>
    <x v="25"/>
    <x v="21"/>
    <x v="5"/>
    <s v="5894341035318"/>
    <s v="15-DEC-13"/>
    <n v="6400"/>
    <n v="4129"/>
    <n v="10529"/>
    <n v="10605"/>
    <n v="10529"/>
    <n v="0"/>
    <n v="0"/>
    <n v="1"/>
    <n v="0"/>
  </r>
  <r>
    <x v="25"/>
    <x v="43"/>
    <x v="2"/>
    <s v="6E1312248487"/>
    <s v="29-DEC-13"/>
    <n v="5749"/>
    <n v="931"/>
    <n v="6680"/>
    <n v="6680"/>
    <n v="6680"/>
    <n v="0"/>
    <n v="0"/>
    <n v="1"/>
    <n v="0"/>
  </r>
  <r>
    <x v="25"/>
    <x v="7"/>
    <x v="5"/>
    <s v="5893972579104"/>
    <s v="27-APR-13"/>
    <n v="3940"/>
    <n v="3223"/>
    <n v="7163"/>
    <n v="7234"/>
    <n v="7163"/>
    <m/>
    <n v="0"/>
    <n v="1"/>
    <n v="0"/>
  </r>
  <r>
    <x v="25"/>
    <x v="7"/>
    <x v="5"/>
    <s v="5893972579241"/>
    <s v="03-MAY-13"/>
    <n v="3940"/>
    <n v="3223"/>
    <n v="7163"/>
    <n v="7234"/>
    <n v="7163"/>
    <m/>
    <n v="0"/>
    <n v="1"/>
    <n v="0"/>
  </r>
  <r>
    <x v="25"/>
    <x v="7"/>
    <x v="5"/>
    <s v="5893975550332"/>
    <s v="25-JUN-13"/>
    <n v="3990"/>
    <n v="3173"/>
    <n v="7163"/>
    <n v="7234"/>
    <n v="7163"/>
    <m/>
    <n v="0"/>
    <n v="1"/>
    <n v="0"/>
  </r>
  <r>
    <x v="25"/>
    <x v="7"/>
    <x v="5"/>
    <s v="5893976120125"/>
    <s v="08/07/2013"/>
    <n v="3010"/>
    <n v="3120"/>
    <n v="6130"/>
    <n v="7234"/>
    <n v="6130"/>
    <m/>
    <n v="1"/>
    <n v="0"/>
    <n v="0"/>
  </r>
  <r>
    <x v="25"/>
    <x v="7"/>
    <x v="5"/>
    <s v="5893976529196"/>
    <s v="20-JUL-13"/>
    <n v="1482"/>
    <n v="1617"/>
    <n v="3099"/>
    <n v="7234"/>
    <n v="3099"/>
    <m/>
    <n v="1"/>
    <n v="0"/>
    <n v="0"/>
  </r>
  <r>
    <x v="25"/>
    <x v="7"/>
    <x v="4"/>
    <s v="775T4CEQF1"/>
    <s v="31-JUL-13"/>
    <n v="2004"/>
    <n v="2721"/>
    <n v="4725"/>
    <n v="7234"/>
    <n v="4725"/>
    <m/>
    <n v="1"/>
    <n v="0"/>
    <n v="0"/>
  </r>
  <r>
    <x v="25"/>
    <x v="7"/>
    <x v="5"/>
    <s v="5894144897703"/>
    <s v="05-AUG-13"/>
    <n v="2345"/>
    <n v="1771"/>
    <n v="4116"/>
    <n v="7234"/>
    <n v="4116"/>
    <m/>
    <n v="1"/>
    <n v="0"/>
    <n v="0"/>
  </r>
  <r>
    <x v="25"/>
    <x v="7"/>
    <x v="5"/>
    <s v="5894147397514"/>
    <s v="22-SEP-13"/>
    <n v="5540"/>
    <n v="1947"/>
    <n v="7487"/>
    <n v="7234"/>
    <n v="7487"/>
    <n v="0"/>
    <n v="0"/>
    <n v="1"/>
    <n v="0"/>
  </r>
  <r>
    <x v="25"/>
    <x v="7"/>
    <x v="5"/>
    <s v="5894339005731"/>
    <s v="07-NOV-13"/>
    <n v="5800"/>
    <n v="1962"/>
    <n v="7762"/>
    <n v="7234"/>
    <n v="7762"/>
    <n v="0"/>
    <n v="0"/>
    <n v="1"/>
    <n v="0"/>
  </r>
  <r>
    <x v="25"/>
    <x v="7"/>
    <x v="2"/>
    <s v="6ERCPEMX"/>
    <s v="24-FEB-14"/>
    <n v="9220"/>
    <n v="1206"/>
    <n v="10426"/>
    <n v="7234"/>
    <n v="10426"/>
    <e v="#REF!"/>
    <n v="0"/>
    <n v="0"/>
    <n v="1"/>
  </r>
  <r>
    <x v="25"/>
    <x v="22"/>
    <x v="5"/>
    <s v="5894340476860"/>
    <s v="05-DEC-13"/>
    <n v="7650"/>
    <n v="3422"/>
    <n v="11072"/>
    <n v="10079"/>
    <n v="11072"/>
    <n v="0"/>
    <n v="0"/>
    <n v="1"/>
    <n v="0"/>
  </r>
  <r>
    <x v="25"/>
    <x v="44"/>
    <x v="12"/>
    <s v="104H5ZL4Y1"/>
    <s v="19-DEC-13"/>
    <n v="5340"/>
    <n v="3332"/>
    <n v="8672"/>
    <n v="6944"/>
    <n v="8672"/>
    <n v="0"/>
    <n v="0"/>
    <n v="0"/>
    <n v="1"/>
  </r>
  <r>
    <x v="25"/>
    <x v="45"/>
    <x v="9"/>
    <s v="1604342242972"/>
    <s v="21-JAN-14"/>
    <n v="14015"/>
    <n v="20985"/>
    <n v="35000"/>
    <n v="35000"/>
    <n v="35000"/>
    <n v="0"/>
    <n v="0"/>
    <n v="1"/>
    <n v="0"/>
  </r>
  <r>
    <x v="25"/>
    <x v="46"/>
    <x v="3"/>
    <s v="Switzerland"/>
    <s v=""/>
    <n v="5655"/>
    <n v="2345"/>
    <n v="8000"/>
    <n v="8000"/>
    <n v="8000"/>
    <m/>
    <n v="0"/>
    <n v="1"/>
    <n v="0"/>
  </r>
  <r>
    <x v="25"/>
    <x v="47"/>
    <x v="5"/>
    <s v="5894340177000"/>
    <s v="26-NOV-13"/>
    <n v="11535"/>
    <n v="3325"/>
    <n v="14860"/>
    <n v="14860"/>
    <n v="14860"/>
    <n v="0"/>
    <n v="0"/>
    <n v="1"/>
    <n v="0"/>
  </r>
  <r>
    <x v="25"/>
    <x v="24"/>
    <x v="5"/>
    <s v="5893513821203"/>
    <s v="19-APR-13"/>
    <n v="5000"/>
    <n v="5099"/>
    <n v="10099"/>
    <n v="10332"/>
    <n v="10099"/>
    <m/>
    <n v="0"/>
    <n v="1"/>
    <n v="0"/>
  </r>
  <r>
    <x v="25"/>
    <x v="24"/>
    <x v="5"/>
    <s v="5893972916917"/>
    <s v="29-APR-13"/>
    <n v="5870"/>
    <n v="5147"/>
    <n v="11017"/>
    <n v="10332"/>
    <n v="11017"/>
    <m/>
    <n v="0"/>
    <n v="1"/>
    <n v="0"/>
  </r>
  <r>
    <x v="25"/>
    <x v="24"/>
    <x v="4"/>
    <s v="775JZE9VB"/>
    <s v="06-DEC-13"/>
    <n v="8451"/>
    <n v="1406"/>
    <n v="9857"/>
    <n v="10332"/>
    <n v="9857"/>
    <n v="0"/>
    <n v="0"/>
    <n v="1"/>
    <n v="0"/>
  </r>
  <r>
    <x v="25"/>
    <x v="25"/>
    <x v="5"/>
    <s v="5894341035319"/>
    <s v="16-DEC-13"/>
    <n v="7330"/>
    <n v="3306"/>
    <n v="10636"/>
    <n v="9855"/>
    <n v="10636"/>
    <n v="0"/>
    <n v="0"/>
    <n v="1"/>
    <n v="0"/>
  </r>
  <r>
    <x v="25"/>
    <x v="48"/>
    <x v="2"/>
    <s v="6ENSUDDW1"/>
    <s v="02-JUN-13"/>
    <n v="1640"/>
    <n v="2540"/>
    <n v="4180"/>
    <n v="8768.5"/>
    <n v="4180"/>
    <m/>
    <n v="1"/>
    <n v="0"/>
    <n v="0"/>
  </r>
  <r>
    <x v="25"/>
    <x v="48"/>
    <x v="5"/>
    <s v="5894341343192"/>
    <s v="02-JAN-14"/>
    <n v="11646"/>
    <n v="1711"/>
    <n v="13357"/>
    <n v="8768.5"/>
    <n v="13357"/>
    <n v="0"/>
    <n v="0"/>
    <n v="0"/>
    <n v="1"/>
  </r>
  <r>
    <x v="26"/>
    <x v="6"/>
    <x v="5"/>
    <s v="5894147816685"/>
    <s v="09-OCT-13"/>
    <n v="6050"/>
    <n v="1893"/>
    <n v="7943"/>
    <n v="7412.5"/>
    <n v="7943"/>
    <n v="0"/>
    <n v="0"/>
    <n v="1"/>
    <n v="0"/>
  </r>
  <r>
    <x v="26"/>
    <x v="7"/>
    <x v="5"/>
    <s v="5894147816631"/>
    <s v="09-OCT-13"/>
    <n v="6050"/>
    <n v="1976"/>
    <n v="8026"/>
    <n v="7234"/>
    <n v="8026"/>
    <n v="0"/>
    <n v="0"/>
    <n v="0"/>
    <n v="1"/>
  </r>
  <r>
    <x v="27"/>
    <x v="28"/>
    <x v="2"/>
    <s v="6EO1MUPL1"/>
    <s v="30-AUG-13"/>
    <n v="849"/>
    <n v="3246"/>
    <n v="4095"/>
    <n v="9066"/>
    <n v="4095"/>
    <n v="0"/>
    <n v="1"/>
    <n v="0"/>
    <n v="0"/>
  </r>
  <r>
    <x v="27"/>
    <x v="15"/>
    <x v="2"/>
    <s v="6EP2HKRM"/>
    <s v="04-OCT-13"/>
    <n v="16848"/>
    <n v="2030"/>
    <n v="18878"/>
    <n v="19030"/>
    <n v="37756"/>
    <n v="0"/>
    <n v="0"/>
    <n v="0"/>
    <n v="1"/>
  </r>
  <r>
    <x v="27"/>
    <x v="6"/>
    <x v="1"/>
    <s v="0983976120208"/>
    <s v="11/07/2013"/>
    <n v="2585"/>
    <n v="3013"/>
    <n v="5598"/>
    <n v="7412.5"/>
    <n v="5598"/>
    <m/>
    <n v="1"/>
    <n v="0"/>
    <n v="0"/>
  </r>
  <r>
    <x v="27"/>
    <x v="6"/>
    <x v="4"/>
    <s v="775A8PF6A1"/>
    <s v="29-JUL-13"/>
    <n v="472"/>
    <n v="2394"/>
    <n v="2866"/>
    <n v="7412.5"/>
    <n v="2866"/>
    <m/>
    <n v="1"/>
    <n v="0"/>
    <n v="0"/>
  </r>
  <r>
    <x v="27"/>
    <x v="6"/>
    <x v="5"/>
    <s v="5894144900912"/>
    <s v="05-AUG-13"/>
    <n v="1382"/>
    <n v="1476"/>
    <n v="2858"/>
    <n v="7412.5"/>
    <n v="2858"/>
    <m/>
    <n v="1"/>
    <n v="0"/>
    <n v="0"/>
  </r>
  <r>
    <x v="27"/>
    <x v="6"/>
    <x v="5"/>
    <s v="5894145426143"/>
    <s v="14-AUG-13"/>
    <n v="1382"/>
    <n v="1633"/>
    <n v="3015"/>
    <n v="7412.5"/>
    <n v="3015"/>
    <m/>
    <n v="1"/>
    <n v="0"/>
    <n v="0"/>
  </r>
  <r>
    <x v="27"/>
    <x v="6"/>
    <x v="1"/>
    <s v="0984145809046"/>
    <s v="20-AUG-13"/>
    <n v="1716"/>
    <n v="2964"/>
    <n v="4680"/>
    <n v="7412.5"/>
    <n v="4680"/>
    <n v="0"/>
    <n v="1"/>
    <n v="0"/>
    <n v="0"/>
  </r>
  <r>
    <x v="27"/>
    <x v="6"/>
    <x v="2"/>
    <s v="6EP1L8TS1"/>
    <s v="28-AUG-13"/>
    <n v="1295"/>
    <n v="2492"/>
    <n v="3787"/>
    <n v="7412.5"/>
    <n v="3787"/>
    <n v="0"/>
    <n v="1"/>
    <n v="0"/>
    <n v="0"/>
  </r>
  <r>
    <x v="27"/>
    <x v="6"/>
    <x v="1"/>
    <s v="0984147816632"/>
    <s v="09-OCT-13"/>
    <n v="4820"/>
    <n v="3136"/>
    <n v="7956"/>
    <n v="7412.5"/>
    <n v="7956"/>
    <n v="0"/>
    <n v="0"/>
    <n v="1"/>
    <n v="0"/>
  </r>
  <r>
    <x v="27"/>
    <x v="6"/>
    <x v="1"/>
    <s v="0984339005563"/>
    <s v="31-10-13"/>
    <n v="4620"/>
    <n v="3125"/>
    <n v="7745"/>
    <n v="7412.5"/>
    <n v="7745"/>
    <n v="0"/>
    <n v="0"/>
    <n v="1"/>
    <n v="0"/>
  </r>
  <r>
    <x v="27"/>
    <x v="6"/>
    <x v="2"/>
    <s v="6EB39IPM"/>
    <s v="12-NOV-13"/>
    <n v="6256"/>
    <n v="960"/>
    <n v="7216"/>
    <n v="7412.5"/>
    <n v="7216"/>
    <n v="0"/>
    <n v="0"/>
    <n v="1"/>
    <n v="0"/>
  </r>
  <r>
    <x v="27"/>
    <x v="6"/>
    <x v="5"/>
    <s v="5894339996085"/>
    <s v="21-NOV-13"/>
    <n v="6100"/>
    <n v="1896"/>
    <n v="7996"/>
    <n v="7412.5"/>
    <n v="16328"/>
    <n v="0"/>
    <n v="0"/>
    <n v="0"/>
    <n v="1"/>
  </r>
  <r>
    <x v="27"/>
    <x v="6"/>
    <x v="1"/>
    <s v="0984339996119"/>
    <s v="25-NOV-13"/>
    <n v="5020"/>
    <n v="3148"/>
    <n v="8168"/>
    <n v="7412.5"/>
    <n v="16247"/>
    <n v="0"/>
    <n v="0"/>
    <n v="0"/>
    <n v="1"/>
  </r>
  <r>
    <x v="27"/>
    <x v="6"/>
    <x v="5"/>
    <s v="5894340476999"/>
    <s v="11-DEC-13"/>
    <n v="6100"/>
    <n v="1896"/>
    <n v="7996"/>
    <n v="7412.5"/>
    <n v="7996"/>
    <n v="0"/>
    <n v="0"/>
    <n v="1"/>
    <n v="0"/>
  </r>
  <r>
    <x v="27"/>
    <x v="6"/>
    <x v="1"/>
    <s v="0984340930172"/>
    <s v="20-DEC-13"/>
    <n v="4620"/>
    <n v="3125"/>
    <n v="7745"/>
    <n v="7412.5"/>
    <n v="15996"/>
    <n v="7098"/>
    <n v="0"/>
    <n v="0"/>
    <n v="1"/>
  </r>
  <r>
    <x v="27"/>
    <x v="6"/>
    <x v="5"/>
    <s v="5894343391091"/>
    <s v="15-02-14"/>
    <n v="6100"/>
    <n v="1896"/>
    <n v="7996"/>
    <n v="7412.5"/>
    <n v="7996"/>
    <n v="0"/>
    <n v="0"/>
    <n v="1"/>
    <n v="0"/>
  </r>
  <r>
    <x v="27"/>
    <x v="8"/>
    <x v="5"/>
    <s v="5894342458420"/>
    <s v="29-01-14"/>
    <n v="11018"/>
    <n v="3422"/>
    <n v="14440"/>
    <n v="14406"/>
    <n v="14440"/>
    <n v="0"/>
    <n v="0"/>
    <n v="1"/>
    <n v="0"/>
  </r>
  <r>
    <x v="27"/>
    <x v="8"/>
    <x v="5"/>
    <s v="5894343391106"/>
    <s v="13-02-14"/>
    <n v="10800"/>
    <n v="3669"/>
    <n v="14469"/>
    <n v="14406"/>
    <n v="14469"/>
    <n v="0"/>
    <n v="0"/>
    <n v="1"/>
    <n v="0"/>
  </r>
  <r>
    <x v="27"/>
    <x v="21"/>
    <x v="1"/>
    <s v="0984148187153"/>
    <s v="21-10-13"/>
    <n v="6440"/>
    <n v="5266"/>
    <n v="11706"/>
    <n v="10605"/>
    <n v="11706"/>
    <n v="10027"/>
    <n v="0"/>
    <n v="0"/>
    <n v="1"/>
  </r>
  <r>
    <x v="27"/>
    <x v="21"/>
    <x v="4"/>
    <s v="775QEJJHR"/>
    <s v="21-10-13"/>
    <n v="8731"/>
    <n v="1421"/>
    <n v="10152"/>
    <n v="10605"/>
    <n v="20304"/>
    <n v="0"/>
    <n v="0"/>
    <n v="0"/>
    <n v="1"/>
  </r>
  <r>
    <x v="27"/>
    <x v="21"/>
    <x v="2"/>
    <s v="6ER2U4RF"/>
    <s v="20-10-13"/>
    <n v="9128"/>
    <n v="1585"/>
    <n v="10713"/>
    <n v="10605"/>
    <n v="10713"/>
    <n v="0"/>
    <n v="0"/>
    <n v="1"/>
    <n v="0"/>
  </r>
  <r>
    <x v="27"/>
    <x v="49"/>
    <x v="11"/>
    <s v="6184342313229"/>
    <s v="20-JAN-14"/>
    <n v="9600"/>
    <n v="11200"/>
    <n v="20800"/>
    <n v="20800"/>
    <n v="20800"/>
    <n v="0"/>
    <n v="0"/>
    <n v="1"/>
    <n v="0"/>
  </r>
  <r>
    <x v="27"/>
    <x v="50"/>
    <x v="5"/>
    <s v="5894146108864"/>
    <s v="29-AUG-13"/>
    <n v="1763"/>
    <n v="1423"/>
    <n v="3186"/>
    <n v="3186"/>
    <n v="3186"/>
    <n v="0"/>
    <n v="0"/>
    <n v="1"/>
    <n v="0"/>
  </r>
  <r>
    <x v="27"/>
    <x v="50"/>
    <x v="1"/>
    <s v="0984146108882"/>
    <s v="30-AUG-13"/>
    <n v="540"/>
    <n v="2143"/>
    <n v="2683"/>
    <n v="3186"/>
    <n v="2683"/>
    <n v="0"/>
    <n v="1"/>
    <n v="0"/>
    <n v="0"/>
  </r>
  <r>
    <x v="27"/>
    <x v="7"/>
    <x v="4"/>
    <s v="775E2NJNV"/>
    <s v="11/07/2013"/>
    <n v="4703"/>
    <n v="3698"/>
    <n v="8401"/>
    <n v="7234"/>
    <n v="8401"/>
    <m/>
    <n v="0"/>
    <n v="0"/>
    <n v="1"/>
  </r>
  <r>
    <x v="27"/>
    <x v="7"/>
    <x v="1"/>
    <s v="0984144546108"/>
    <s v="29-JUL-13"/>
    <n v="582"/>
    <n v="2460"/>
    <n v="3042"/>
    <n v="7234"/>
    <n v="3042"/>
    <n v="1285"/>
    <n v="1"/>
    <n v="0"/>
    <n v="0"/>
  </r>
  <r>
    <x v="27"/>
    <x v="7"/>
    <x v="12"/>
    <s v="1046BJ0AR1"/>
    <s v="29-JUL-13"/>
    <n v="533"/>
    <n v="2540"/>
    <n v="3073"/>
    <n v="7234"/>
    <n v="3073"/>
    <m/>
    <n v="1"/>
    <n v="0"/>
    <n v="0"/>
  </r>
  <r>
    <x v="27"/>
    <x v="7"/>
    <x v="2"/>
    <s v="6ESZUNPW1"/>
    <s v="05-AUG-13"/>
    <n v="738"/>
    <n v="2572"/>
    <n v="3310"/>
    <n v="7234"/>
    <n v="3310"/>
    <m/>
    <n v="1"/>
    <n v="0"/>
    <n v="0"/>
  </r>
  <r>
    <x v="27"/>
    <x v="7"/>
    <x v="5"/>
    <s v="5894145426144"/>
    <s v="14-AUG-13"/>
    <n v="1382"/>
    <n v="1716"/>
    <n v="3098"/>
    <n v="7234"/>
    <n v="3098"/>
    <m/>
    <n v="1"/>
    <n v="0"/>
    <n v="0"/>
  </r>
  <r>
    <x v="27"/>
    <x v="7"/>
    <x v="5"/>
    <s v="5894145729184"/>
    <s v="21-AUG-13"/>
    <n v="4360"/>
    <n v="1883"/>
    <n v="6243"/>
    <n v="7234"/>
    <n v="6243"/>
    <n v="0"/>
    <n v="1"/>
    <n v="0"/>
    <n v="0"/>
  </r>
  <r>
    <x v="27"/>
    <x v="7"/>
    <x v="1"/>
    <s v="0984147816719"/>
    <s v="10-OCT-13"/>
    <n v="5020"/>
    <n v="3231"/>
    <n v="8251"/>
    <n v="7234"/>
    <n v="8251"/>
    <n v="0"/>
    <n v="0"/>
    <n v="0"/>
    <n v="1"/>
  </r>
  <r>
    <x v="27"/>
    <x v="7"/>
    <x v="5"/>
    <s v="5894339005550"/>
    <s v="01-11-13"/>
    <n v="6100"/>
    <n v="1979"/>
    <n v="8079"/>
    <n v="7234"/>
    <n v="8079"/>
    <n v="0"/>
    <n v="0"/>
    <n v="0"/>
    <n v="1"/>
  </r>
  <r>
    <x v="27"/>
    <x v="7"/>
    <x v="1"/>
    <s v="0984339562762"/>
    <s v="13-NOV-13"/>
    <n v="4620"/>
    <n v="3208"/>
    <n v="7828"/>
    <n v="7234"/>
    <n v="7828"/>
    <n v="6128"/>
    <n v="0"/>
    <n v="1"/>
    <n v="0"/>
  </r>
  <r>
    <x v="27"/>
    <x v="7"/>
    <x v="2"/>
    <s v="6EK3FGMA"/>
    <s v="14-NOV-13"/>
    <n v="6306"/>
    <n v="1045"/>
    <n v="7351"/>
    <n v="7234"/>
    <n v="7351"/>
    <n v="0"/>
    <n v="0"/>
    <n v="1"/>
    <n v="0"/>
  </r>
  <r>
    <x v="27"/>
    <x v="7"/>
    <x v="5"/>
    <s v="5894339996086"/>
    <s v="21-NOV-13"/>
    <n v="6340"/>
    <n v="1992"/>
    <n v="8332"/>
    <n v="7234"/>
    <n v="8332"/>
    <n v="0"/>
    <n v="0"/>
    <n v="0"/>
    <n v="1"/>
  </r>
  <r>
    <x v="27"/>
    <x v="7"/>
    <x v="5"/>
    <s v="5894339996120"/>
    <s v="25-NOV-13"/>
    <n v="6100"/>
    <n v="1979"/>
    <n v="8079"/>
    <n v="7234"/>
    <n v="8079"/>
    <n v="0"/>
    <n v="0"/>
    <n v="0"/>
    <n v="1"/>
  </r>
  <r>
    <x v="27"/>
    <x v="7"/>
    <x v="2"/>
    <s v="6EC2RFHF"/>
    <s v="11-DEC-13"/>
    <n v="4450"/>
    <n v="3567"/>
    <n v="8017"/>
    <n v="7234"/>
    <n v="8017"/>
    <n v="0"/>
    <n v="0"/>
    <n v="0"/>
    <n v="1"/>
  </r>
  <r>
    <x v="27"/>
    <x v="7"/>
    <x v="1"/>
    <s v="0984340930173"/>
    <s v="20-DEC-13"/>
    <n v="5020"/>
    <n v="3231"/>
    <n v="8251"/>
    <n v="7234"/>
    <n v="8251"/>
    <n v="0"/>
    <n v="0"/>
    <n v="0"/>
    <n v="1"/>
  </r>
  <r>
    <x v="27"/>
    <x v="7"/>
    <x v="4"/>
    <s v="775Z7848Z"/>
    <s v="20-DEC-13"/>
    <n v="5336"/>
    <n v="991"/>
    <n v="6327"/>
    <n v="7234"/>
    <n v="6327"/>
    <n v="0"/>
    <n v="1"/>
    <n v="0"/>
    <n v="0"/>
  </r>
  <r>
    <x v="27"/>
    <x v="7"/>
    <x v="2"/>
    <s v="6ERC6GJK"/>
    <s v="25-FEB-14"/>
    <n v="4273"/>
    <n v="933"/>
    <n v="5206"/>
    <n v="7234"/>
    <n v="5206"/>
    <e v="#REF!"/>
    <n v="1"/>
    <n v="0"/>
    <n v="0"/>
  </r>
  <r>
    <x v="27"/>
    <x v="51"/>
    <x v="3"/>
    <s v="Malaysia"/>
    <s v=""/>
    <n v="1300"/>
    <n v="600"/>
    <n v="1900"/>
    <n v="1900"/>
    <n v="1900"/>
    <n v="0"/>
    <n v="0"/>
    <n v="1"/>
    <n v="0"/>
  </r>
  <r>
    <x v="27"/>
    <x v="52"/>
    <x v="13"/>
    <s v="388FMNOZHLOJP"/>
    <d v="2014-01-22T00:00:00"/>
    <n v="7959"/>
    <n v="2770"/>
    <n v="10729"/>
    <n v="10729"/>
    <n v="10729"/>
    <n v="0"/>
    <n v="0"/>
    <n v="1"/>
    <n v="0"/>
  </r>
  <r>
    <x v="28"/>
    <x v="18"/>
    <x v="2"/>
    <s v="6EAZJEMT1"/>
    <s v="25-JUL-13"/>
    <n v="2899"/>
    <n v="2348"/>
    <n v="5247"/>
    <n v="5161"/>
    <n v="5247"/>
    <m/>
    <n v="0"/>
    <n v="1"/>
    <n v="0"/>
  </r>
  <r>
    <x v="28"/>
    <x v="53"/>
    <x v="2"/>
    <s v="6EAZKZRT1"/>
    <s v="25-JUL-13"/>
    <n v="2842"/>
    <n v="4637"/>
    <n v="7479"/>
    <n v="7479"/>
    <n v="7479"/>
    <n v="2000"/>
    <n v="0"/>
    <n v="1"/>
    <n v="0"/>
  </r>
  <r>
    <x v="29"/>
    <x v="54"/>
    <x v="12"/>
    <s v="104I6BYMF2"/>
    <s v="05-APR-13"/>
    <n v="2040"/>
    <n v="2692"/>
    <n v="4732"/>
    <n v="4732"/>
    <n v="4732"/>
    <m/>
    <n v="0"/>
    <n v="1"/>
    <n v="0"/>
  </r>
  <r>
    <x v="29"/>
    <x v="55"/>
    <x v="4"/>
    <s v="775HHN3AP1"/>
    <s v="05-APR-13"/>
    <n v="2253"/>
    <n v="2449"/>
    <n v="4702"/>
    <n v="4702"/>
    <n v="4702"/>
    <m/>
    <n v="0"/>
    <n v="1"/>
    <n v="0"/>
  </r>
  <r>
    <x v="30"/>
    <x v="6"/>
    <x v="1"/>
    <s v="0983514005695"/>
    <s v="15-APR-13"/>
    <n v="3940"/>
    <n v="3088"/>
    <n v="7028"/>
    <n v="7412.5"/>
    <n v="7028"/>
    <m/>
    <n v="0"/>
    <n v="1"/>
    <n v="0"/>
  </r>
  <r>
    <x v="30"/>
    <x v="6"/>
    <x v="5"/>
    <s v="5893972579209"/>
    <s v="01-MAY-13"/>
    <n v="4500"/>
    <n v="3171"/>
    <n v="7671"/>
    <n v="7412.5"/>
    <n v="7671"/>
    <m/>
    <n v="0"/>
    <n v="1"/>
    <n v="0"/>
  </r>
  <r>
    <x v="30"/>
    <x v="6"/>
    <x v="5"/>
    <s v="5893973429933"/>
    <s v="11-MAY-13"/>
    <n v="4500"/>
    <n v="3171"/>
    <n v="7671"/>
    <n v="7412.5"/>
    <n v="7671"/>
    <n v="6521"/>
    <n v="0"/>
    <n v="1"/>
    <n v="0"/>
  </r>
  <r>
    <x v="30"/>
    <x v="6"/>
    <x v="2"/>
    <s v="6EKSJBLV"/>
    <s v="11-MAY-13"/>
    <n v="5874"/>
    <n v="938"/>
    <n v="6812"/>
    <n v="7412.5"/>
    <n v="6812"/>
    <m/>
    <n v="0"/>
    <n v="1"/>
    <n v="0"/>
  </r>
  <r>
    <x v="30"/>
    <x v="6"/>
    <x v="5"/>
    <s v="5893974400181"/>
    <s v="03-JUN-13"/>
    <n v="4550"/>
    <n v="3122"/>
    <n v="7672"/>
    <n v="7412.5"/>
    <n v="7672"/>
    <m/>
    <n v="0"/>
    <n v="1"/>
    <n v="0"/>
  </r>
  <r>
    <x v="30"/>
    <x v="6"/>
    <x v="5"/>
    <s v="5893975353892"/>
    <s v="19-JUN-13"/>
    <n v="4550"/>
    <n v="3121"/>
    <n v="7671"/>
    <n v="7412.5"/>
    <n v="7671"/>
    <m/>
    <n v="0"/>
    <n v="1"/>
    <n v="0"/>
  </r>
  <r>
    <x v="30"/>
    <x v="6"/>
    <x v="1"/>
    <s v="0983976120150"/>
    <s v="09/07/2013"/>
    <n v="950"/>
    <n v="2922"/>
    <n v="3872"/>
    <n v="7412.5"/>
    <n v="3872"/>
    <m/>
    <n v="1"/>
    <n v="0"/>
    <n v="0"/>
  </r>
  <r>
    <x v="30"/>
    <x v="6"/>
    <x v="5"/>
    <s v="5894145233348"/>
    <s v="11-AUG-13"/>
    <n v="3835"/>
    <n v="1771"/>
    <n v="5606"/>
    <n v="7412.5"/>
    <n v="5606"/>
    <m/>
    <n v="1"/>
    <n v="0"/>
    <n v="0"/>
  </r>
  <r>
    <x v="30"/>
    <x v="6"/>
    <x v="1"/>
    <s v="0984146113213"/>
    <s v="28-AUG-13"/>
    <n v="2585"/>
    <n v="3113"/>
    <n v="5698"/>
    <n v="7412.5"/>
    <n v="5698"/>
    <n v="0"/>
    <n v="1"/>
    <n v="0"/>
    <n v="0"/>
  </r>
  <r>
    <x v="30"/>
    <x v="6"/>
    <x v="5"/>
    <s v="5894146516231"/>
    <s v="12-SEP-13"/>
    <n v="5540"/>
    <n v="1865"/>
    <n v="7405"/>
    <n v="7412.5"/>
    <n v="7405"/>
    <n v="0"/>
    <n v="0"/>
    <n v="1"/>
    <n v="0"/>
  </r>
  <r>
    <x v="30"/>
    <x v="6"/>
    <x v="5"/>
    <s v="5894147756426"/>
    <s v="03-OCT-13"/>
    <n v="5200"/>
    <n v="1945"/>
    <n v="7145"/>
    <n v="7412.5"/>
    <n v="7145"/>
    <n v="0"/>
    <n v="0"/>
    <n v="1"/>
    <n v="0"/>
  </r>
  <r>
    <x v="30"/>
    <x v="6"/>
    <x v="5"/>
    <s v="5894341325854"/>
    <s v="26-DEC-13"/>
    <n v="6100"/>
    <n v="1896"/>
    <n v="7996"/>
    <n v="7412.5"/>
    <n v="7996"/>
    <n v="0"/>
    <n v="0"/>
    <n v="1"/>
    <n v="0"/>
  </r>
  <r>
    <x v="30"/>
    <x v="18"/>
    <x v="4"/>
    <s v="775W66D2M"/>
    <s v="30-AUG-13"/>
    <n v="2931"/>
    <n v="775"/>
    <n v="3706"/>
    <n v="5161"/>
    <n v="3706"/>
    <n v="0"/>
    <n v="1"/>
    <n v="0"/>
    <n v="0"/>
  </r>
  <r>
    <x v="30"/>
    <x v="0"/>
    <x v="0"/>
    <s v="696669478"/>
    <s v="05-JUN-13"/>
    <n v="512"/>
    <n v="112"/>
    <n v="624"/>
    <n v="749"/>
    <n v="624"/>
    <m/>
    <n v="0"/>
    <n v="1"/>
    <n v="0"/>
  </r>
  <r>
    <x v="30"/>
    <x v="7"/>
    <x v="4"/>
    <s v="775AHGGDQ"/>
    <s v="05-APR-13"/>
    <n v="5672"/>
    <n v="1010"/>
    <n v="6682"/>
    <n v="7234"/>
    <n v="6682"/>
    <m/>
    <n v="0"/>
    <n v="1"/>
    <n v="0"/>
  </r>
  <r>
    <x v="30"/>
    <x v="7"/>
    <x v="2"/>
    <s v="6EDSGFER"/>
    <s v="03-MAY-13"/>
    <n v="5924"/>
    <n v="1024"/>
    <n v="6948"/>
    <n v="7234"/>
    <n v="6948"/>
    <m/>
    <n v="0"/>
    <n v="1"/>
    <n v="0"/>
  </r>
  <r>
    <x v="30"/>
    <x v="7"/>
    <x v="5"/>
    <s v="5893974400087"/>
    <s v="29-MAY-13"/>
    <n v="4550"/>
    <n v="3205"/>
    <n v="7755"/>
    <n v="7234"/>
    <n v="7755"/>
    <m/>
    <n v="0"/>
    <n v="1"/>
    <n v="0"/>
  </r>
  <r>
    <x v="30"/>
    <x v="7"/>
    <x v="2"/>
    <s v="6EWTLIDV"/>
    <s v="04-JUN-13"/>
    <n v="5924"/>
    <n v="1024"/>
    <n v="6948"/>
    <n v="7234"/>
    <n v="6948"/>
    <m/>
    <n v="0"/>
    <n v="1"/>
    <n v="0"/>
  </r>
  <r>
    <x v="30"/>
    <x v="7"/>
    <x v="1"/>
    <s v="0983975712875"/>
    <s v="01-JUL-13"/>
    <n v="1400"/>
    <n v="3030"/>
    <n v="4430"/>
    <n v="7234"/>
    <n v="4430"/>
    <m/>
    <n v="1"/>
    <n v="0"/>
    <n v="0"/>
  </r>
  <r>
    <x v="30"/>
    <x v="7"/>
    <x v="2"/>
    <s v="6ECV54BZ1"/>
    <s v="01/07/2013"/>
    <n v="1400"/>
    <n v="2649"/>
    <n v="4049"/>
    <n v="7234"/>
    <n v="4049"/>
    <m/>
    <n v="1"/>
    <n v="0"/>
    <n v="0"/>
  </r>
  <r>
    <x v="30"/>
    <x v="7"/>
    <x v="1"/>
    <s v="0984144897505"/>
    <s v="31-JUL-13"/>
    <n v="532"/>
    <n v="2457"/>
    <n v="2989"/>
    <n v="7234"/>
    <n v="2989"/>
    <m/>
    <n v="1"/>
    <n v="0"/>
    <n v="0"/>
  </r>
  <r>
    <x v="30"/>
    <x v="7"/>
    <x v="2"/>
    <s v="6EX16SMH"/>
    <s v="15-AUG-13"/>
    <n v="4003"/>
    <n v="917"/>
    <n v="4920"/>
    <n v="7234"/>
    <n v="4920"/>
    <m/>
    <n v="1"/>
    <n v="0"/>
    <n v="0"/>
  </r>
  <r>
    <x v="30"/>
    <x v="7"/>
    <x v="5"/>
    <s v="5894146108879"/>
    <s v="29-AUG-13"/>
    <n v="3835"/>
    <n v="1854"/>
    <n v="5689"/>
    <n v="7234"/>
    <n v="5689"/>
    <n v="0"/>
    <n v="1"/>
    <n v="0"/>
    <n v="0"/>
  </r>
  <r>
    <x v="30"/>
    <x v="7"/>
    <x v="1"/>
    <s v="0984146982182"/>
    <s v="13-SEP-13"/>
    <n v="4700"/>
    <n v="3337"/>
    <n v="8037"/>
    <n v="7234"/>
    <n v="8037"/>
    <n v="0"/>
    <n v="0"/>
    <n v="0"/>
    <n v="1"/>
  </r>
  <r>
    <x v="30"/>
    <x v="7"/>
    <x v="1"/>
    <s v="0984340930194"/>
    <s v="19-DEC-13"/>
    <n v="4620"/>
    <n v="3208"/>
    <n v="7828"/>
    <n v="7234"/>
    <n v="7828"/>
    <n v="0"/>
    <n v="0"/>
    <n v="1"/>
    <n v="0"/>
  </r>
  <r>
    <x v="30"/>
    <x v="7"/>
    <x v="2"/>
    <s v="6EC52Y8M"/>
    <s v="19-FEB-14"/>
    <n v="4273"/>
    <n v="933"/>
    <n v="5206"/>
    <n v="7234"/>
    <n v="5206"/>
    <e v="#REF!"/>
    <n v="1"/>
    <n v="0"/>
    <n v="0"/>
  </r>
  <r>
    <x v="30"/>
    <x v="22"/>
    <x v="1"/>
    <s v="0983514005696"/>
    <s v="18-APR-13"/>
    <n v="5060"/>
    <n v="4538"/>
    <n v="9598"/>
    <n v="10079"/>
    <n v="9598"/>
    <m/>
    <n v="0"/>
    <n v="1"/>
    <n v="0"/>
  </r>
  <r>
    <x v="30"/>
    <x v="1"/>
    <x v="0"/>
    <s v="696685594"/>
    <s v="07-JUN-13"/>
    <n v="1393"/>
    <n v="112"/>
    <n v="1505"/>
    <n v="824"/>
    <n v="1505"/>
    <m/>
    <n v="0"/>
    <n v="0"/>
    <n v="1"/>
  </r>
  <r>
    <x v="30"/>
    <x v="56"/>
    <x v="2"/>
    <s v="6EGR79DV"/>
    <s v="19-APR-13"/>
    <n v="8306"/>
    <n v="1398"/>
    <n v="9704"/>
    <n v="9704"/>
    <n v="9704"/>
    <m/>
    <n v="0"/>
    <n v="1"/>
    <n v="0"/>
  </r>
  <r>
    <x v="30"/>
    <x v="19"/>
    <x v="2"/>
    <s v="6EL1N6NV"/>
    <s v="31-AUG-13"/>
    <n v="3017"/>
    <n v="1003"/>
    <n v="4020"/>
    <n v="5438"/>
    <n v="4020"/>
    <n v="0"/>
    <n v="1"/>
    <n v="0"/>
    <n v="0"/>
  </r>
  <r>
    <x v="30"/>
    <x v="57"/>
    <x v="2"/>
    <s v="6EC9HCXQ"/>
    <s v="25-FEB-14"/>
    <n v="7333"/>
    <n v="868"/>
    <n v="8201"/>
    <n v="8201"/>
    <n v="8201"/>
    <e v="#REF!"/>
    <n v="0"/>
    <n v="1"/>
    <n v="0"/>
  </r>
  <r>
    <x v="31"/>
    <x v="6"/>
    <x v="1"/>
    <s v="0983974847598"/>
    <s v="10-JUN-13"/>
    <n v="4400"/>
    <n v="3113"/>
    <n v="7513"/>
    <n v="7412.5"/>
    <n v="7513"/>
    <m/>
    <n v="0"/>
    <n v="1"/>
    <n v="0"/>
  </r>
  <r>
    <x v="31"/>
    <x v="8"/>
    <x v="5"/>
    <s v="5894342458271"/>
    <s v="24-01-14"/>
    <n v="10640"/>
    <n v="3661"/>
    <n v="14301"/>
    <n v="14406"/>
    <n v="14301"/>
    <n v="11051"/>
    <n v="0"/>
    <n v="1"/>
    <n v="0"/>
  </r>
  <r>
    <x v="31"/>
    <x v="8"/>
    <x v="5"/>
    <s v="5894342458432"/>
    <s v="31-01-14"/>
    <n v="10640"/>
    <n v="3548"/>
    <n v="14188"/>
    <n v="14406"/>
    <n v="14188"/>
    <n v="0"/>
    <n v="0"/>
    <n v="1"/>
    <n v="0"/>
  </r>
  <r>
    <x v="31"/>
    <x v="7"/>
    <x v="2"/>
    <s v="6EJTPECW2"/>
    <s v="10-JUN-13"/>
    <n v="3720"/>
    <n v="3481"/>
    <n v="7201"/>
    <n v="7234"/>
    <n v="7201"/>
    <m/>
    <n v="0"/>
    <n v="1"/>
    <n v="0"/>
  </r>
  <r>
    <x v="32"/>
    <x v="58"/>
    <x v="1"/>
    <s v="0984148005264"/>
    <s v="12-OCT-13"/>
    <n v="34500"/>
    <n v="43500"/>
    <n v="78000"/>
    <n v="78000"/>
    <n v="78000"/>
    <n v="0"/>
    <n v="0"/>
    <n v="1"/>
    <n v="0"/>
  </r>
  <r>
    <x v="32"/>
    <x v="59"/>
    <x v="1"/>
    <s v="0984338909111"/>
    <s v="30-10-13"/>
    <n v="9000"/>
    <n v="12870"/>
    <n v="21870"/>
    <n v="21870"/>
    <n v="21870"/>
    <n v="0"/>
    <n v="0"/>
    <n v="1"/>
    <n v="0"/>
  </r>
  <r>
    <x v="33"/>
    <x v="6"/>
    <x v="1"/>
    <s v="0984146108960"/>
    <s v="05-SEP-13"/>
    <n v="1445"/>
    <n v="2425"/>
    <n v="3870"/>
    <n v="7412.5"/>
    <n v="7773"/>
    <n v="0"/>
    <n v="0"/>
    <n v="1"/>
    <n v="0"/>
  </r>
  <r>
    <x v="33"/>
    <x v="7"/>
    <x v="4"/>
    <s v="775A1YRYL1"/>
    <s v="05-SEP-13"/>
    <n v="1269"/>
    <n v="2634"/>
    <n v="3903"/>
    <n v="7234"/>
    <n v="3903"/>
    <n v="0"/>
    <n v="1"/>
    <n v="0"/>
    <n v="0"/>
  </r>
  <r>
    <x v="34"/>
    <x v="60"/>
    <x v="14"/>
    <s v="0144148159427"/>
    <s v="15-OCT-13"/>
    <n v="70705"/>
    <n v="48295"/>
    <n v="119000"/>
    <n v="119000"/>
    <n v="119000"/>
    <n v="0"/>
    <n v="0"/>
    <n v="1"/>
    <n v="0"/>
  </r>
  <r>
    <x v="35"/>
    <x v="61"/>
    <x v="8"/>
    <s v="1254338816971"/>
    <s v="22-10-13"/>
    <n v="27000"/>
    <n v="45000"/>
    <n v="72000"/>
    <n v="83000"/>
    <n v="72000"/>
    <n v="0"/>
    <n v="1"/>
    <n v="0"/>
    <n v="0"/>
  </r>
  <r>
    <x v="35"/>
    <x v="7"/>
    <x v="5"/>
    <s v="5894815122212"/>
    <s v="21-FEB-14"/>
    <n v="5500"/>
    <n v="1945"/>
    <n v="7445"/>
    <n v="7234"/>
    <n v="7445"/>
    <e v="#REF!"/>
    <n v="0"/>
    <n v="1"/>
    <n v="0"/>
  </r>
  <r>
    <x v="36"/>
    <x v="6"/>
    <x v="5"/>
    <s v="5894146113179"/>
    <s v="28-AUG-13"/>
    <n v="2540"/>
    <n v="1698"/>
    <n v="4238"/>
    <n v="7412.5"/>
    <n v="4238"/>
    <n v="0"/>
    <n v="1"/>
    <n v="0"/>
    <n v="0"/>
  </r>
  <r>
    <x v="36"/>
    <x v="8"/>
    <x v="5"/>
    <s v="5894339907846"/>
    <s v="19-NOV-13"/>
    <n v="10800"/>
    <n v="3668"/>
    <n v="14468"/>
    <n v="14406"/>
    <n v="14468"/>
    <n v="0"/>
    <n v="0"/>
    <n v="1"/>
    <n v="0"/>
  </r>
  <r>
    <x v="36"/>
    <x v="16"/>
    <x v="1"/>
    <s v="0984341343171"/>
    <s v="26-DEC-13"/>
    <n v="11312"/>
    <n v="10303"/>
    <n v="21615"/>
    <n v="20521"/>
    <n v="21615"/>
    <n v="0"/>
    <n v="0"/>
    <n v="1"/>
    <n v="0"/>
  </r>
  <r>
    <x v="36"/>
    <x v="16"/>
    <x v="5"/>
    <s v="5894341890560"/>
    <s v="10-JAN-14"/>
    <n v="12800"/>
    <n v="7868"/>
    <n v="20668"/>
    <n v="20521"/>
    <n v="20668"/>
    <m/>
    <n v="0"/>
    <n v="1"/>
    <n v="0"/>
  </r>
  <r>
    <x v="36"/>
    <x v="6"/>
    <x v="2"/>
    <s v="6EPZJ1TB1"/>
    <s v="24-JUL-13"/>
    <n v="2985"/>
    <n v="2691"/>
    <n v="5676"/>
    <n v="7412.5"/>
    <n v="5676"/>
    <m/>
    <n v="1"/>
    <n v="0"/>
    <n v="0"/>
  </r>
  <r>
    <x v="36"/>
    <x v="6"/>
    <x v="1"/>
    <s v="0984146953167"/>
    <s v="19-SEP-13"/>
    <n v="4250"/>
    <n v="3105"/>
    <n v="7355"/>
    <n v="7412.5"/>
    <n v="14710"/>
    <n v="0"/>
    <n v="0"/>
    <n v="0"/>
    <n v="1"/>
  </r>
  <r>
    <x v="36"/>
    <x v="6"/>
    <x v="5"/>
    <s v="5894147816557"/>
    <s v="04-OCT-13"/>
    <n v="6290"/>
    <n v="1906"/>
    <n v="8196"/>
    <n v="7412.5"/>
    <n v="16114"/>
    <n v="0"/>
    <n v="0"/>
    <n v="0"/>
    <n v="1"/>
  </r>
  <r>
    <x v="36"/>
    <x v="6"/>
    <x v="1"/>
    <s v="0984815144023"/>
    <s v="21-FEB-14"/>
    <n v="4620"/>
    <n v="3125"/>
    <n v="7745"/>
    <n v="7412.5"/>
    <n v="15573"/>
    <e v="#REF!"/>
    <n v="0"/>
    <n v="0"/>
    <n v="1"/>
  </r>
  <r>
    <x v="36"/>
    <x v="8"/>
    <x v="2"/>
    <s v="6ECZ7KNR1"/>
    <s v="10/07/2013"/>
    <n v="1488"/>
    <n v="4999"/>
    <n v="6487"/>
    <n v="14406"/>
    <n v="6487"/>
    <m/>
    <n v="1"/>
    <n v="0"/>
    <n v="0"/>
  </r>
  <r>
    <x v="36"/>
    <x v="21"/>
    <x v="1"/>
    <s v="0984144897744"/>
    <s v="08-AUG-13"/>
    <n v="2165"/>
    <n v="4504"/>
    <n v="6669"/>
    <n v="10605"/>
    <n v="6669"/>
    <m/>
    <n v="1"/>
    <n v="0"/>
    <n v="0"/>
  </r>
  <r>
    <x v="36"/>
    <x v="21"/>
    <x v="1"/>
    <s v="0984339005604"/>
    <s v="30-10-13"/>
    <n v="6640"/>
    <n v="5277"/>
    <n v="11917"/>
    <n v="10605"/>
    <n v="22217"/>
    <n v="0"/>
    <n v="0"/>
    <n v="0"/>
    <n v="1"/>
  </r>
  <r>
    <x v="36"/>
    <x v="7"/>
    <x v="5"/>
    <s v="5894144546008"/>
    <s v="25-JUL-13"/>
    <n v="2540"/>
    <n v="1677"/>
    <n v="4217"/>
    <n v="7234"/>
    <n v="4217"/>
    <n v="2858"/>
    <n v="1"/>
    <n v="0"/>
    <n v="0"/>
  </r>
  <r>
    <x v="36"/>
    <x v="7"/>
    <x v="2"/>
    <s v="6EVZWETM1"/>
    <s v="28-JUL-13"/>
    <n v="1445"/>
    <n v="2655"/>
    <n v="4100"/>
    <n v="7234"/>
    <n v="4100"/>
    <m/>
    <n v="1"/>
    <n v="0"/>
    <n v="0"/>
  </r>
  <r>
    <x v="36"/>
    <x v="7"/>
    <x v="1"/>
    <s v="0984145233394"/>
    <s v="13-AUG-13"/>
    <n v="1445"/>
    <n v="2508"/>
    <n v="3953"/>
    <n v="7234"/>
    <n v="3953"/>
    <m/>
    <n v="1"/>
    <n v="0"/>
    <n v="0"/>
  </r>
  <r>
    <x v="36"/>
    <x v="7"/>
    <x v="2"/>
    <s v="6EB1KKNF1"/>
    <s v="28-AUG-13"/>
    <n v="2985"/>
    <n v="2837"/>
    <n v="5822"/>
    <n v="7234"/>
    <n v="5822"/>
    <n v="0"/>
    <n v="1"/>
    <n v="0"/>
    <n v="0"/>
  </r>
  <r>
    <x v="36"/>
    <x v="7"/>
    <x v="2"/>
    <s v="6EG28QPN"/>
    <s v="20-SEP-13"/>
    <n v="6306"/>
    <n v="1045"/>
    <n v="7351"/>
    <n v="7234"/>
    <n v="7351"/>
    <n v="0"/>
    <n v="0"/>
    <n v="1"/>
    <n v="0"/>
  </r>
  <r>
    <x v="36"/>
    <x v="7"/>
    <x v="2"/>
    <s v="6EG2CJRN"/>
    <s v="22-SEP-13"/>
    <n v="6306"/>
    <n v="1045"/>
    <n v="7351"/>
    <n v="7234"/>
    <n v="7351"/>
    <n v="0"/>
    <n v="0"/>
    <n v="1"/>
    <n v="0"/>
  </r>
  <r>
    <x v="36"/>
    <x v="7"/>
    <x v="4"/>
    <s v="775U78W7J2"/>
    <s v="08-OCT-13"/>
    <n v="4361"/>
    <n v="3557"/>
    <n v="7918"/>
    <n v="7234"/>
    <n v="7918"/>
    <n v="0"/>
    <n v="0"/>
    <n v="1"/>
    <n v="0"/>
  </r>
  <r>
    <x v="36"/>
    <x v="7"/>
    <x v="1"/>
    <s v="0984815144024"/>
    <s v="23-FEB-14"/>
    <n v="4620"/>
    <n v="3208"/>
    <n v="7828"/>
    <n v="7234"/>
    <n v="7828"/>
    <e v="#REF!"/>
    <n v="0"/>
    <n v="1"/>
    <n v="0"/>
  </r>
  <r>
    <x v="36"/>
    <x v="5"/>
    <x v="5"/>
    <s v="5894145081092"/>
    <s v="11-AUG-13"/>
    <n v="1870"/>
    <n v="3399"/>
    <n v="5269"/>
    <n v="9425"/>
    <n v="5269"/>
    <m/>
    <n v="1"/>
    <n v="0"/>
    <n v="0"/>
  </r>
  <r>
    <x v="36"/>
    <x v="62"/>
    <x v="2"/>
    <s v="6EZ11EPB1"/>
    <s v="11-AUG-13"/>
    <n v="3600"/>
    <n v="4557"/>
    <n v="8157"/>
    <n v="8157"/>
    <n v="8157"/>
    <m/>
    <n v="0"/>
    <n v="1"/>
    <n v="0"/>
  </r>
  <r>
    <x v="36"/>
    <x v="24"/>
    <x v="1"/>
    <s v="0984339005605"/>
    <s v="07-11-13"/>
    <n v="5240"/>
    <n v="5060"/>
    <n v="10300"/>
    <n v="10332"/>
    <n v="10300"/>
    <n v="0"/>
    <n v="0"/>
    <n v="1"/>
    <n v="0"/>
  </r>
  <r>
    <x v="36"/>
    <x v="24"/>
    <x v="12"/>
    <s v="104URR5LY1"/>
    <s v="10-NOV-13"/>
    <n v="7050"/>
    <n v="5794"/>
    <n v="12844"/>
    <n v="10332"/>
    <n v="12844"/>
    <n v="0"/>
    <n v="0"/>
    <n v="0"/>
    <n v="1"/>
  </r>
  <r>
    <x v="37"/>
    <x v="28"/>
    <x v="2"/>
    <s v="6ESZP8NN"/>
    <s v="30-JUL-13"/>
    <n v="7645"/>
    <n v="908"/>
    <n v="8553"/>
    <n v="9066"/>
    <n v="8553"/>
    <n v="8453"/>
    <n v="0"/>
    <n v="1"/>
    <n v="0"/>
  </r>
  <r>
    <x v="37"/>
    <x v="63"/>
    <x v="5"/>
    <s v="5894144551249"/>
    <s v="30-JUL-13"/>
    <n v="3930"/>
    <n v="2192"/>
    <n v="6122"/>
    <n v="8229.5"/>
    <n v="6122"/>
    <m/>
    <n v="1"/>
    <n v="0"/>
    <n v="0"/>
  </r>
  <r>
    <x v="37"/>
    <x v="63"/>
    <x v="5"/>
    <s v="5894146982108"/>
    <s v="20-SEP-13"/>
    <n v="4950"/>
    <n v="5387"/>
    <n v="10337"/>
    <n v="8229.5"/>
    <n v="10337"/>
    <n v="0"/>
    <n v="0"/>
    <n v="0"/>
    <n v="1"/>
  </r>
  <r>
    <x v="37"/>
    <x v="39"/>
    <x v="2"/>
    <s v="6EP24ZMM"/>
    <s v="20-SEP-13"/>
    <n v="8399"/>
    <n v="1078"/>
    <n v="9477"/>
    <n v="9477"/>
    <n v="9477"/>
    <n v="0"/>
    <n v="0"/>
    <n v="1"/>
    <n v="0"/>
  </r>
  <r>
    <x v="37"/>
    <x v="6"/>
    <x v="5"/>
    <s v="5893972579186"/>
    <s v="03-MAY-13"/>
    <n v="4500"/>
    <n v="3171"/>
    <n v="7671"/>
    <n v="7412.5"/>
    <n v="7671"/>
    <m/>
    <n v="0"/>
    <n v="1"/>
    <n v="0"/>
  </r>
  <r>
    <x v="37"/>
    <x v="6"/>
    <x v="5"/>
    <s v="5893973429753"/>
    <s v="03-MAY-13"/>
    <n v="4500"/>
    <n v="3171"/>
    <n v="7671"/>
    <n v="7412.5"/>
    <n v="7671"/>
    <m/>
    <n v="0"/>
    <n v="1"/>
    <n v="0"/>
  </r>
  <r>
    <x v="37"/>
    <x v="6"/>
    <x v="5"/>
    <s v="5893973429996"/>
    <s v="17-MAY-13"/>
    <n v="4500"/>
    <n v="3171"/>
    <n v="7671"/>
    <n v="7412.5"/>
    <n v="7671"/>
    <m/>
    <n v="0"/>
    <n v="1"/>
    <n v="0"/>
  </r>
  <r>
    <x v="37"/>
    <x v="6"/>
    <x v="5"/>
    <s v="5893973926434"/>
    <s v="27-MAY-13"/>
    <n v="4500"/>
    <n v="3171"/>
    <n v="7671"/>
    <n v="7412.5"/>
    <n v="7671"/>
    <m/>
    <n v="0"/>
    <n v="1"/>
    <n v="0"/>
  </r>
  <r>
    <x v="37"/>
    <x v="6"/>
    <x v="5"/>
    <s v="5893974400178"/>
    <s v="03-JUN-13"/>
    <n v="4550"/>
    <n v="3122"/>
    <n v="7672"/>
    <n v="7412.5"/>
    <n v="7672"/>
    <m/>
    <n v="0"/>
    <n v="1"/>
    <n v="0"/>
  </r>
  <r>
    <x v="37"/>
    <x v="6"/>
    <x v="5"/>
    <s v="5893976529139"/>
    <s v="24-JUL-13"/>
    <n v="2540"/>
    <n v="1541"/>
    <n v="4081"/>
    <n v="7412.5"/>
    <n v="4081"/>
    <m/>
    <n v="1"/>
    <n v="0"/>
    <n v="0"/>
  </r>
  <r>
    <x v="37"/>
    <x v="6"/>
    <x v="1"/>
    <s v="0984144546096"/>
    <s v="29-JUL-13"/>
    <n v="1716"/>
    <n v="2965"/>
    <n v="4681"/>
    <n v="7412.5"/>
    <n v="4681"/>
    <m/>
    <n v="1"/>
    <n v="0"/>
    <n v="0"/>
  </r>
  <r>
    <x v="37"/>
    <x v="6"/>
    <x v="5"/>
    <s v="5894144897566"/>
    <s v="12-AUG-13"/>
    <n v="1638"/>
    <n v="1491"/>
    <n v="3129"/>
    <n v="7412.5"/>
    <n v="3129"/>
    <m/>
    <n v="1"/>
    <n v="0"/>
    <n v="0"/>
  </r>
  <r>
    <x v="37"/>
    <x v="6"/>
    <x v="5"/>
    <s v="5894145233426"/>
    <s v="14-AUG-13"/>
    <n v="4360"/>
    <n v="1800"/>
    <n v="6160"/>
    <n v="7412.5"/>
    <n v="6160"/>
    <m/>
    <n v="1"/>
    <n v="0"/>
    <n v="0"/>
  </r>
  <r>
    <x v="37"/>
    <x v="6"/>
    <x v="5"/>
    <s v="5894145809109"/>
    <s v="21-AUG-13"/>
    <n v="5340"/>
    <n v="1853"/>
    <n v="7193"/>
    <n v="7412.5"/>
    <n v="7193"/>
    <n v="0"/>
    <n v="0"/>
    <n v="1"/>
    <n v="0"/>
  </r>
  <r>
    <x v="37"/>
    <x v="6"/>
    <x v="2"/>
    <s v="6EQ1GSSN1"/>
    <s v="08-SEP-13"/>
    <n v="480"/>
    <n v="2395"/>
    <n v="2875"/>
    <n v="7412.5"/>
    <n v="2875"/>
    <n v="1275"/>
    <n v="1"/>
    <n v="0"/>
    <n v="0"/>
  </r>
  <r>
    <x v="37"/>
    <x v="6"/>
    <x v="5"/>
    <s v="5894146113175"/>
    <s v="28-AUG-13"/>
    <n v="4360"/>
    <n v="1824"/>
    <n v="6184"/>
    <n v="7412.5"/>
    <n v="10530"/>
    <n v="0"/>
    <n v="0"/>
    <n v="0"/>
    <n v="1"/>
  </r>
  <r>
    <x v="37"/>
    <x v="6"/>
    <x v="5"/>
    <s v="5894146953045"/>
    <s v="17-SEP-13"/>
    <n v="5340"/>
    <n v="1854"/>
    <n v="7194"/>
    <n v="7412.5"/>
    <n v="7194"/>
    <n v="0"/>
    <n v="0"/>
    <n v="1"/>
    <n v="0"/>
  </r>
  <r>
    <x v="37"/>
    <x v="6"/>
    <x v="5"/>
    <s v="5894147646153"/>
    <s v="30-SEP-13"/>
    <n v="6750"/>
    <n v="1932"/>
    <n v="8682"/>
    <n v="7412.5"/>
    <n v="8682"/>
    <n v="0"/>
    <n v="0"/>
    <n v="0"/>
    <n v="1"/>
  </r>
  <r>
    <x v="37"/>
    <x v="6"/>
    <x v="5"/>
    <s v="5894339005662"/>
    <s v="01-11-13"/>
    <n v="6340"/>
    <n v="1909"/>
    <n v="8249"/>
    <n v="7412.5"/>
    <n v="16266"/>
    <n v="0"/>
    <n v="0"/>
    <n v="0"/>
    <n v="1"/>
  </r>
  <r>
    <x v="37"/>
    <x v="6"/>
    <x v="5"/>
    <s v="5894339996112"/>
    <s v="25-NOV-13"/>
    <n v="6100"/>
    <n v="1896"/>
    <n v="7996"/>
    <n v="7412.5"/>
    <n v="7996"/>
    <n v="0"/>
    <n v="0"/>
    <n v="1"/>
    <n v="0"/>
  </r>
  <r>
    <x v="37"/>
    <x v="6"/>
    <x v="5"/>
    <s v="5894340930140"/>
    <s v="20-DEC-13"/>
    <n v="6750"/>
    <n v="1932"/>
    <n v="8682"/>
    <n v="7412.5"/>
    <n v="18977"/>
    <n v="8616"/>
    <n v="0"/>
    <n v="0"/>
    <n v="1"/>
  </r>
  <r>
    <x v="37"/>
    <x v="6"/>
    <x v="5"/>
    <s v="5894341518620"/>
    <s v="06-JAN-14"/>
    <n v="5100"/>
    <n v="1940"/>
    <n v="7040"/>
    <n v="7412.5"/>
    <n v="7040"/>
    <n v="0"/>
    <n v="0"/>
    <n v="1"/>
    <n v="0"/>
  </r>
  <r>
    <x v="37"/>
    <x v="6"/>
    <x v="5"/>
    <s v="5894342746831"/>
    <s v="28-01-14"/>
    <n v="6100"/>
    <n v="1896"/>
    <n v="7996"/>
    <n v="7412.5"/>
    <n v="7996"/>
    <n v="0"/>
    <n v="0"/>
    <n v="1"/>
    <n v="0"/>
  </r>
  <r>
    <x v="37"/>
    <x v="6"/>
    <x v="5"/>
    <s v="5894343391096"/>
    <s v="14-02-14"/>
    <n v="6100"/>
    <n v="1896"/>
    <n v="7996"/>
    <n v="7412.5"/>
    <n v="7996"/>
    <n v="0"/>
    <n v="0"/>
    <n v="1"/>
    <n v="0"/>
  </r>
  <r>
    <x v="37"/>
    <x v="8"/>
    <x v="5"/>
    <s v="5894342108909"/>
    <s v="20-JAN-14"/>
    <n v="12060"/>
    <n v="3740"/>
    <n v="15800"/>
    <n v="14406"/>
    <n v="15800"/>
    <n v="0"/>
    <n v="0"/>
    <n v="1"/>
    <n v="0"/>
  </r>
  <r>
    <x v="37"/>
    <x v="8"/>
    <x v="2"/>
    <s v="6ELC1U3H"/>
    <s v="13-02-14"/>
    <n v="8534"/>
    <n v="1778"/>
    <n v="10312"/>
    <n v="14406"/>
    <n v="10312"/>
    <n v="5000"/>
    <n v="1"/>
    <n v="0"/>
    <n v="0"/>
  </r>
  <r>
    <x v="37"/>
    <x v="21"/>
    <x v="5"/>
    <s v="5894146108945"/>
    <s v="09-SEP-13"/>
    <n v="3100"/>
    <n v="3822"/>
    <n v="6922"/>
    <n v="10605"/>
    <n v="6922"/>
    <n v="0"/>
    <n v="1"/>
    <n v="0"/>
    <n v="0"/>
  </r>
  <r>
    <x v="37"/>
    <x v="21"/>
    <x v="5"/>
    <s v="5894339005679"/>
    <s v="05-NOV-13"/>
    <n v="7500"/>
    <n v="4065"/>
    <n v="11565"/>
    <n v="10605"/>
    <n v="25578"/>
    <n v="0"/>
    <n v="0"/>
    <n v="0"/>
    <n v="1"/>
  </r>
  <r>
    <x v="37"/>
    <x v="16"/>
    <x v="2"/>
    <s v="6EASGGDN"/>
    <s v="20-MAY-13"/>
    <n v="16562"/>
    <n v="2933"/>
    <n v="19495"/>
    <n v="20521"/>
    <n v="19495"/>
    <m/>
    <n v="0"/>
    <n v="1"/>
    <n v="0"/>
  </r>
  <r>
    <x v="37"/>
    <x v="16"/>
    <x v="5"/>
    <s v="5894815144201"/>
    <s v="28-FEB-14"/>
    <n v="16068"/>
    <n v="7924"/>
    <n v="23992"/>
    <n v="20521"/>
    <n v="23992"/>
    <e v="#REF!"/>
    <n v="0"/>
    <n v="0"/>
    <n v="1"/>
  </r>
  <r>
    <x v="37"/>
    <x v="17"/>
    <x v="9"/>
    <s v="1604340624898"/>
    <s v="10-DEC-13"/>
    <n v="0"/>
    <n v="3800"/>
    <n v="3800"/>
    <n v="45000"/>
    <n v="3800"/>
    <n v="0"/>
    <n v="1"/>
    <n v="0"/>
    <n v="0"/>
  </r>
  <r>
    <x v="37"/>
    <x v="18"/>
    <x v="2"/>
    <s v="6EZ3HS5V"/>
    <s v="26-FEB-14"/>
    <n v="3915"/>
    <n v="829"/>
    <n v="4744"/>
    <n v="5161"/>
    <n v="4744"/>
    <e v="#REF!"/>
    <n v="0"/>
    <n v="1"/>
    <n v="0"/>
  </r>
  <r>
    <x v="37"/>
    <x v="34"/>
    <x v="11"/>
    <s v="6184342505657"/>
    <s v="03-02-14"/>
    <n v="16000"/>
    <n v="20800"/>
    <n v="36800"/>
    <n v="37293"/>
    <n v="36800"/>
    <n v="0"/>
    <n v="0"/>
    <n v="1"/>
    <n v="0"/>
  </r>
  <r>
    <x v="37"/>
    <x v="34"/>
    <x v="11"/>
    <s v="6184342625982"/>
    <s v="04-02-14"/>
    <n v="0"/>
    <n v="1500"/>
    <n v="1500"/>
    <n v="37293"/>
    <n v="1500"/>
    <n v="0"/>
    <n v="1"/>
    <n v="0"/>
    <n v="0"/>
  </r>
  <r>
    <x v="37"/>
    <x v="50"/>
    <x v="4"/>
    <s v="775CYSZ3X1"/>
    <s v="29-JUL-13"/>
    <n v="35"/>
    <n v="2377"/>
    <n v="2412"/>
    <n v="3186"/>
    <n v="2412"/>
    <m/>
    <n v="1"/>
    <n v="0"/>
    <n v="0"/>
  </r>
  <r>
    <x v="37"/>
    <x v="7"/>
    <x v="5"/>
    <s v="5893972579187"/>
    <s v="03-MAY-13"/>
    <n v="5750"/>
    <n v="3324"/>
    <n v="9074"/>
    <n v="7234"/>
    <n v="9074"/>
    <m/>
    <n v="0"/>
    <n v="0"/>
    <n v="1"/>
  </r>
  <r>
    <x v="37"/>
    <x v="7"/>
    <x v="1"/>
    <s v="0983973429919"/>
    <s v="17-MAY-13"/>
    <n v="3940"/>
    <n v="3171"/>
    <n v="7111"/>
    <n v="7234"/>
    <n v="7111"/>
    <m/>
    <n v="0"/>
    <n v="1"/>
    <n v="0"/>
  </r>
  <r>
    <x v="37"/>
    <x v="7"/>
    <x v="5"/>
    <s v="5893973926435"/>
    <s v="27-MAY-13"/>
    <n v="5020"/>
    <n v="3283"/>
    <n v="8303"/>
    <n v="7234"/>
    <n v="8303"/>
    <n v="6953"/>
    <n v="0"/>
    <n v="0"/>
    <n v="1"/>
  </r>
  <r>
    <x v="37"/>
    <x v="7"/>
    <x v="12"/>
    <s v="104X9QMRQ1"/>
    <s v="27-MAY-13"/>
    <n v="3720"/>
    <n v="3473"/>
    <n v="7193"/>
    <n v="7234"/>
    <n v="7193"/>
    <m/>
    <n v="0"/>
    <n v="1"/>
    <n v="0"/>
  </r>
  <r>
    <x v="37"/>
    <x v="7"/>
    <x v="2"/>
    <s v="6ESTPPAQ"/>
    <s v="03-JUN-13"/>
    <n v="5924"/>
    <n v="1024"/>
    <n v="6948"/>
    <n v="7234"/>
    <n v="6948"/>
    <m/>
    <n v="0"/>
    <n v="1"/>
    <n v="0"/>
  </r>
  <r>
    <x v="37"/>
    <x v="7"/>
    <x v="1"/>
    <s v="0983974400223"/>
    <s v="03-JUN-13"/>
    <n v="3940"/>
    <n v="3171"/>
    <n v="7111"/>
    <n v="7234"/>
    <n v="7111"/>
    <m/>
    <n v="0"/>
    <n v="1"/>
    <n v="0"/>
  </r>
  <r>
    <x v="37"/>
    <x v="7"/>
    <x v="2"/>
    <s v="6EFZQ1SP1"/>
    <s v="30-JUL-13"/>
    <n v="738"/>
    <n v="2572"/>
    <n v="3310"/>
    <n v="7234"/>
    <n v="3310"/>
    <m/>
    <n v="1"/>
    <n v="0"/>
    <n v="0"/>
  </r>
  <r>
    <x v="37"/>
    <x v="7"/>
    <x v="1"/>
    <s v="0984144897567"/>
    <s v="12-AUG-13"/>
    <n v="532"/>
    <n v="2457"/>
    <n v="2989"/>
    <n v="7234"/>
    <n v="2989"/>
    <m/>
    <n v="1"/>
    <n v="0"/>
    <n v="0"/>
  </r>
  <r>
    <x v="37"/>
    <x v="7"/>
    <x v="5"/>
    <s v="5894145809110"/>
    <s v="21-AUG-13"/>
    <n v="5340"/>
    <n v="1936"/>
    <n v="7276"/>
    <n v="7234"/>
    <n v="7276"/>
    <n v="0"/>
    <n v="0"/>
    <n v="1"/>
    <n v="0"/>
  </r>
  <r>
    <x v="37"/>
    <x v="7"/>
    <x v="5"/>
    <s v="5894146113176"/>
    <s v="28-AUG-13"/>
    <n v="2540"/>
    <n v="1806"/>
    <n v="4346"/>
    <n v="7234"/>
    <n v="4346"/>
    <n v="0"/>
    <n v="1"/>
    <n v="0"/>
    <n v="0"/>
  </r>
  <r>
    <x v="37"/>
    <x v="7"/>
    <x v="2"/>
    <s v="6EX24RSS"/>
    <s v="17-SEP-13"/>
    <n v="6390"/>
    <n v="836"/>
    <n v="7226"/>
    <n v="7234"/>
    <n v="7226"/>
    <n v="7126"/>
    <n v="0"/>
    <n v="1"/>
    <n v="0"/>
  </r>
  <r>
    <x v="37"/>
    <x v="7"/>
    <x v="2"/>
    <s v="6ES24KTA"/>
    <s v="17-SEP-13"/>
    <n v="6306"/>
    <n v="1045"/>
    <n v="7351"/>
    <n v="7234"/>
    <n v="14702"/>
    <n v="0"/>
    <n v="0"/>
    <n v="0"/>
    <n v="1"/>
  </r>
  <r>
    <x v="37"/>
    <x v="7"/>
    <x v="5"/>
    <s v="5894147646155"/>
    <s v="30-SEP-13"/>
    <n v="5540"/>
    <n v="1947"/>
    <n v="7487"/>
    <n v="7234"/>
    <n v="7487"/>
    <n v="0"/>
    <n v="0"/>
    <n v="1"/>
    <n v="0"/>
  </r>
  <r>
    <x v="37"/>
    <x v="7"/>
    <x v="2"/>
    <s v="6EX37SSH2"/>
    <s v="01-11-13"/>
    <n v="4450"/>
    <n v="3567"/>
    <n v="8017"/>
    <n v="7234"/>
    <n v="8017"/>
    <n v="0"/>
    <n v="0"/>
    <n v="0"/>
    <n v="1"/>
  </r>
  <r>
    <x v="37"/>
    <x v="7"/>
    <x v="5"/>
    <s v="5894339294452"/>
    <s v="01-NOV-13"/>
    <n v="6100"/>
    <n v="2004"/>
    <n v="8104"/>
    <n v="7234"/>
    <n v="8104"/>
    <n v="6425"/>
    <n v="0"/>
    <n v="0"/>
    <n v="1"/>
  </r>
  <r>
    <x v="37"/>
    <x v="7"/>
    <x v="5"/>
    <s v="5894340930141"/>
    <s v="20-DEC-13"/>
    <n v="8200"/>
    <n v="2095"/>
    <n v="10295"/>
    <n v="7234"/>
    <n v="10295"/>
    <n v="0"/>
    <n v="0"/>
    <n v="0"/>
    <n v="1"/>
  </r>
  <r>
    <x v="37"/>
    <x v="7"/>
    <x v="5"/>
    <s v="5894340930215"/>
    <s v="20-DEC-13"/>
    <n v="6450"/>
    <n v="1998"/>
    <n v="8448"/>
    <n v="7234"/>
    <n v="8448"/>
    <n v="0"/>
    <n v="0"/>
    <n v="0"/>
    <n v="1"/>
  </r>
  <r>
    <x v="37"/>
    <x v="7"/>
    <x v="5"/>
    <s v="5894342746832"/>
    <s v="28-01-14"/>
    <n v="6100"/>
    <n v="1979"/>
    <n v="8079"/>
    <n v="7234"/>
    <n v="8079"/>
    <n v="0"/>
    <n v="0"/>
    <n v="0"/>
    <n v="1"/>
  </r>
  <r>
    <x v="37"/>
    <x v="7"/>
    <x v="2"/>
    <s v="6EV7RCGJ"/>
    <s v="14-02-14"/>
    <n v="9239"/>
    <n v="1207"/>
    <n v="10446"/>
    <n v="7234"/>
    <n v="10446"/>
    <n v="10346"/>
    <n v="0"/>
    <n v="0"/>
    <n v="1"/>
  </r>
  <r>
    <x v="37"/>
    <x v="7"/>
    <x v="5"/>
    <s v="5894814804431"/>
    <s v="13-02-14"/>
    <n v="5500"/>
    <n v="1945"/>
    <n v="7445"/>
    <n v="7234"/>
    <n v="7445"/>
    <n v="0"/>
    <n v="0"/>
    <n v="1"/>
    <n v="0"/>
  </r>
  <r>
    <x v="37"/>
    <x v="7"/>
    <x v="2"/>
    <s v="6ED1TH2V"/>
    <s v="14-02-14"/>
    <n v="9239"/>
    <n v="1207"/>
    <n v="10446"/>
    <n v="7234"/>
    <n v="10446"/>
    <n v="0"/>
    <n v="0"/>
    <n v="0"/>
    <n v="1"/>
  </r>
  <r>
    <x v="37"/>
    <x v="7"/>
    <x v="5"/>
    <s v="5894815144143"/>
    <s v="27-FEB-14"/>
    <n v="6650"/>
    <n v="2009"/>
    <n v="8659"/>
    <n v="7234"/>
    <n v="8659"/>
    <e v="#REF!"/>
    <n v="0"/>
    <n v="0"/>
    <n v="1"/>
  </r>
  <r>
    <x v="37"/>
    <x v="22"/>
    <x v="5"/>
    <s v="5893976529140"/>
    <s v="24-JUL-13"/>
    <n v="3072"/>
    <n v="3011"/>
    <n v="6083"/>
    <n v="10079"/>
    <n v="6083"/>
    <m/>
    <n v="1"/>
    <n v="0"/>
    <n v="0"/>
  </r>
  <r>
    <x v="37"/>
    <x v="23"/>
    <x v="3"/>
    <s v="China"/>
    <s v=""/>
    <n v="14565"/>
    <n v="435"/>
    <n v="15000"/>
    <n v="15000"/>
    <n v="15000"/>
    <n v="0"/>
    <n v="0"/>
    <n v="1"/>
    <n v="0"/>
  </r>
  <r>
    <x v="37"/>
    <x v="24"/>
    <x v="1"/>
    <s v="0983976529111"/>
    <s v="25-JUL-13"/>
    <n v="2550"/>
    <n v="4386"/>
    <n v="6936"/>
    <n v="10332"/>
    <n v="6936"/>
    <m/>
    <n v="1"/>
    <n v="0"/>
    <n v="0"/>
  </r>
  <r>
    <x v="37"/>
    <x v="24"/>
    <x v="5"/>
    <s v="5894144897555"/>
    <s v="08-AUG-13"/>
    <n v="3059"/>
    <n v="3522"/>
    <n v="6581"/>
    <n v="10332"/>
    <n v="6581"/>
    <m/>
    <n v="1"/>
    <n v="0"/>
    <n v="0"/>
  </r>
  <r>
    <x v="37"/>
    <x v="24"/>
    <x v="5"/>
    <s v="5894145233282"/>
    <s v="08-AUG-13"/>
    <n v="9950"/>
    <n v="4063"/>
    <n v="14013"/>
    <n v="10332"/>
    <n v="14013"/>
    <m/>
    <n v="0"/>
    <n v="0"/>
    <n v="1"/>
  </r>
  <r>
    <x v="37"/>
    <x v="24"/>
    <x v="5"/>
    <s v="5894339005511"/>
    <s v="30-10-13"/>
    <n v="6300"/>
    <n v="3859"/>
    <n v="10159"/>
    <n v="10332"/>
    <n v="10159"/>
    <n v="0"/>
    <n v="0"/>
    <n v="1"/>
    <n v="0"/>
  </r>
  <r>
    <x v="37"/>
    <x v="24"/>
    <x v="5"/>
    <s v="5894339005680"/>
    <s v="05-NOV-13"/>
    <n v="9950"/>
    <n v="4063"/>
    <n v="14013"/>
    <n v="10332"/>
    <n v="14013"/>
    <n v="0"/>
    <n v="0"/>
    <n v="0"/>
    <n v="1"/>
  </r>
  <r>
    <x v="37"/>
    <x v="12"/>
    <x v="5"/>
    <s v="5894815144142"/>
    <s v="27-FEB-14"/>
    <n v="4300"/>
    <n v="1705"/>
    <n v="6005"/>
    <n v="5519"/>
    <n v="6005"/>
    <e v="#REF!"/>
    <n v="0"/>
    <n v="1"/>
    <n v="0"/>
  </r>
  <r>
    <x v="38"/>
    <x v="7"/>
    <x v="5"/>
    <s v="5894343391211"/>
    <s v="24-FEB-14"/>
    <n v="6100"/>
    <n v="1979"/>
    <n v="8079"/>
    <n v="7234"/>
    <n v="8079"/>
    <e v="#REF!"/>
    <n v="0"/>
    <n v="0"/>
    <n v="1"/>
  </r>
  <r>
    <x v="39"/>
    <x v="6"/>
    <x v="1"/>
    <s v="0984147816662"/>
    <s v="19-OCT-13"/>
    <n v="4620"/>
    <n v="3125"/>
    <n v="7745"/>
    <n v="7412.5"/>
    <n v="15784"/>
    <n v="6066"/>
    <n v="0"/>
    <n v="0"/>
    <n v="1"/>
  </r>
  <r>
    <x v="39"/>
    <x v="6"/>
    <x v="5"/>
    <s v="5894148187152"/>
    <s v="19-10-13"/>
    <n v="6100"/>
    <n v="1896"/>
    <n v="7996"/>
    <n v="7412.5"/>
    <n v="7996"/>
    <n v="0"/>
    <n v="0"/>
    <n v="1"/>
    <n v="0"/>
  </r>
  <r>
    <x v="39"/>
    <x v="6"/>
    <x v="1"/>
    <s v="0984343391212"/>
    <s v="28-FEB-14"/>
    <n v="3620"/>
    <n v="3070"/>
    <n v="6690"/>
    <n v="7412.5"/>
    <n v="14769"/>
    <e v="#REF!"/>
    <n v="0"/>
    <n v="0"/>
    <n v="1"/>
  </r>
  <r>
    <x v="39"/>
    <x v="7"/>
    <x v="1"/>
    <s v="0984147816661"/>
    <s v="14-OCT-13"/>
    <n v="4820"/>
    <n v="3219"/>
    <n v="8039"/>
    <n v="7234"/>
    <n v="8039"/>
    <n v="0"/>
    <n v="0"/>
    <n v="0"/>
    <n v="1"/>
  </r>
  <r>
    <x v="40"/>
    <x v="6"/>
    <x v="5"/>
    <s v="5893972579070"/>
    <s v="04-MAY-13"/>
    <n v="3900"/>
    <n v="3138"/>
    <n v="7038"/>
    <n v="7412.5"/>
    <n v="7038"/>
    <m/>
    <n v="0"/>
    <n v="1"/>
    <n v="0"/>
  </r>
  <r>
    <x v="40"/>
    <x v="6"/>
    <x v="2"/>
    <s v="6EUS87DQ2"/>
    <s v="04-MAY-13"/>
    <n v="3720"/>
    <n v="3336"/>
    <n v="7056"/>
    <n v="7412.5"/>
    <n v="7056"/>
    <m/>
    <n v="0"/>
    <n v="1"/>
    <n v="0"/>
  </r>
  <r>
    <x v="40"/>
    <x v="6"/>
    <x v="1"/>
    <s v="0983973429780"/>
    <s v="07-MAY-13"/>
    <n v="3940"/>
    <n v="3088"/>
    <n v="7028"/>
    <n v="7412.5"/>
    <n v="7028"/>
    <m/>
    <n v="0"/>
    <n v="1"/>
    <n v="0"/>
  </r>
  <r>
    <x v="40"/>
    <x v="6"/>
    <x v="5"/>
    <s v="5893974508553"/>
    <s v="01-JUN-13"/>
    <n v="4500"/>
    <n v="3171"/>
    <n v="7671"/>
    <n v="7412.5"/>
    <n v="7671"/>
    <n v="6312"/>
    <n v="0"/>
    <n v="1"/>
    <n v="0"/>
  </r>
  <r>
    <x v="40"/>
    <x v="6"/>
    <x v="5"/>
    <s v="5893974400135"/>
    <s v="08-JUN-13"/>
    <n v="3950"/>
    <n v="3088"/>
    <n v="7038"/>
    <n v="7412.5"/>
    <n v="7038"/>
    <m/>
    <n v="0"/>
    <n v="1"/>
    <n v="0"/>
  </r>
  <r>
    <x v="40"/>
    <x v="16"/>
    <x v="2"/>
    <s v="6EWSV2DV"/>
    <s v="19-MAY-13"/>
    <n v="15310"/>
    <n v="2947"/>
    <n v="18257"/>
    <n v="20521"/>
    <n v="18257"/>
    <n v="8792"/>
    <n v="1"/>
    <n v="0"/>
    <n v="0"/>
  </r>
  <r>
    <x v="40"/>
    <x v="7"/>
    <x v="5"/>
    <s v="5893972579069"/>
    <s v="04-MAY-13"/>
    <n v="5750"/>
    <n v="3324"/>
    <n v="9074"/>
    <n v="7234"/>
    <n v="9074"/>
    <m/>
    <n v="0"/>
    <n v="0"/>
    <n v="1"/>
  </r>
  <r>
    <x v="40"/>
    <x v="7"/>
    <x v="5"/>
    <s v="5893972579229"/>
    <s v="03-MAY-13"/>
    <n v="4500"/>
    <n v="3254"/>
    <n v="7754"/>
    <n v="7234"/>
    <n v="7754"/>
    <m/>
    <n v="0"/>
    <n v="1"/>
    <n v="0"/>
  </r>
  <r>
    <x v="40"/>
    <x v="7"/>
    <x v="5"/>
    <s v="5893973429779"/>
    <s v="06-MAY-13"/>
    <n v="3920"/>
    <n v="3222"/>
    <n v="7142"/>
    <n v="7234"/>
    <n v="7142"/>
    <m/>
    <n v="0"/>
    <n v="1"/>
    <n v="0"/>
  </r>
  <r>
    <x v="40"/>
    <x v="7"/>
    <x v="5"/>
    <s v="5893974508552"/>
    <s v="31-MAY-13"/>
    <n v="3940"/>
    <n v="3223"/>
    <n v="7163"/>
    <n v="7234"/>
    <n v="7163"/>
    <n v="5804"/>
    <n v="0"/>
    <n v="1"/>
    <n v="0"/>
  </r>
  <r>
    <x v="40"/>
    <x v="7"/>
    <x v="5"/>
    <s v="5893974400134"/>
    <s v="07-JUN-13"/>
    <n v="3010"/>
    <n v="3120"/>
    <n v="6130"/>
    <n v="7234"/>
    <n v="6130"/>
    <m/>
    <n v="1"/>
    <n v="0"/>
    <n v="0"/>
  </r>
  <r>
    <x v="40"/>
    <x v="22"/>
    <x v="5"/>
    <s v="5893972579088"/>
    <s v="28-APR-13"/>
    <n v="5900"/>
    <n v="4638"/>
    <n v="10538"/>
    <n v="10079"/>
    <n v="10538"/>
    <m/>
    <n v="0"/>
    <n v="1"/>
    <n v="0"/>
  </r>
  <r>
    <x v="40"/>
    <x v="22"/>
    <x v="2"/>
    <s v="6ELZHSSS1"/>
    <s v="24-JUL-13"/>
    <n v="2003"/>
    <n v="3215"/>
    <n v="5218"/>
    <n v="10079"/>
    <n v="5218"/>
    <m/>
    <n v="1"/>
    <n v="0"/>
    <n v="0"/>
  </r>
  <r>
    <x v="40"/>
    <x v="22"/>
    <x v="5"/>
    <s v="5894146577603"/>
    <s v="08-SEP-13"/>
    <n v="6590"/>
    <n v="3464"/>
    <n v="10054"/>
    <n v="10079"/>
    <n v="10054"/>
    <n v="0"/>
    <n v="0"/>
    <n v="1"/>
    <n v="0"/>
  </r>
  <r>
    <x v="40"/>
    <x v="10"/>
    <x v="5"/>
    <s v="5894145233345"/>
    <s v="11-AUG-13"/>
    <n v="16000"/>
    <n v="2213"/>
    <n v="18213"/>
    <n v="5814"/>
    <n v="18213"/>
    <m/>
    <n v="0"/>
    <n v="0"/>
    <n v="1"/>
  </r>
  <r>
    <x v="40"/>
    <x v="25"/>
    <x v="5"/>
    <s v="5893972579089"/>
    <s v="29-APR-13"/>
    <n v="5900"/>
    <n v="4415"/>
    <n v="10315"/>
    <n v="9855"/>
    <n v="10315"/>
    <m/>
    <n v="0"/>
    <n v="1"/>
    <n v="0"/>
  </r>
  <r>
    <x v="40"/>
    <x v="25"/>
    <x v="1"/>
    <s v="0983974025444"/>
    <s v="20-MAY-13"/>
    <n v="5060"/>
    <n v="4315"/>
    <n v="9375"/>
    <n v="9855"/>
    <n v="9375"/>
    <m/>
    <n v="0"/>
    <n v="1"/>
    <n v="0"/>
  </r>
  <r>
    <x v="40"/>
    <x v="25"/>
    <x v="5"/>
    <s v="5893976767739"/>
    <s v="25-JUL-13"/>
    <n v="3072"/>
    <n v="2787"/>
    <n v="5859"/>
    <n v="9855"/>
    <n v="5859"/>
    <n v="4659"/>
    <n v="1"/>
    <n v="0"/>
    <n v="0"/>
  </r>
  <r>
    <x v="40"/>
    <x v="25"/>
    <x v="5"/>
    <s v="5894146577604"/>
    <s v="09-SEP-13"/>
    <n v="6860"/>
    <n v="3255"/>
    <n v="10115"/>
    <n v="9855"/>
    <n v="10115"/>
    <n v="0"/>
    <n v="0"/>
    <n v="1"/>
    <n v="0"/>
  </r>
  <r>
    <x v="40"/>
    <x v="64"/>
    <x v="5"/>
    <s v="5894144551206"/>
    <s v="25-JUL-13"/>
    <n v="4830"/>
    <n v="2885"/>
    <n v="7715"/>
    <n v="7715"/>
    <n v="7715"/>
    <m/>
    <n v="0"/>
    <n v="1"/>
    <n v="0"/>
  </r>
  <r>
    <x v="40"/>
    <x v="12"/>
    <x v="2"/>
    <s v="6EF13JPH"/>
    <s v="12-AUG-13"/>
    <n v="2821"/>
    <n v="993"/>
    <n v="3814"/>
    <n v="5519"/>
    <n v="3814"/>
    <m/>
    <n v="1"/>
    <n v="0"/>
    <n v="0"/>
  </r>
  <r>
    <x v="41"/>
    <x v="2"/>
    <x v="1"/>
    <s v="0983975550360"/>
    <s v="22-JUN-13"/>
    <n v="5090"/>
    <n v="4726"/>
    <n v="9816"/>
    <n v="9753.5"/>
    <n v="9816"/>
    <m/>
    <n v="0"/>
    <n v="1"/>
    <n v="0"/>
  </r>
  <r>
    <x v="42"/>
    <x v="6"/>
    <x v="2"/>
    <s v="6EK2MZRT"/>
    <s v="09-OCT-13"/>
    <n v="6256"/>
    <n v="960"/>
    <n v="7216"/>
    <n v="7412.5"/>
    <n v="7216"/>
    <n v="7116"/>
    <n v="0"/>
    <n v="1"/>
    <n v="0"/>
  </r>
  <r>
    <x v="42"/>
    <x v="16"/>
    <x v="2"/>
    <s v="6EXT6DBM"/>
    <s v="20-MAY-13"/>
    <n v="16562"/>
    <n v="2933"/>
    <n v="19495"/>
    <n v="20521"/>
    <n v="19495"/>
    <m/>
    <n v="0"/>
    <n v="1"/>
    <n v="0"/>
  </r>
  <r>
    <x v="43"/>
    <x v="28"/>
    <x v="2"/>
    <s v="6EI8V4KD"/>
    <s v="23-JAN-14"/>
    <n v="8449"/>
    <n v="1130"/>
    <n v="9579"/>
    <n v="9066"/>
    <n v="9579"/>
    <n v="0"/>
    <n v="0"/>
    <n v="1"/>
    <n v="0"/>
  </r>
  <r>
    <x v="43"/>
    <x v="6"/>
    <x v="5"/>
    <s v="5893975225774"/>
    <s v="17-JUN-13"/>
    <n v="4550"/>
    <n v="3122"/>
    <n v="7672"/>
    <n v="7412.5"/>
    <n v="7672"/>
    <m/>
    <n v="0"/>
    <n v="1"/>
    <n v="0"/>
  </r>
  <r>
    <x v="43"/>
    <x v="6"/>
    <x v="5"/>
    <s v="5893975268688"/>
    <s v="17-JUN-13"/>
    <n v="7750"/>
    <n v="3299"/>
    <n v="11049"/>
    <n v="7412.5"/>
    <n v="11049"/>
    <m/>
    <n v="0"/>
    <n v="0"/>
    <n v="1"/>
  </r>
  <r>
    <x v="43"/>
    <x v="6"/>
    <x v="5"/>
    <s v="5894144546013"/>
    <s v="29-JUL-13"/>
    <n v="1638"/>
    <n v="1491"/>
    <n v="3129"/>
    <n v="7412.5"/>
    <n v="3129"/>
    <m/>
    <n v="1"/>
    <n v="0"/>
    <n v="0"/>
  </r>
  <r>
    <x v="43"/>
    <x v="6"/>
    <x v="5"/>
    <s v="5894339005720"/>
    <s v="10-NOV-13"/>
    <n v="8200"/>
    <n v="2012"/>
    <n v="10212"/>
    <n v="7412.5"/>
    <n v="15546"/>
    <n v="0"/>
    <n v="0"/>
    <n v="0"/>
    <n v="1"/>
  </r>
  <r>
    <x v="43"/>
    <x v="6"/>
    <x v="2"/>
    <s v="6EO6V5RZ"/>
    <s v="25-NOV-13"/>
    <n v="6256"/>
    <n v="960"/>
    <n v="7216"/>
    <n v="7412.5"/>
    <n v="7216"/>
    <n v="0"/>
    <n v="0"/>
    <n v="1"/>
    <n v="0"/>
  </r>
  <r>
    <x v="43"/>
    <x v="6"/>
    <x v="5"/>
    <s v="5894342108985"/>
    <s v="22-01-14"/>
    <n v="6100"/>
    <n v="1896"/>
    <n v="7996"/>
    <n v="7412.5"/>
    <n v="7996"/>
    <n v="0"/>
    <n v="0"/>
    <n v="1"/>
    <n v="0"/>
  </r>
  <r>
    <x v="43"/>
    <x v="6"/>
    <x v="2"/>
    <s v="6EUDY47U"/>
    <s v="10-02-14"/>
    <n v="4242"/>
    <n v="847"/>
    <n v="5089"/>
    <n v="7412.5"/>
    <n v="5089"/>
    <n v="0"/>
    <n v="1"/>
    <n v="0"/>
    <n v="0"/>
  </r>
  <r>
    <x v="43"/>
    <x v="8"/>
    <x v="12"/>
    <s v="104YSYU551"/>
    <s v="29-01-14"/>
    <n v="8450"/>
    <n v="6979"/>
    <n v="15429"/>
    <n v="14406"/>
    <n v="46287"/>
    <n v="17922"/>
    <n v="0"/>
    <n v="0"/>
    <n v="1"/>
  </r>
  <r>
    <x v="43"/>
    <x v="8"/>
    <x v="2"/>
    <s v="6EA779TW"/>
    <s v="03-02-14"/>
    <n v="11582"/>
    <n v="2189"/>
    <n v="13771"/>
    <n v="14406"/>
    <n v="13771"/>
    <n v="0"/>
    <n v="0"/>
    <n v="1"/>
    <n v="0"/>
  </r>
  <r>
    <x v="43"/>
    <x v="21"/>
    <x v="5"/>
    <s v="5893973429965"/>
    <s v="19-MAY-13"/>
    <n v="5300"/>
    <n v="5255"/>
    <n v="10555"/>
    <n v="10605"/>
    <n v="10555"/>
    <m/>
    <n v="0"/>
    <n v="1"/>
    <n v="0"/>
  </r>
  <r>
    <x v="43"/>
    <x v="21"/>
    <x v="2"/>
    <s v="6EXZF2PD"/>
    <s v="25-JUL-13"/>
    <n v="6776"/>
    <n v="1454"/>
    <n v="8230"/>
    <n v="10605"/>
    <n v="8230"/>
    <m/>
    <n v="1"/>
    <n v="0"/>
    <n v="0"/>
  </r>
  <r>
    <x v="43"/>
    <x v="21"/>
    <x v="2"/>
    <s v="6EM26SPE"/>
    <s v="02-OCT-13"/>
    <n v="9128"/>
    <n v="1585"/>
    <n v="10713"/>
    <n v="10605"/>
    <n v="10713"/>
    <n v="10613"/>
    <n v="0"/>
    <n v="1"/>
    <n v="0"/>
  </r>
  <r>
    <x v="43"/>
    <x v="21"/>
    <x v="2"/>
    <s v="6EN2CJTF"/>
    <s v="01-OCT-13"/>
    <n v="9128"/>
    <n v="1585"/>
    <n v="10713"/>
    <n v="10605"/>
    <n v="10713"/>
    <n v="0"/>
    <n v="0"/>
    <n v="1"/>
    <n v="0"/>
  </r>
  <r>
    <x v="43"/>
    <x v="21"/>
    <x v="5"/>
    <s v="5894147356681"/>
    <s v="02-OCT-13"/>
    <n v="7800"/>
    <n v="4082"/>
    <n v="11882"/>
    <n v="10605"/>
    <n v="11882"/>
    <n v="0"/>
    <n v="0"/>
    <n v="0"/>
    <n v="1"/>
  </r>
  <r>
    <x v="43"/>
    <x v="18"/>
    <x v="2"/>
    <s v="6ES4SS6P"/>
    <s v="19-DEC-13"/>
    <n v="4310"/>
    <n v="851"/>
    <n v="5161"/>
    <n v="5161"/>
    <n v="5161"/>
    <n v="0"/>
    <n v="0"/>
    <n v="1"/>
    <n v="0"/>
  </r>
  <r>
    <x v="43"/>
    <x v="18"/>
    <x v="2"/>
    <s v="6EEYGJWN"/>
    <s v="18-DEC-13"/>
    <n v="4310"/>
    <n v="851"/>
    <n v="5161"/>
    <n v="5161"/>
    <n v="5161"/>
    <n v="0"/>
    <n v="0"/>
    <n v="1"/>
    <n v="0"/>
  </r>
  <r>
    <x v="43"/>
    <x v="18"/>
    <x v="2"/>
    <s v="6EA7PDTG"/>
    <s v="26-FEB-14"/>
    <n v="3915"/>
    <n v="829"/>
    <n v="4744"/>
    <n v="5161"/>
    <n v="4744"/>
    <e v="#REF!"/>
    <n v="0"/>
    <n v="1"/>
    <n v="0"/>
  </r>
  <r>
    <x v="43"/>
    <x v="9"/>
    <x v="2"/>
    <s v="6EO1TYRN"/>
    <s v="10-SEP-13"/>
    <n v="8670"/>
    <n v="1927"/>
    <n v="10597"/>
    <n v="10597"/>
    <n v="10597"/>
    <n v="0"/>
    <n v="0"/>
    <n v="1"/>
    <n v="0"/>
  </r>
  <r>
    <x v="43"/>
    <x v="40"/>
    <x v="2"/>
    <s v="6EFDL48B"/>
    <s v="05-DEC-13"/>
    <n v="18306"/>
    <n v="1987"/>
    <n v="20293"/>
    <n v="20677"/>
    <n v="20293"/>
    <n v="0"/>
    <n v="0"/>
    <n v="1"/>
    <n v="0"/>
  </r>
  <r>
    <x v="43"/>
    <x v="50"/>
    <x v="2"/>
    <s v="6EO565VC"/>
    <s v="23-JAN-14"/>
    <n v="3870"/>
    <n v="989"/>
    <n v="4859"/>
    <n v="3186"/>
    <n v="4859"/>
    <n v="0"/>
    <n v="0"/>
    <n v="0"/>
    <n v="1"/>
  </r>
  <r>
    <x v="43"/>
    <x v="7"/>
    <x v="2"/>
    <s v="6EPUB7BR"/>
    <s v="17-JUN-13"/>
    <n v="5924"/>
    <n v="1024"/>
    <n v="6948"/>
    <n v="7234"/>
    <n v="6948"/>
    <n v="6848"/>
    <n v="0"/>
    <n v="1"/>
    <n v="0"/>
  </r>
  <r>
    <x v="43"/>
    <x v="7"/>
    <x v="2"/>
    <s v="6ERUYBBR"/>
    <s v="17-JUN-13"/>
    <n v="5924"/>
    <n v="1024"/>
    <n v="6948"/>
    <n v="7234"/>
    <n v="6948"/>
    <m/>
    <n v="0"/>
    <n v="1"/>
    <n v="0"/>
  </r>
  <r>
    <x v="43"/>
    <x v="7"/>
    <x v="5"/>
    <s v="5894339005721"/>
    <s v="22-NOV-13"/>
    <n v="3500"/>
    <n v="1834"/>
    <n v="5334"/>
    <n v="7234"/>
    <n v="5334"/>
    <n v="0"/>
    <n v="1"/>
    <n v="0"/>
    <n v="0"/>
  </r>
  <r>
    <x v="43"/>
    <x v="7"/>
    <x v="2"/>
    <s v="6EQ71J9J"/>
    <s v="29-01-14"/>
    <n v="5816"/>
    <n v="1139"/>
    <n v="6955"/>
    <n v="7234"/>
    <n v="6955"/>
    <n v="0"/>
    <n v="0"/>
    <n v="1"/>
    <n v="0"/>
  </r>
  <r>
    <x v="43"/>
    <x v="7"/>
    <x v="5"/>
    <s v="5894815243372"/>
    <s v="27-FEB-14"/>
    <n v="6950"/>
    <n v="2026"/>
    <n v="8976"/>
    <n v="7234"/>
    <n v="8976"/>
    <e v="#REF!"/>
    <n v="0"/>
    <n v="0"/>
    <n v="1"/>
  </r>
  <r>
    <x v="43"/>
    <x v="22"/>
    <x v="2"/>
    <s v="6EV2H7TM"/>
    <s v="03-OCT-13"/>
    <n v="8449"/>
    <n v="1630"/>
    <n v="10079"/>
    <n v="10079"/>
    <n v="10079"/>
    <n v="0"/>
    <n v="0"/>
    <n v="1"/>
    <n v="0"/>
  </r>
  <r>
    <x v="43"/>
    <x v="24"/>
    <x v="2"/>
    <s v="6EJSN4AM"/>
    <s v="20-MAY-13"/>
    <n v="8306"/>
    <n v="1398"/>
    <n v="9704"/>
    <n v="10332"/>
    <n v="9704"/>
    <m/>
    <n v="0"/>
    <n v="1"/>
    <n v="0"/>
  </r>
  <r>
    <x v="43"/>
    <x v="24"/>
    <x v="1"/>
    <s v="0983976529110"/>
    <s v="25-JUL-13"/>
    <n v="2550"/>
    <n v="4386"/>
    <n v="6936"/>
    <n v="10332"/>
    <n v="6936"/>
    <m/>
    <n v="1"/>
    <n v="0"/>
    <n v="0"/>
  </r>
  <r>
    <x v="43"/>
    <x v="25"/>
    <x v="5"/>
    <s v="5894147356683"/>
    <s v="03-OCT-13"/>
    <n v="7600"/>
    <n v="3197"/>
    <n v="10797"/>
    <n v="9855"/>
    <n v="10797"/>
    <n v="0"/>
    <n v="0"/>
    <n v="1"/>
    <n v="0"/>
  </r>
  <r>
    <x v="43"/>
    <x v="19"/>
    <x v="2"/>
    <s v="6EX2WBHY"/>
    <s v="19-DEC-13"/>
    <n v="4360"/>
    <n v="1078"/>
    <n v="5438"/>
    <n v="5438"/>
    <n v="5438"/>
    <n v="0"/>
    <n v="0"/>
    <n v="1"/>
    <n v="0"/>
  </r>
  <r>
    <x v="43"/>
    <x v="19"/>
    <x v="2"/>
    <s v="6EE9DU3N"/>
    <s v="19-DEC-13"/>
    <n v="4360"/>
    <n v="1078"/>
    <n v="5438"/>
    <n v="5438"/>
    <n v="5438"/>
    <n v="0"/>
    <n v="0"/>
    <n v="1"/>
    <n v="0"/>
  </r>
  <r>
    <x v="43"/>
    <x v="12"/>
    <x v="5"/>
    <s v="5894815144141"/>
    <s v="27-FEB-14"/>
    <n v="4300"/>
    <n v="1705"/>
    <n v="6005"/>
    <n v="5519"/>
    <n v="6005"/>
    <e v="#REF!"/>
    <n v="0"/>
    <n v="1"/>
    <n v="0"/>
  </r>
  <r>
    <x v="44"/>
    <x v="17"/>
    <x v="9"/>
    <s v="1604342242882"/>
    <s v="22-JAN-14"/>
    <n v="21845"/>
    <n v="25990"/>
    <n v="47835"/>
    <n v="45000"/>
    <n v="47835"/>
    <n v="0"/>
    <n v="0"/>
    <n v="1"/>
    <n v="0"/>
  </r>
  <r>
    <x v="44"/>
    <x v="27"/>
    <x v="3"/>
    <s v="China"/>
    <s v=""/>
    <n v="7047"/>
    <n v="500"/>
    <n v="7547"/>
    <n v="6580.5"/>
    <n v="7547"/>
    <n v="0"/>
    <n v="0"/>
    <n v="0"/>
    <n v="1"/>
  </r>
  <r>
    <x v="45"/>
    <x v="15"/>
    <x v="2"/>
    <s v="6EF4898P"/>
    <s v="21-FEB-14"/>
    <n v="17136"/>
    <n v="2046"/>
    <n v="19182"/>
    <n v="19030"/>
    <n v="19182"/>
    <e v="#REF!"/>
    <n v="0"/>
    <n v="1"/>
    <n v="0"/>
  </r>
  <r>
    <x v="46"/>
    <x v="5"/>
    <x v="2"/>
    <s v="6EC5NNNM"/>
    <s v="20-FEB-14"/>
    <n v="8742"/>
    <n v="1209"/>
    <n v="9951"/>
    <n v="9425"/>
    <n v="9951"/>
    <e v="#REF!"/>
    <n v="0"/>
    <n v="1"/>
    <n v="0"/>
  </r>
  <r>
    <x v="47"/>
    <x v="6"/>
    <x v="5"/>
    <s v="5894147072970"/>
    <s v="17-SEP-13"/>
    <n v="5200"/>
    <n v="1945"/>
    <n v="7145"/>
    <n v="7412.5"/>
    <n v="7145"/>
    <n v="0"/>
    <n v="0"/>
    <n v="1"/>
    <n v="0"/>
  </r>
  <r>
    <x v="47"/>
    <x v="24"/>
    <x v="5"/>
    <s v="5894338903368"/>
    <s v="21-10-13"/>
    <n v="6400"/>
    <n v="3989"/>
    <n v="10389"/>
    <n v="10332"/>
    <n v="10389"/>
    <n v="0"/>
    <n v="0"/>
    <n v="1"/>
    <n v="0"/>
  </r>
  <r>
    <x v="47"/>
    <x v="24"/>
    <x v="1"/>
    <s v="0984341198698"/>
    <s v="11-JAN-14"/>
    <n v="3330"/>
    <n v="4954"/>
    <n v="8284"/>
    <n v="10332"/>
    <n v="8284"/>
    <e v="#REF!"/>
    <n v="1"/>
    <n v="0"/>
    <n v="0"/>
  </r>
  <r>
    <x v="47"/>
    <x v="6"/>
    <x v="5"/>
    <s v="5893972579189"/>
    <s v="03-MAY-13"/>
    <n v="4500"/>
    <n v="3171"/>
    <n v="7671"/>
    <n v="7412.5"/>
    <n v="7671"/>
    <m/>
    <n v="0"/>
    <n v="1"/>
    <n v="0"/>
  </r>
  <r>
    <x v="47"/>
    <x v="6"/>
    <x v="5"/>
    <s v="5893972579239"/>
    <s v="03-MAY-13"/>
    <n v="4500"/>
    <n v="3171"/>
    <n v="7671"/>
    <n v="7412.5"/>
    <n v="7671"/>
    <m/>
    <n v="0"/>
    <n v="1"/>
    <n v="0"/>
  </r>
  <r>
    <x v="47"/>
    <x v="6"/>
    <x v="2"/>
    <s v="6ENZ7GTV1"/>
    <s v="10/07/2013"/>
    <n v="744"/>
    <n v="2427"/>
    <n v="3171"/>
    <n v="7412.5"/>
    <n v="3171"/>
    <m/>
    <n v="1"/>
    <n v="0"/>
    <n v="0"/>
  </r>
  <r>
    <x v="47"/>
    <x v="9"/>
    <x v="1"/>
    <s v="0984342969598"/>
    <s v="03-02-14"/>
    <n v="4796"/>
    <n v="5471"/>
    <n v="10267"/>
    <n v="10597"/>
    <n v="10267"/>
    <n v="0"/>
    <n v="0"/>
    <n v="1"/>
    <n v="0"/>
  </r>
  <r>
    <x v="47"/>
    <x v="7"/>
    <x v="5"/>
    <s v="5893972579190"/>
    <s v="03-MAY-13"/>
    <n v="5750"/>
    <n v="3324"/>
    <n v="9074"/>
    <n v="7234"/>
    <n v="9074"/>
    <m/>
    <n v="0"/>
    <n v="0"/>
    <n v="1"/>
  </r>
  <r>
    <x v="47"/>
    <x v="24"/>
    <x v="1"/>
    <s v="0984341518740"/>
    <s v="15-JAN-14"/>
    <n v="5240"/>
    <n v="5159"/>
    <n v="10399"/>
    <n v="10332"/>
    <n v="10399"/>
    <m/>
    <n v="0"/>
    <n v="1"/>
    <n v="0"/>
  </r>
  <r>
    <x v="47"/>
    <x v="65"/>
    <x v="7"/>
    <s v="1764340894513"/>
    <s v="11-DEC-13"/>
    <n v="13710"/>
    <n v="3490"/>
    <n v="17200"/>
    <n v="17200"/>
    <n v="17200"/>
    <n v="0"/>
    <n v="0"/>
    <n v="1"/>
    <n v="0"/>
  </r>
  <r>
    <x v="47"/>
    <x v="66"/>
    <x v="1"/>
    <s v="0984340765379"/>
    <s v="12-DEC-13"/>
    <n v="18825"/>
    <n v="8975"/>
    <n v="27800"/>
    <n v="27800"/>
    <n v="27800"/>
    <n v="0"/>
    <n v="0"/>
    <n v="1"/>
    <n v="0"/>
  </r>
  <r>
    <x v="48"/>
    <x v="9"/>
    <x v="2"/>
    <s v="6EO1TYRN1"/>
    <s v="10-SEP-13"/>
    <n v="8670"/>
    <n v="1927"/>
    <n v="10597"/>
    <n v="10597"/>
    <n v="10597"/>
    <n v="0"/>
    <n v="0"/>
    <n v="1"/>
    <n v="0"/>
  </r>
  <r>
    <x v="49"/>
    <x v="6"/>
    <x v="5"/>
    <s v="5893974847681"/>
    <s v="11-JUN-13"/>
    <n v="4550"/>
    <n v="3122"/>
    <n v="7672"/>
    <n v="7412.5"/>
    <n v="7672"/>
    <m/>
    <n v="0"/>
    <n v="1"/>
    <n v="0"/>
  </r>
  <r>
    <x v="49"/>
    <x v="7"/>
    <x v="5"/>
    <s v="5893974847682"/>
    <s v="11-JUN-13"/>
    <n v="4550"/>
    <n v="3205"/>
    <n v="7755"/>
    <n v="7234"/>
    <n v="7755"/>
    <m/>
    <n v="0"/>
    <n v="1"/>
    <n v="0"/>
  </r>
  <r>
    <x v="50"/>
    <x v="6"/>
    <x v="2"/>
    <s v="6EI27ZSY"/>
    <s v="03-02-14"/>
    <n v="5766"/>
    <n v="1053"/>
    <n v="6819"/>
    <n v="7412.5"/>
    <n v="6819"/>
    <n v="0"/>
    <n v="0"/>
    <n v="1"/>
    <n v="0"/>
  </r>
  <r>
    <x v="50"/>
    <x v="67"/>
    <x v="3"/>
    <s v="Switzerland"/>
    <s v=""/>
    <n v="6710"/>
    <n v="290"/>
    <n v="7000"/>
    <n v="7000"/>
    <n v="7000"/>
    <n v="0"/>
    <n v="0"/>
    <n v="1"/>
    <n v="0"/>
  </r>
  <r>
    <x v="51"/>
    <x v="68"/>
    <x v="11"/>
    <s v="6184145223157"/>
    <s v="07-AUG-13"/>
    <n v="29000"/>
    <n v="41500"/>
    <n v="70500"/>
    <n v="70500"/>
    <n v="70500"/>
    <m/>
    <n v="0"/>
    <n v="1"/>
    <n v="0"/>
  </r>
  <r>
    <x v="52"/>
    <x v="69"/>
    <x v="5"/>
    <s v="5894147816733"/>
    <s v="21-OCT-13"/>
    <n v="6400"/>
    <n v="3539"/>
    <n v="9939"/>
    <n v="9939"/>
    <n v="9939"/>
    <n v="0"/>
    <n v="0"/>
    <n v="1"/>
    <n v="0"/>
  </r>
  <r>
    <x v="52"/>
    <x v="70"/>
    <x v="12"/>
    <s v="104HJE7LJ3"/>
    <s v="26-OCT-13"/>
    <n v="3050"/>
    <n v="4658"/>
    <n v="7708"/>
    <n v="7708"/>
    <n v="7708"/>
    <n v="0"/>
    <n v="0"/>
    <n v="1"/>
    <n v="0"/>
  </r>
  <r>
    <x v="53"/>
    <x v="6"/>
    <x v="5"/>
    <s v="5893974228267"/>
    <s v="24-MAY-13"/>
    <n v="4500"/>
    <n v="3196"/>
    <n v="7696"/>
    <n v="7412.5"/>
    <n v="7696"/>
    <m/>
    <n v="0"/>
    <n v="1"/>
    <n v="0"/>
  </r>
  <r>
    <x v="53"/>
    <x v="16"/>
    <x v="1"/>
    <s v="0984341518510"/>
    <s v="27-DEC-13"/>
    <n v="10862"/>
    <n v="10638"/>
    <n v="21500"/>
    <n v="20521"/>
    <n v="21500"/>
    <n v="0"/>
    <n v="0"/>
    <n v="1"/>
    <n v="0"/>
  </r>
  <r>
    <x v="53"/>
    <x v="7"/>
    <x v="5"/>
    <s v="5893974228269"/>
    <s v="24-MAY-13"/>
    <n v="5110"/>
    <n v="3313"/>
    <n v="8423"/>
    <n v="7234"/>
    <n v="8423"/>
    <m/>
    <n v="0"/>
    <n v="0"/>
    <n v="1"/>
  </r>
  <r>
    <x v="53"/>
    <x v="6"/>
    <x v="5"/>
    <s v="5893974400177"/>
    <s v="03-JUN-13"/>
    <n v="4550"/>
    <n v="3122"/>
    <n v="7672"/>
    <n v="7412.5"/>
    <n v="7672"/>
    <m/>
    <n v="0"/>
    <n v="1"/>
    <n v="0"/>
  </r>
  <r>
    <x v="53"/>
    <x v="6"/>
    <x v="1"/>
    <s v="0984146953051"/>
    <s v="19-SEP-13"/>
    <n v="3130"/>
    <n v="3043"/>
    <n v="6173"/>
    <n v="7412.5"/>
    <n v="6173"/>
    <n v="0"/>
    <n v="1"/>
    <n v="0"/>
    <n v="0"/>
  </r>
  <r>
    <x v="53"/>
    <x v="6"/>
    <x v="12"/>
    <s v="104Z9QPZP1"/>
    <s v="29-01-14"/>
    <n v="4000"/>
    <n v="3420"/>
    <n v="7420"/>
    <n v="7412.5"/>
    <n v="7420"/>
    <n v="0"/>
    <n v="0"/>
    <n v="1"/>
    <n v="0"/>
  </r>
  <r>
    <x v="53"/>
    <x v="21"/>
    <x v="1"/>
    <s v="0984144546019"/>
    <s v="24-JUL-13"/>
    <n v="3668"/>
    <n v="5113"/>
    <n v="8781"/>
    <n v="10605"/>
    <n v="8781"/>
    <m/>
    <n v="1"/>
    <n v="0"/>
    <n v="0"/>
  </r>
  <r>
    <x v="53"/>
    <x v="21"/>
    <x v="5"/>
    <s v="5894147356682"/>
    <s v="02-OCT-13"/>
    <n v="7800"/>
    <n v="4082"/>
    <n v="11882"/>
    <n v="10605"/>
    <n v="11882"/>
    <n v="0"/>
    <n v="0"/>
    <n v="0"/>
    <n v="1"/>
  </r>
  <r>
    <x v="53"/>
    <x v="7"/>
    <x v="1"/>
    <s v="0984146953052"/>
    <s v="21-SEP-13"/>
    <n v="3130"/>
    <n v="3126"/>
    <n v="6256"/>
    <n v="7234"/>
    <n v="12512"/>
    <n v="4577"/>
    <n v="0"/>
    <n v="0"/>
    <n v="1"/>
  </r>
  <r>
    <x v="53"/>
    <x v="24"/>
    <x v="1"/>
    <s v="0984144546020"/>
    <s v="25-JUL-13"/>
    <n v="2165"/>
    <n v="4364"/>
    <n v="6529"/>
    <n v="10332"/>
    <n v="6529"/>
    <m/>
    <n v="1"/>
    <n v="0"/>
    <n v="0"/>
  </r>
  <r>
    <x v="53"/>
    <x v="31"/>
    <x v="5"/>
    <s v="5894342969605"/>
    <s v="03-02-14"/>
    <n v="4170"/>
    <n v="1455"/>
    <n v="5625"/>
    <n v="5455"/>
    <n v="5625"/>
    <n v="0"/>
    <n v="0"/>
    <n v="1"/>
    <n v="0"/>
  </r>
  <r>
    <x v="54"/>
    <x v="9"/>
    <x v="2"/>
    <s v="6EE1WGNY"/>
    <s v="22-JAN-14"/>
    <n v="8670"/>
    <n v="2108"/>
    <n v="10778"/>
    <n v="10597"/>
    <n v="10778"/>
    <n v="0"/>
    <n v="0"/>
    <n v="1"/>
    <n v="0"/>
  </r>
  <r>
    <x v="55"/>
    <x v="71"/>
    <x v="2"/>
    <s v="6EU9KNST"/>
    <s v="17-02-14"/>
    <n v="17592"/>
    <n v="2991"/>
    <n v="20583"/>
    <n v="19495"/>
    <n v="20583"/>
    <n v="0"/>
    <n v="0"/>
    <n v="1"/>
    <n v="0"/>
  </r>
  <r>
    <x v="56"/>
    <x v="72"/>
    <x v="15"/>
    <s v="2204148109047"/>
    <s v="10-OCT-13"/>
    <n v="0"/>
    <n v="15000"/>
    <n v="15000"/>
    <n v="15000"/>
    <n v="15000"/>
    <n v="0"/>
    <n v="0"/>
    <n v="1"/>
    <n v="0"/>
  </r>
  <r>
    <x v="57"/>
    <x v="21"/>
    <x v="5"/>
    <s v="5894339996091"/>
    <s v="25-NOV-13"/>
    <n v="7950"/>
    <n v="4091"/>
    <n v="12041"/>
    <n v="10605"/>
    <n v="23747"/>
    <n v="0"/>
    <n v="0"/>
    <n v="0"/>
    <n v="1"/>
  </r>
  <r>
    <x v="57"/>
    <x v="24"/>
    <x v="4"/>
    <s v="775Y4GZUV1"/>
    <s v="25-NOV-13"/>
    <n v="6027"/>
    <n v="5679"/>
    <n v="11706"/>
    <n v="10332"/>
    <n v="11706"/>
    <n v="0"/>
    <n v="0"/>
    <n v="0"/>
    <n v="1"/>
  </r>
  <r>
    <x v="58"/>
    <x v="19"/>
    <x v="2"/>
    <s v="6EB18CTX"/>
    <s v="17-AUG-13"/>
    <n v="3017"/>
    <n v="1003"/>
    <n v="4020"/>
    <n v="5438"/>
    <n v="4020"/>
    <n v="0"/>
    <n v="1"/>
    <n v="0"/>
    <n v="0"/>
  </r>
  <r>
    <x v="59"/>
    <x v="35"/>
    <x v="4"/>
    <s v="775N7H1SJ1"/>
    <s v="02-JUL-13"/>
    <n v="5174"/>
    <n v="6548"/>
    <n v="11722"/>
    <n v="11722"/>
    <n v="11722"/>
    <m/>
    <n v="0"/>
    <n v="1"/>
    <n v="0"/>
  </r>
  <r>
    <x v="60"/>
    <x v="6"/>
    <x v="5"/>
    <s v="5894339294339"/>
    <s v="01-11-13"/>
    <n v="5500"/>
    <n v="2587"/>
    <n v="8087"/>
    <n v="7412.5"/>
    <n v="8087"/>
    <n v="0"/>
    <n v="0"/>
    <n v="1"/>
    <n v="0"/>
  </r>
  <r>
    <x v="61"/>
    <x v="6"/>
    <x v="5"/>
    <s v="5894339294338"/>
    <s v="01-11-13"/>
    <n v="5500"/>
    <n v="2587"/>
    <n v="8087"/>
    <n v="7412.5"/>
    <n v="8087"/>
    <n v="0"/>
    <n v="0"/>
    <n v="1"/>
    <n v="0"/>
  </r>
  <r>
    <x v="61"/>
    <x v="8"/>
    <x v="4"/>
    <s v="775PYJMRA1"/>
    <s v="06-JUN-13"/>
    <n v="7292"/>
    <n v="6798"/>
    <n v="14090"/>
    <n v="14406"/>
    <n v="14090"/>
    <m/>
    <n v="0"/>
    <n v="1"/>
    <n v="0"/>
  </r>
  <r>
    <x v="61"/>
    <x v="7"/>
    <x v="1"/>
    <s v="0984339005645"/>
    <s v="01-11-13"/>
    <n v="5570"/>
    <n v="3261"/>
    <n v="8831"/>
    <n v="7234"/>
    <n v="8831"/>
    <n v="0"/>
    <n v="0"/>
    <n v="0"/>
    <n v="1"/>
  </r>
  <r>
    <x v="62"/>
    <x v="1"/>
    <x v="0"/>
    <s v="671206162"/>
    <s v="18-APR-13"/>
    <n v="712"/>
    <n v="112"/>
    <n v="824"/>
    <n v="824"/>
    <n v="824"/>
    <m/>
    <n v="0"/>
    <n v="1"/>
    <n v="0"/>
  </r>
  <r>
    <x v="63"/>
    <x v="6"/>
    <x v="2"/>
    <s v="6EEUC7CX2"/>
    <s v="15-JUN-13"/>
    <n v="3720"/>
    <n v="3336"/>
    <n v="7056"/>
    <n v="7412.5"/>
    <n v="7056"/>
    <m/>
    <n v="0"/>
    <n v="1"/>
    <n v="0"/>
  </r>
  <r>
    <x v="63"/>
    <x v="7"/>
    <x v="5"/>
    <s v="5893975225760"/>
    <s v="15-JUN-13"/>
    <n v="4550"/>
    <n v="3205"/>
    <n v="7755"/>
    <n v="7234"/>
    <n v="7755"/>
    <n v="6396"/>
    <n v="0"/>
    <n v="1"/>
    <n v="0"/>
  </r>
  <r>
    <x v="63"/>
    <x v="7"/>
    <x v="4"/>
    <s v="775D82NKT1"/>
    <s v="15-JUN-13"/>
    <n v="3646"/>
    <n v="3471"/>
    <n v="7117"/>
    <n v="7234"/>
    <n v="7117"/>
    <m/>
    <n v="0"/>
    <n v="1"/>
    <n v="0"/>
  </r>
  <r>
    <x v="64"/>
    <x v="21"/>
    <x v="2"/>
    <s v="6EVS5BBM1"/>
    <s v="02-MAY-13"/>
    <n v="4800"/>
    <n v="5626"/>
    <n v="10426"/>
    <n v="10605"/>
    <n v="10426"/>
    <m/>
    <n v="0"/>
    <n v="1"/>
    <n v="0"/>
  </r>
  <r>
    <x v="65"/>
    <x v="0"/>
    <x v="0"/>
    <s v="671194217"/>
    <s v="10-APR-13"/>
    <n v="772"/>
    <n v="112"/>
    <n v="884"/>
    <n v="749"/>
    <n v="884"/>
    <m/>
    <n v="0"/>
    <n v="1"/>
    <n v="0"/>
  </r>
  <r>
    <x v="65"/>
    <x v="1"/>
    <x v="0"/>
    <s v="671198182"/>
    <s v="11-APR-13"/>
    <n v="1392"/>
    <n v="112"/>
    <n v="1504"/>
    <n v="824"/>
    <n v="1504"/>
    <m/>
    <n v="0"/>
    <n v="0"/>
    <n v="1"/>
  </r>
  <r>
    <x v="66"/>
    <x v="73"/>
    <x v="14"/>
    <s v="0143975856396"/>
    <s v="01/07/2013"/>
    <n v="191425"/>
    <n v="30782"/>
    <n v="222207"/>
    <n v="222207"/>
    <n v="222207"/>
    <m/>
    <n v="0"/>
    <n v="1"/>
    <n v="0"/>
  </r>
  <r>
    <x v="66"/>
    <x v="60"/>
    <x v="14"/>
    <s v="0144148159426"/>
    <s v="15-OCT-13"/>
    <n v="70705"/>
    <n v="48295"/>
    <n v="119000"/>
    <n v="119000"/>
    <n v="119000"/>
    <n v="0"/>
    <n v="0"/>
    <n v="1"/>
    <n v="0"/>
  </r>
  <r>
    <x v="66"/>
    <x v="74"/>
    <x v="14"/>
    <s v="0143975856397"/>
    <s v="01/07/2013"/>
    <n v="0"/>
    <n v="0"/>
    <n v="0"/>
    <n v="0"/>
    <n v="0"/>
    <m/>
    <n v="0"/>
    <n v="1"/>
    <n v="0"/>
  </r>
  <r>
    <x v="67"/>
    <x v="6"/>
    <x v="1"/>
    <s v="0983976120038"/>
    <s v="04/07/2013"/>
    <n v="950"/>
    <n v="2922"/>
    <n v="3872"/>
    <n v="7412.5"/>
    <n v="3872"/>
    <m/>
    <n v="1"/>
    <n v="0"/>
    <n v="0"/>
  </r>
  <r>
    <x v="67"/>
    <x v="7"/>
    <x v="2"/>
    <s v="6EAZMEAX2"/>
    <s v="04/07/2013"/>
    <n v="748"/>
    <n v="2572"/>
    <n v="3320"/>
    <n v="7234"/>
    <n v="3320"/>
    <m/>
    <n v="1"/>
    <n v="0"/>
    <n v="0"/>
  </r>
  <r>
    <x v="68"/>
    <x v="18"/>
    <x v="2"/>
    <s v="6EHUTUBM1"/>
    <s v="28-JUN-13"/>
    <n v="2637"/>
    <n v="2317"/>
    <n v="4954"/>
    <n v="5161"/>
    <n v="4954"/>
    <m/>
    <n v="0"/>
    <n v="1"/>
    <n v="0"/>
  </r>
  <r>
    <x v="68"/>
    <x v="19"/>
    <x v="1"/>
    <s v="0983975225928"/>
    <s v="23-JUN-13"/>
    <n v="2300"/>
    <n v="2906"/>
    <n v="5206"/>
    <n v="5438"/>
    <n v="5206"/>
    <m/>
    <n v="0"/>
    <n v="1"/>
    <n v="0"/>
  </r>
  <r>
    <x v="68"/>
    <x v="75"/>
    <x v="8"/>
    <s v="1254342081204"/>
    <s v="26-JAN-14"/>
    <n v="0"/>
    <n v="5600"/>
    <n v="5600"/>
    <n v="5600"/>
    <n v="5600"/>
    <n v="0"/>
    <n v="0"/>
    <n v="1"/>
    <n v="0"/>
  </r>
  <r>
    <x v="69"/>
    <x v="6"/>
    <x v="2"/>
    <s v="6EM7YEQJ"/>
    <s v="30-NOV-13"/>
    <n v="4450"/>
    <n v="3422"/>
    <n v="7872"/>
    <n v="7412.5"/>
    <n v="7872"/>
    <n v="0"/>
    <n v="0"/>
    <n v="1"/>
    <n v="0"/>
  </r>
  <r>
    <x v="69"/>
    <x v="7"/>
    <x v="5"/>
    <s v="5894340476762"/>
    <s v="30-NOV-13"/>
    <n v="6100"/>
    <n v="1979"/>
    <n v="8079"/>
    <n v="7234"/>
    <n v="8079"/>
    <n v="0"/>
    <n v="0"/>
    <n v="0"/>
    <n v="1"/>
  </r>
  <r>
    <x v="70"/>
    <x v="76"/>
    <x v="11"/>
    <s v="6182405153323"/>
    <s v="10-02-14"/>
    <n v="39292"/>
    <n v="67708"/>
    <n v="107000"/>
    <n v="107000"/>
    <n v="107000"/>
    <n v="0"/>
    <n v="0"/>
    <n v="1"/>
    <n v="0"/>
  </r>
  <r>
    <x v="71"/>
    <x v="6"/>
    <x v="1"/>
    <s v="0984146953049"/>
    <s v="18-SEP-13"/>
    <n v="4110"/>
    <n v="3097"/>
    <n v="7207"/>
    <n v="7412.5"/>
    <n v="14414"/>
    <n v="0"/>
    <n v="0"/>
    <n v="0"/>
    <n v="1"/>
  </r>
  <r>
    <x v="71"/>
    <x v="7"/>
    <x v="4"/>
    <s v="775J2QWSI1"/>
    <s v="22-SEP-13"/>
    <n v="2901"/>
    <n v="3383"/>
    <n v="6284"/>
    <n v="7234"/>
    <n v="6284"/>
    <n v="0"/>
    <n v="1"/>
    <n v="0"/>
    <n v="0"/>
  </r>
  <r>
    <x v="72"/>
    <x v="6"/>
    <x v="1"/>
    <s v="0983975225982"/>
    <s v="24-JUN-13"/>
    <n v="3940"/>
    <n v="3088"/>
    <n v="7028"/>
    <n v="7412.5"/>
    <n v="7028"/>
    <m/>
    <n v="0"/>
    <n v="1"/>
    <n v="0"/>
  </r>
  <r>
    <x v="72"/>
    <x v="6"/>
    <x v="1"/>
    <s v="0984147816696"/>
    <s v="10-OCT-13"/>
    <n v="4820"/>
    <n v="3136"/>
    <n v="7956"/>
    <n v="7412.5"/>
    <n v="7956"/>
    <n v="0"/>
    <n v="0"/>
    <n v="1"/>
    <n v="0"/>
  </r>
  <r>
    <x v="72"/>
    <x v="8"/>
    <x v="2"/>
    <s v="6EX23ZNX1"/>
    <s v="17-SEP-13"/>
    <n v="7880"/>
    <n v="6868"/>
    <n v="14748"/>
    <n v="14406"/>
    <n v="14748"/>
    <n v="12547"/>
    <n v="0"/>
    <n v="1"/>
    <n v="0"/>
  </r>
  <r>
    <x v="72"/>
    <x v="8"/>
    <x v="2"/>
    <s v="6EP25LPF1"/>
    <s v="19-SEP-13"/>
    <n v="7880"/>
    <n v="6868"/>
    <n v="14748"/>
    <n v="14406"/>
    <n v="14748"/>
    <n v="5938"/>
    <n v="0"/>
    <n v="1"/>
    <n v="0"/>
  </r>
  <r>
    <x v="72"/>
    <x v="7"/>
    <x v="2"/>
    <s v="6EPUF7CM2"/>
    <s v="24-JUN-13"/>
    <n v="4218"/>
    <n v="2984"/>
    <n v="7202"/>
    <n v="7234"/>
    <n v="7202"/>
    <m/>
    <n v="0"/>
    <n v="1"/>
    <n v="0"/>
  </r>
  <r>
    <x v="72"/>
    <x v="7"/>
    <x v="1"/>
    <s v="0984146953189"/>
    <s v="20-SEP-13"/>
    <n v="4700"/>
    <n v="3213"/>
    <n v="7913"/>
    <n v="7234"/>
    <n v="7913"/>
    <n v="0"/>
    <n v="0"/>
    <n v="1"/>
    <n v="0"/>
  </r>
  <r>
    <x v="72"/>
    <x v="7"/>
    <x v="4"/>
    <s v="775WYEVXD2"/>
    <s v="11-OCT-13"/>
    <n v="4361"/>
    <n v="3557"/>
    <n v="7918"/>
    <n v="7234"/>
    <n v="15874"/>
    <n v="0"/>
    <n v="0"/>
    <n v="0"/>
    <n v="1"/>
  </r>
  <r>
    <x v="72"/>
    <x v="7"/>
    <x v="2"/>
    <s v="6EM383TA1"/>
    <s v="01-11-13"/>
    <n v="4999"/>
    <n v="3632"/>
    <n v="8631"/>
    <n v="7234"/>
    <n v="8631"/>
    <n v="0"/>
    <n v="0"/>
    <n v="0"/>
    <n v="1"/>
  </r>
  <r>
    <x v="73"/>
    <x v="77"/>
    <x v="15"/>
    <s v="2204148159277"/>
    <s v="27-OCT-13"/>
    <n v="17400"/>
    <n v="33005"/>
    <n v="50405"/>
    <n v="50405"/>
    <n v="50405"/>
    <n v="0"/>
    <n v="0"/>
    <n v="1"/>
    <n v="0"/>
  </r>
  <r>
    <x v="74"/>
    <x v="35"/>
    <x v="5"/>
    <s v="5894340320799"/>
    <s v="01-DEC-13"/>
    <n v="9580"/>
    <n v="3725"/>
    <n v="13305"/>
    <n v="11722"/>
    <n v="13305"/>
    <n v="0"/>
    <n v="0"/>
    <n v="0"/>
    <n v="1"/>
  </r>
  <r>
    <x v="74"/>
    <x v="35"/>
    <x v="1"/>
    <s v="0984341198627"/>
    <s v="22-DEC-13"/>
    <n v="7886"/>
    <n v="6005"/>
    <n v="13891"/>
    <n v="11722"/>
    <n v="13891"/>
    <n v="0"/>
    <n v="0"/>
    <n v="0"/>
    <n v="1"/>
  </r>
  <r>
    <x v="74"/>
    <x v="6"/>
    <x v="4"/>
    <s v="775C65ERZ1"/>
    <s v="19-MAY-13"/>
    <n v="3646"/>
    <n v="3327"/>
    <n v="6973"/>
    <n v="7412.5"/>
    <n v="6973"/>
    <m/>
    <n v="0"/>
    <n v="1"/>
    <n v="0"/>
  </r>
  <r>
    <x v="74"/>
    <x v="6"/>
    <x v="5"/>
    <s v="5893974847683"/>
    <s v="11-JUN-13"/>
    <n v="4550"/>
    <n v="3122"/>
    <n v="7672"/>
    <n v="7412.5"/>
    <n v="7672"/>
    <m/>
    <n v="0"/>
    <n v="1"/>
    <n v="0"/>
  </r>
  <r>
    <x v="74"/>
    <x v="6"/>
    <x v="1"/>
    <s v="0983975712755"/>
    <s v="26-JUN-13"/>
    <n v="3940"/>
    <n v="3088"/>
    <n v="7028"/>
    <n v="7412.5"/>
    <n v="7028"/>
    <m/>
    <n v="0"/>
    <n v="1"/>
    <n v="0"/>
  </r>
  <r>
    <x v="74"/>
    <x v="6"/>
    <x v="1"/>
    <s v="0984339005744"/>
    <s v="11-NOV-13"/>
    <n v="4620"/>
    <n v="3125"/>
    <n v="7745"/>
    <n v="7412.5"/>
    <n v="7745"/>
    <n v="0"/>
    <n v="0"/>
    <n v="1"/>
    <n v="0"/>
  </r>
  <r>
    <x v="74"/>
    <x v="6"/>
    <x v="1"/>
    <s v="0984340476913"/>
    <s v="07-DEC-13"/>
    <n v="4620"/>
    <n v="3125"/>
    <n v="7745"/>
    <n v="7412.5"/>
    <n v="7745"/>
    <n v="0"/>
    <n v="0"/>
    <n v="1"/>
    <n v="0"/>
  </r>
  <r>
    <x v="74"/>
    <x v="18"/>
    <x v="5"/>
    <s v="5893513384841"/>
    <s v="04-APR-13"/>
    <n v="2340"/>
    <n v="2632"/>
    <n v="4972"/>
    <n v="5161"/>
    <n v="4972"/>
    <m/>
    <n v="0"/>
    <n v="1"/>
    <n v="0"/>
  </r>
  <r>
    <x v="74"/>
    <x v="18"/>
    <x v="2"/>
    <s v="6ERS2FLP1"/>
    <s v="06-MAY-13"/>
    <n v="2140"/>
    <n v="2815"/>
    <n v="4955"/>
    <n v="5161"/>
    <n v="4955"/>
    <m/>
    <n v="0"/>
    <n v="1"/>
    <n v="0"/>
  </r>
  <r>
    <x v="74"/>
    <x v="9"/>
    <x v="2"/>
    <s v="6ECTLJDV1"/>
    <s v="28-MAY-13"/>
    <n v="4280"/>
    <n v="5919"/>
    <n v="10199"/>
    <n v="10597"/>
    <n v="10199"/>
    <m/>
    <n v="0"/>
    <n v="1"/>
    <n v="0"/>
  </r>
  <r>
    <x v="74"/>
    <x v="7"/>
    <x v="2"/>
    <s v="6EXS1CAR1"/>
    <s v="08-MAY-13"/>
    <n v="3720"/>
    <n v="3481"/>
    <n v="7201"/>
    <n v="7234"/>
    <n v="7201"/>
    <m/>
    <n v="0"/>
    <n v="1"/>
    <n v="0"/>
  </r>
  <r>
    <x v="74"/>
    <x v="7"/>
    <x v="2"/>
    <s v="6EXT6VBM2"/>
    <s v="22-MAY-13"/>
    <n v="3720"/>
    <n v="3481"/>
    <n v="7201"/>
    <n v="7234"/>
    <n v="7201"/>
    <m/>
    <n v="0"/>
    <n v="1"/>
    <n v="0"/>
  </r>
  <r>
    <x v="74"/>
    <x v="7"/>
    <x v="1"/>
    <s v="0984339005743"/>
    <s v="11-NOV-13"/>
    <n v="4620"/>
    <n v="3208"/>
    <n v="7828"/>
    <n v="7234"/>
    <n v="15573"/>
    <n v="0"/>
    <n v="0"/>
    <n v="0"/>
    <n v="1"/>
  </r>
  <r>
    <x v="74"/>
    <x v="7"/>
    <x v="1"/>
    <s v="0984340476912"/>
    <s v="06-DEC-13"/>
    <n v="4620"/>
    <n v="3208"/>
    <n v="7828"/>
    <n v="7234"/>
    <n v="15573"/>
    <n v="0"/>
    <n v="0"/>
    <n v="0"/>
    <n v="1"/>
  </r>
  <r>
    <x v="74"/>
    <x v="10"/>
    <x v="1"/>
    <s v="0983972579031"/>
    <s v="24-APR-13"/>
    <n v="3500"/>
    <n v="2831"/>
    <n v="6331"/>
    <n v="5814"/>
    <n v="6331"/>
    <m/>
    <n v="0"/>
    <n v="1"/>
    <n v="0"/>
  </r>
  <r>
    <x v="74"/>
    <x v="19"/>
    <x v="2"/>
    <s v="6EMQMDAN2"/>
    <s v="04-APR-13"/>
    <n v="2040"/>
    <n v="2982"/>
    <n v="5022"/>
    <n v="5438"/>
    <n v="5022"/>
    <m/>
    <n v="0"/>
    <n v="1"/>
    <n v="0"/>
  </r>
  <r>
    <x v="74"/>
    <x v="12"/>
    <x v="2"/>
    <s v="6EFSDSAW1"/>
    <s v="07-MAY-13"/>
    <n v="2140"/>
    <n v="3104"/>
    <n v="5244"/>
    <n v="5519"/>
    <n v="5244"/>
    <m/>
    <n v="0"/>
    <n v="1"/>
    <n v="0"/>
  </r>
  <r>
    <x v="74"/>
    <x v="6"/>
    <x v="1"/>
    <s v="0983513857484"/>
    <s v="12-APR-13"/>
    <n v="4700"/>
    <n v="3129"/>
    <n v="7829"/>
    <n v="7412.5"/>
    <n v="7829"/>
    <m/>
    <n v="0"/>
    <n v="1"/>
    <n v="0"/>
  </r>
  <r>
    <x v="74"/>
    <x v="7"/>
    <x v="1"/>
    <s v="0983513857485"/>
    <s v="15-APR-13"/>
    <n v="3940"/>
    <n v="3171"/>
    <n v="7111"/>
    <n v="7234"/>
    <n v="7111"/>
    <m/>
    <n v="0"/>
    <n v="1"/>
    <n v="0"/>
  </r>
  <r>
    <x v="75"/>
    <x v="22"/>
    <x v="5"/>
    <s v="5894338816967"/>
    <s v="03-11-13"/>
    <n v="4700"/>
    <n v="3283"/>
    <n v="7983"/>
    <n v="10079"/>
    <n v="7983"/>
    <n v="0"/>
    <n v="1"/>
    <n v="0"/>
    <n v="0"/>
  </r>
  <r>
    <x v="75"/>
    <x v="78"/>
    <x v="7"/>
    <s v="1764145330321"/>
    <s v="17-AUG-13"/>
    <n v="0"/>
    <n v="0"/>
    <n v="0"/>
    <n v="0"/>
    <n v="0"/>
    <m/>
    <n v="0"/>
    <n v="1"/>
    <n v="0"/>
  </r>
  <r>
    <x v="75"/>
    <x v="79"/>
    <x v="7"/>
    <s v="1764145330320"/>
    <s v="10-AUG-13"/>
    <n v="79250"/>
    <n v="8250"/>
    <n v="87500"/>
    <n v="87500"/>
    <n v="87500"/>
    <m/>
    <n v="0"/>
    <n v="1"/>
    <n v="0"/>
  </r>
  <r>
    <x v="75"/>
    <x v="80"/>
    <x v="16"/>
    <s v="6074342399706"/>
    <s v="23-01-14"/>
    <n v="5675"/>
    <n v="23225"/>
    <n v="28900"/>
    <n v="28900"/>
    <n v="28900"/>
    <n v="0"/>
    <n v="0"/>
    <n v="1"/>
    <n v="0"/>
  </r>
  <r>
    <x v="75"/>
    <x v="21"/>
    <x v="2"/>
    <s v="6EIQLJBS1"/>
    <s v="04-APR-13"/>
    <n v="5499"/>
    <n v="5541"/>
    <n v="11040"/>
    <n v="10605"/>
    <n v="11040"/>
    <m/>
    <n v="0"/>
    <n v="1"/>
    <n v="0"/>
  </r>
  <r>
    <x v="75"/>
    <x v="24"/>
    <x v="2"/>
    <s v="6EHQPVCW1"/>
    <s v="10-APR-13"/>
    <n v="4400"/>
    <n v="5320"/>
    <n v="9720"/>
    <n v="10332"/>
    <n v="9720"/>
    <m/>
    <n v="0"/>
    <n v="1"/>
    <n v="0"/>
  </r>
  <r>
    <x v="75"/>
    <x v="26"/>
    <x v="1"/>
    <s v="0984145233347"/>
    <s v="13-AUG-13"/>
    <n v="1470"/>
    <n v="3955"/>
    <n v="5425"/>
    <n v="7911"/>
    <n v="5425"/>
    <m/>
    <n v="1"/>
    <n v="0"/>
    <n v="0"/>
  </r>
  <r>
    <x v="75"/>
    <x v="81"/>
    <x v="15"/>
    <s v="2204338816966"/>
    <s v="02-11-13"/>
    <n v="32625"/>
    <n v="35392"/>
    <n v="68017"/>
    <n v="68017"/>
    <n v="68017"/>
    <n v="0"/>
    <n v="0"/>
    <n v="1"/>
    <n v="0"/>
  </r>
  <r>
    <x v="76"/>
    <x v="8"/>
    <x v="2"/>
    <s v="6EJ679QM"/>
    <s v="21-JAN-14"/>
    <n v="11582"/>
    <n v="2189"/>
    <n v="13771"/>
    <n v="14406"/>
    <n v="41313"/>
    <n v="0"/>
    <n v="0"/>
    <n v="0"/>
    <n v="1"/>
  </r>
  <r>
    <x v="77"/>
    <x v="69"/>
    <x v="5"/>
    <s v="5894147816734"/>
    <s v="21-OCT-13"/>
    <n v="6400"/>
    <n v="3539"/>
    <n v="9939"/>
    <n v="9939"/>
    <n v="35294"/>
    <n v="0"/>
    <n v="0"/>
    <n v="0"/>
    <n v="1"/>
  </r>
  <r>
    <x v="77"/>
    <x v="82"/>
    <x v="12"/>
    <s v="104Q6ZYOB2"/>
    <s v="17-APR-13"/>
    <n v="9800"/>
    <n v="10022"/>
    <n v="19822"/>
    <n v="19822"/>
    <n v="19822"/>
    <m/>
    <n v="0"/>
    <n v="1"/>
    <n v="0"/>
  </r>
  <r>
    <x v="77"/>
    <x v="70"/>
    <x v="12"/>
    <s v="104HJE7LJ4"/>
    <s v="26-OCT-13"/>
    <n v="3050"/>
    <n v="4658"/>
    <n v="7708"/>
    <n v="7708"/>
    <n v="7708"/>
    <n v="0"/>
    <n v="0"/>
    <n v="1"/>
    <n v="0"/>
  </r>
  <r>
    <x v="78"/>
    <x v="41"/>
    <x v="4"/>
    <s v="775J8Q34Q2"/>
    <s v="15-JUN-13"/>
    <n v="2097"/>
    <n v="2810"/>
    <n v="4907"/>
    <n v="5042"/>
    <n v="4907"/>
    <m/>
    <n v="0"/>
    <n v="1"/>
    <n v="0"/>
  </r>
  <r>
    <x v="78"/>
    <x v="42"/>
    <x v="2"/>
    <s v="6EIU5FCX1"/>
    <s v="15-JUN-13"/>
    <n v="2140"/>
    <n v="2660"/>
    <n v="4800"/>
    <n v="4873"/>
    <n v="4800"/>
    <m/>
    <n v="0"/>
    <n v="1"/>
    <n v="0"/>
  </r>
  <r>
    <x v="79"/>
    <x v="61"/>
    <x v="8"/>
    <s v="1254147887837"/>
    <s v="08-OCT-13"/>
    <n v="43380"/>
    <n v="50620"/>
    <n v="94000"/>
    <n v="83000"/>
    <n v="94000"/>
    <n v="0"/>
    <n v="0"/>
    <n v="0"/>
    <n v="1"/>
  </r>
  <r>
    <x v="79"/>
    <x v="83"/>
    <x v="8"/>
    <s v="1254148159269"/>
    <s v="14-OCT-13"/>
    <n v="4000"/>
    <n v="5000"/>
    <n v="9000"/>
    <n v="9000"/>
    <n v="9000"/>
    <n v="0"/>
    <n v="0"/>
    <n v="1"/>
    <n v="0"/>
  </r>
  <r>
    <x v="80"/>
    <x v="15"/>
    <x v="2"/>
    <s v="6EQ4T7HC"/>
    <s v="22-JAN-14"/>
    <n v="16848"/>
    <n v="2383"/>
    <n v="19231"/>
    <n v="19030"/>
    <n v="19231"/>
    <n v="0"/>
    <n v="0"/>
    <n v="1"/>
    <n v="0"/>
  </r>
  <r>
    <x v="81"/>
    <x v="6"/>
    <x v="5"/>
    <s v="5893975225938"/>
    <s v="22-JUN-13"/>
    <n v="4550"/>
    <n v="3122"/>
    <n v="7672"/>
    <n v="7412.5"/>
    <n v="7672"/>
    <m/>
    <n v="0"/>
    <n v="1"/>
    <n v="0"/>
  </r>
  <r>
    <x v="81"/>
    <x v="7"/>
    <x v="4"/>
    <s v="775XDBQVX1"/>
    <s v="22-JUN-13"/>
    <n v="3646"/>
    <n v="3471"/>
    <n v="7117"/>
    <n v="7234"/>
    <n v="7117"/>
    <m/>
    <n v="0"/>
    <n v="1"/>
    <n v="0"/>
  </r>
  <r>
    <x v="82"/>
    <x v="7"/>
    <x v="5"/>
    <s v="5894147397539"/>
    <s v="25-SEP-13"/>
    <n v="5500"/>
    <n v="1945"/>
    <n v="7445"/>
    <n v="7234"/>
    <n v="7445"/>
    <n v="0"/>
    <n v="0"/>
    <n v="1"/>
    <n v="0"/>
  </r>
  <r>
    <x v="82"/>
    <x v="6"/>
    <x v="5"/>
    <s v="5893972579177"/>
    <s v="02-MAY-13"/>
    <n v="4500"/>
    <n v="3171"/>
    <n v="7671"/>
    <n v="7412.5"/>
    <n v="7671"/>
    <m/>
    <n v="0"/>
    <n v="1"/>
    <n v="0"/>
  </r>
  <r>
    <x v="82"/>
    <x v="6"/>
    <x v="1"/>
    <s v="0984148187145"/>
    <s v="19-10-13"/>
    <n v="4620"/>
    <n v="3125"/>
    <n v="7745"/>
    <n v="7412.5"/>
    <n v="7745"/>
    <n v="0"/>
    <n v="0"/>
    <n v="1"/>
    <n v="0"/>
  </r>
  <r>
    <x v="82"/>
    <x v="6"/>
    <x v="5"/>
    <s v="5894339005554"/>
    <s v="29-10-13"/>
    <n v="6100"/>
    <n v="1896"/>
    <n v="7996"/>
    <n v="7412.5"/>
    <n v="7996"/>
    <n v="0"/>
    <n v="0"/>
    <n v="1"/>
    <n v="0"/>
  </r>
  <r>
    <x v="82"/>
    <x v="6"/>
    <x v="5"/>
    <s v="5894340476938"/>
    <s v="09-DEC-13"/>
    <n v="6100"/>
    <n v="1896"/>
    <n v="7996"/>
    <n v="7412.5"/>
    <n v="7996"/>
    <n v="0"/>
    <n v="0"/>
    <n v="1"/>
    <n v="0"/>
  </r>
  <r>
    <x v="82"/>
    <x v="7"/>
    <x v="2"/>
    <s v="6EKS64CS1"/>
    <s v="01-MAY-13"/>
    <n v="3720"/>
    <n v="3481"/>
    <n v="7201"/>
    <n v="7234"/>
    <n v="7201"/>
    <m/>
    <n v="0"/>
    <n v="1"/>
    <n v="0"/>
  </r>
  <r>
    <x v="82"/>
    <x v="7"/>
    <x v="5"/>
    <s v="5894145729080"/>
    <s v="21-AUG-13"/>
    <n v="5490"/>
    <n v="1944"/>
    <n v="7434"/>
    <n v="7234"/>
    <n v="7434"/>
    <n v="0"/>
    <n v="0"/>
    <n v="1"/>
    <n v="0"/>
  </r>
  <r>
    <x v="82"/>
    <x v="7"/>
    <x v="5"/>
    <s v="5894148187016"/>
    <s v="15-OCT-13"/>
    <n v="5800"/>
    <n v="1962"/>
    <n v="7762"/>
    <n v="7234"/>
    <n v="7762"/>
    <n v="0"/>
    <n v="0"/>
    <n v="1"/>
    <n v="0"/>
  </r>
  <r>
    <x v="82"/>
    <x v="7"/>
    <x v="5"/>
    <s v="5894339005553"/>
    <s v="28-10-13"/>
    <n v="7500"/>
    <n v="2056"/>
    <n v="9556"/>
    <n v="7234"/>
    <n v="17552"/>
    <n v="0"/>
    <n v="0"/>
    <n v="0"/>
    <n v="1"/>
  </r>
  <r>
    <x v="82"/>
    <x v="7"/>
    <x v="12"/>
    <s v="104ZDBL6Z1"/>
    <s v="09-DEC-13"/>
    <n v="4450"/>
    <n v="3559"/>
    <n v="8009"/>
    <n v="7234"/>
    <n v="8009"/>
    <n v="0"/>
    <n v="0"/>
    <n v="0"/>
    <n v="1"/>
  </r>
  <r>
    <x v="82"/>
    <x v="7"/>
    <x v="12"/>
    <s v="1046T47LV1"/>
    <s v="16-DEC-13"/>
    <n v="4850"/>
    <n v="3607"/>
    <n v="8457"/>
    <n v="7234"/>
    <n v="8457"/>
    <n v="0"/>
    <n v="0"/>
    <n v="0"/>
    <n v="1"/>
  </r>
  <r>
    <x v="82"/>
    <x v="84"/>
    <x v="16"/>
    <s v="6074342399707"/>
    <s v="23-01-14"/>
    <n v="1440"/>
    <n v="12060"/>
    <n v="13500"/>
    <n v="13500"/>
    <n v="13500"/>
    <n v="0"/>
    <n v="0"/>
    <n v="1"/>
    <n v="0"/>
  </r>
  <r>
    <x v="82"/>
    <x v="6"/>
    <x v="5"/>
    <s v="5894340072593"/>
    <s v="22-NOV-13"/>
    <n v="12740"/>
    <n v="2264"/>
    <n v="15004"/>
    <n v="7412.5"/>
    <n v="15004"/>
    <n v="0"/>
    <n v="0"/>
    <n v="0"/>
    <n v="1"/>
  </r>
  <r>
    <x v="83"/>
    <x v="6"/>
    <x v="2"/>
    <s v="6EOZJ9RC1"/>
    <s v="24-JUL-13"/>
    <n v="482"/>
    <n v="2396"/>
    <n v="2878"/>
    <n v="7412.5"/>
    <n v="2878"/>
    <m/>
    <n v="1"/>
    <n v="0"/>
    <n v="0"/>
  </r>
  <r>
    <x v="83"/>
    <x v="7"/>
    <x v="4"/>
    <s v="775Y8VCXW1"/>
    <s v="30-JUL-13"/>
    <n v="1354"/>
    <n v="2645"/>
    <n v="3999"/>
    <n v="7234"/>
    <n v="3999"/>
    <n v="568"/>
    <n v="1"/>
    <n v="0"/>
    <n v="0"/>
  </r>
  <r>
    <x v="83"/>
    <x v="7"/>
    <x v="4"/>
    <s v="775S9VI3A1"/>
    <s v="31-JUL-13"/>
    <n v="1024"/>
    <n v="2606"/>
    <n v="3630"/>
    <n v="7234"/>
    <n v="3630"/>
    <m/>
    <n v="1"/>
    <n v="0"/>
    <n v="0"/>
  </r>
  <r>
    <x v="83"/>
    <x v="85"/>
    <x v="17"/>
    <s v="2174340624760"/>
    <s v="10-DEC-13"/>
    <n v="60845"/>
    <n v="14155"/>
    <n v="75000"/>
    <n v="75000"/>
    <n v="75000"/>
    <n v="0"/>
    <n v="0"/>
    <n v="1"/>
    <n v="0"/>
  </r>
  <r>
    <x v="84"/>
    <x v="86"/>
    <x v="12"/>
    <s v="1040MFDR71"/>
    <s v="13-NOV-13"/>
    <n v="4900"/>
    <n v="5197"/>
    <n v="10097"/>
    <n v="10097"/>
    <n v="10097"/>
    <n v="0"/>
    <n v="0"/>
    <n v="1"/>
    <n v="0"/>
  </r>
  <r>
    <x v="85"/>
    <x v="8"/>
    <x v="4"/>
    <s v="775W645TP1"/>
    <s v="06-JUN-13"/>
    <n v="7292"/>
    <n v="6798"/>
    <n v="14090"/>
    <n v="14406"/>
    <n v="14090"/>
    <m/>
    <n v="0"/>
    <n v="1"/>
    <n v="0"/>
  </r>
  <r>
    <x v="86"/>
    <x v="6"/>
    <x v="5"/>
    <s v="5894147356667"/>
    <s v="03-OCT-13"/>
    <n v="5050"/>
    <n v="1838"/>
    <n v="6888"/>
    <n v="7412.5"/>
    <n v="6888"/>
    <n v="0"/>
    <n v="0"/>
    <n v="1"/>
    <n v="0"/>
  </r>
  <r>
    <x v="86"/>
    <x v="44"/>
    <x v="12"/>
    <s v="104XCIXHO1"/>
    <s v="03-OCT-13"/>
    <n v="2250"/>
    <n v="2966"/>
    <n v="5216"/>
    <n v="6944"/>
    <n v="5216"/>
    <n v="0"/>
    <n v="1"/>
    <n v="0"/>
    <n v="0"/>
  </r>
  <r>
    <x v="86"/>
    <x v="87"/>
    <x v="5"/>
    <s v="5894342458436"/>
    <s v="03-02-14"/>
    <n v="4300"/>
    <n v="1564"/>
    <n v="5864"/>
    <n v="5864"/>
    <n v="5864"/>
    <n v="0"/>
    <n v="0"/>
    <n v="1"/>
    <n v="0"/>
  </r>
  <r>
    <x v="87"/>
    <x v="88"/>
    <x v="18"/>
    <s v="7244342848172"/>
    <s v="04-02-14"/>
    <n v="26900"/>
    <n v="36900"/>
    <n v="63800"/>
    <n v="63800"/>
    <n v="63800"/>
    <n v="51800"/>
    <n v="0"/>
    <n v="1"/>
    <n v="0"/>
  </r>
  <r>
    <x v="87"/>
    <x v="89"/>
    <x v="7"/>
    <s v="1764342983626"/>
    <s v="04-02-14"/>
    <n v="52160"/>
    <n v="10840"/>
    <n v="63000"/>
    <n v="63000"/>
    <n v="63000"/>
    <n v="55820"/>
    <n v="0"/>
    <n v="1"/>
    <n v="0"/>
  </r>
  <r>
    <x v="87"/>
    <x v="90"/>
    <x v="1"/>
    <s v="0984342556968"/>
    <s v="30-01-14"/>
    <n v="33000"/>
    <n v="35000"/>
    <n v="68000"/>
    <n v="68000"/>
    <n v="68000"/>
    <n v="59500"/>
    <n v="0"/>
    <n v="1"/>
    <n v="0"/>
  </r>
  <r>
    <x v="88"/>
    <x v="19"/>
    <x v="2"/>
    <s v="6EC3G5TC"/>
    <s v="14-NOV-13"/>
    <n v="4360"/>
    <n v="1078"/>
    <n v="5438"/>
    <n v="5438"/>
    <n v="5438"/>
    <n v="0"/>
    <n v="0"/>
    <n v="1"/>
    <n v="0"/>
  </r>
  <r>
    <x v="89"/>
    <x v="8"/>
    <x v="2"/>
    <s v="6E1312098843"/>
    <s v="11-DEC-13"/>
    <n v="11880"/>
    <n v="2492"/>
    <n v="14372"/>
    <n v="14406"/>
    <n v="14372"/>
    <n v="0"/>
    <n v="0"/>
    <n v="1"/>
    <n v="0"/>
  </r>
  <r>
    <x v="89"/>
    <x v="8"/>
    <x v="2"/>
    <s v="6EJ679QM"/>
    <s v="21-JAN-14"/>
    <n v="11582"/>
    <n v="2189"/>
    <n v="13771"/>
    <n v="14406"/>
    <n v="13771"/>
    <n v="0"/>
    <n v="0"/>
    <n v="1"/>
    <n v="0"/>
  </r>
  <r>
    <x v="90"/>
    <x v="16"/>
    <x v="2"/>
    <s v="6EH227PH"/>
    <s v="17-SEP-13"/>
    <n v="18306"/>
    <n v="3030"/>
    <n v="21336"/>
    <n v="20521"/>
    <n v="21336"/>
    <n v="10399"/>
    <n v="0"/>
    <n v="1"/>
    <n v="0"/>
  </r>
  <r>
    <x v="90"/>
    <x v="24"/>
    <x v="2"/>
    <s v="6EF26BPB"/>
    <s v="18-SEP-13"/>
    <n v="9178"/>
    <n v="1446"/>
    <n v="10624"/>
    <n v="10332"/>
    <n v="21248"/>
    <n v="0"/>
    <n v="0"/>
    <n v="0"/>
    <n v="1"/>
  </r>
  <r>
    <x v="91"/>
    <x v="91"/>
    <x v="7"/>
    <s v="1764339031036/7"/>
    <s v="14-11-13"/>
    <n v="74335"/>
    <n v="11865"/>
    <n v="86200"/>
    <n v="86200"/>
    <n v="86200"/>
    <n v="0"/>
    <n v="0"/>
    <n v="1"/>
    <n v="0"/>
  </r>
  <r>
    <x v="91"/>
    <x v="6"/>
    <x v="5"/>
    <s v="5893974228268"/>
    <s v="24-MAY-13"/>
    <n v="4500"/>
    <n v="3196"/>
    <n v="7696"/>
    <n v="7412.5"/>
    <n v="7696"/>
    <m/>
    <n v="0"/>
    <n v="1"/>
    <n v="0"/>
  </r>
  <r>
    <x v="91"/>
    <x v="7"/>
    <x v="5"/>
    <s v="5893974228270"/>
    <s v="24-MAY-13"/>
    <n v="5110"/>
    <n v="3313"/>
    <n v="8423"/>
    <n v="7234"/>
    <n v="8423"/>
    <m/>
    <n v="0"/>
    <n v="0"/>
    <n v="1"/>
  </r>
  <r>
    <x v="91"/>
    <x v="6"/>
    <x v="5"/>
    <s v="5893974400176"/>
    <s v="03-JUN-13"/>
    <n v="4550"/>
    <n v="3122"/>
    <n v="7672"/>
    <n v="7412.5"/>
    <n v="7672"/>
    <m/>
    <n v="0"/>
    <n v="1"/>
    <n v="0"/>
  </r>
  <r>
    <x v="91"/>
    <x v="6"/>
    <x v="1"/>
    <s v="0984146953168"/>
    <s v="19-SEP-13"/>
    <n v="4250"/>
    <n v="3105"/>
    <n v="7355"/>
    <n v="7412.5"/>
    <n v="7355"/>
    <n v="0"/>
    <n v="0"/>
    <n v="1"/>
    <n v="0"/>
  </r>
  <r>
    <x v="91"/>
    <x v="6"/>
    <x v="5"/>
    <s v="5894147356505"/>
    <s v="23-SEP-13"/>
    <n v="5540"/>
    <n v="1865"/>
    <n v="7405"/>
    <n v="7412.5"/>
    <n v="14852"/>
    <n v="6347"/>
    <n v="0"/>
    <n v="0"/>
    <n v="1"/>
  </r>
  <r>
    <x v="91"/>
    <x v="7"/>
    <x v="2"/>
    <s v="6EBTP2DM2"/>
    <s v="04-JUN-13"/>
    <n v="3720"/>
    <n v="3481"/>
    <n v="7201"/>
    <n v="7234"/>
    <n v="7201"/>
    <m/>
    <n v="0"/>
    <n v="1"/>
    <n v="0"/>
  </r>
  <r>
    <x v="91"/>
    <x v="7"/>
    <x v="1"/>
    <s v="0984146953169"/>
    <s v="20-SEP-13"/>
    <n v="4700"/>
    <n v="3213"/>
    <n v="7913"/>
    <n v="7234"/>
    <n v="7913"/>
    <n v="6763"/>
    <n v="0"/>
    <n v="1"/>
    <n v="0"/>
  </r>
  <r>
    <x v="91"/>
    <x v="7"/>
    <x v="2"/>
    <s v="6EU28KRG1"/>
    <s v="20-SEP-13"/>
    <n v="3940"/>
    <n v="3507"/>
    <n v="7447"/>
    <n v="7234"/>
    <n v="7447"/>
    <n v="0"/>
    <n v="0"/>
    <n v="1"/>
    <n v="0"/>
  </r>
  <r>
    <x v="91"/>
    <x v="7"/>
    <x v="2"/>
    <s v="6ET28KPX2"/>
    <s v="23-SEP-13"/>
    <n v="3940"/>
    <n v="3507"/>
    <n v="7447"/>
    <n v="7234"/>
    <n v="7447"/>
    <n v="0"/>
    <n v="0"/>
    <n v="1"/>
    <n v="0"/>
  </r>
  <r>
    <x v="92"/>
    <x v="35"/>
    <x v="2"/>
    <s v="6EODYT4E"/>
    <s v="03-APR-14"/>
    <n v="5926"/>
    <n v="2634"/>
    <n v="8560"/>
    <n v="11722"/>
    <n v="8560"/>
    <e v="#REF!"/>
    <n v="1"/>
    <n v="0"/>
    <n v="0"/>
  </r>
  <r>
    <x v="93"/>
    <x v="92"/>
    <x v="19"/>
    <s v="0574145349882"/>
    <s v="13-AUG-13"/>
    <n v="90245"/>
    <n v="52755"/>
    <n v="143000"/>
    <n v="143000"/>
    <n v="143000"/>
    <m/>
    <n v="0"/>
    <n v="1"/>
    <n v="0"/>
  </r>
  <r>
    <x v="93"/>
    <x v="93"/>
    <x v="19"/>
    <s v="0574145349883"/>
    <s v="12-OCT-13"/>
    <n v="0"/>
    <n v="0"/>
    <n v="0"/>
    <n v="0"/>
    <n v="0"/>
    <m/>
    <n v="0"/>
    <n v="1"/>
    <n v="0"/>
  </r>
  <r>
    <x v="93"/>
    <x v="6"/>
    <x v="4"/>
    <s v="775U5ELPC1"/>
    <s v="12-AUG-13"/>
    <n v="472"/>
    <n v="2394"/>
    <n v="2866"/>
    <n v="7412.5"/>
    <n v="2866"/>
    <m/>
    <n v="1"/>
    <n v="0"/>
    <n v="0"/>
  </r>
  <r>
    <x v="93"/>
    <x v="94"/>
    <x v="19"/>
    <s v="0571817541041"/>
    <s v="18-OCT-13"/>
    <n v="0"/>
    <n v="8800"/>
    <n v="8800"/>
    <n v="8800"/>
    <n v="8800"/>
    <n v="0"/>
    <n v="0"/>
    <n v="1"/>
    <n v="0"/>
  </r>
  <r>
    <x v="94"/>
    <x v="6"/>
    <x v="5"/>
    <s v="5894147646154"/>
    <s v="30-SEP-13"/>
    <n v="6750"/>
    <n v="1932"/>
    <n v="8682"/>
    <n v="7412.5"/>
    <n v="8682"/>
    <n v="0"/>
    <n v="0"/>
    <n v="0"/>
    <n v="1"/>
  </r>
  <r>
    <x v="94"/>
    <x v="7"/>
    <x v="5"/>
    <s v="5894147646156"/>
    <s v="30-SEP-13"/>
    <n v="5540"/>
    <n v="1947"/>
    <n v="7487"/>
    <n v="7234"/>
    <n v="7487"/>
    <n v="0"/>
    <n v="0"/>
    <n v="1"/>
    <n v="0"/>
  </r>
  <r>
    <x v="95"/>
    <x v="95"/>
    <x v="1"/>
    <s v="0984338816758"/>
    <s v="21-10-13"/>
    <n v="30950"/>
    <n v="43880"/>
    <n v="74830"/>
    <n v="74830"/>
    <n v="74830"/>
    <n v="0"/>
    <n v="0"/>
    <n v="1"/>
    <n v="0"/>
  </r>
  <r>
    <x v="96"/>
    <x v="5"/>
    <x v="2"/>
    <s v="6EMSHSBZ"/>
    <s v="20-MAY-13"/>
    <n v="8256"/>
    <n v="1169"/>
    <n v="9425"/>
    <n v="9425"/>
    <n v="9425"/>
    <m/>
    <n v="0"/>
    <n v="1"/>
    <n v="0"/>
  </r>
  <r>
    <x v="97"/>
    <x v="15"/>
    <x v="2"/>
    <s v="6EP2HKRM"/>
    <s v="04-OCT-13"/>
    <n v="16848"/>
    <n v="2030"/>
    <n v="18878"/>
    <n v="19030"/>
    <n v="18878"/>
    <n v="0"/>
    <n v="0"/>
    <n v="1"/>
    <n v="0"/>
  </r>
  <r>
    <x v="97"/>
    <x v="8"/>
    <x v="2"/>
    <s v="6EO9NPSD"/>
    <s v="13-02-14"/>
    <n v="8534"/>
    <n v="1778"/>
    <n v="10312"/>
    <n v="14406"/>
    <n v="10312"/>
    <n v="5000"/>
    <n v="1"/>
    <n v="0"/>
    <n v="0"/>
  </r>
  <r>
    <x v="97"/>
    <x v="21"/>
    <x v="4"/>
    <s v="775QEJJHR"/>
    <s v="21-10-13"/>
    <n v="8731"/>
    <n v="1421"/>
    <n v="10152"/>
    <n v="10605"/>
    <n v="10152"/>
    <n v="0"/>
    <n v="0"/>
    <n v="1"/>
    <n v="0"/>
  </r>
  <r>
    <x v="98"/>
    <x v="6"/>
    <x v="12"/>
    <s v="1041N5E9Y1"/>
    <s v="27-10-13"/>
    <n v="4400"/>
    <n v="3468"/>
    <n v="7868"/>
    <n v="7412.5"/>
    <n v="7868"/>
    <n v="0"/>
    <n v="0"/>
    <n v="1"/>
    <n v="0"/>
  </r>
  <r>
    <x v="98"/>
    <x v="6"/>
    <x v="12"/>
    <s v="104OJPROO1"/>
    <s v="15-DEC-13"/>
    <n v="4400"/>
    <n v="3468"/>
    <n v="7868"/>
    <n v="7412.5"/>
    <n v="7868"/>
    <n v="0"/>
    <n v="0"/>
    <n v="1"/>
    <n v="0"/>
  </r>
  <r>
    <x v="98"/>
    <x v="41"/>
    <x v="5"/>
    <s v="5894147356561"/>
    <s v="06-OCT-13"/>
    <n v="3600"/>
    <n v="1442"/>
    <n v="5042"/>
    <n v="5042"/>
    <n v="5042"/>
    <n v="0"/>
    <n v="0"/>
    <n v="1"/>
    <n v="0"/>
  </r>
  <r>
    <x v="98"/>
    <x v="7"/>
    <x v="1"/>
    <s v="0984340930031"/>
    <s v="15-DEC-13"/>
    <n v="4820"/>
    <n v="3219"/>
    <n v="8039"/>
    <n v="7234"/>
    <n v="15907"/>
    <n v="0"/>
    <n v="0"/>
    <n v="0"/>
    <n v="1"/>
  </r>
  <r>
    <x v="98"/>
    <x v="42"/>
    <x v="4"/>
    <s v="775X9ZP8T4"/>
    <s v="06-OCT-13"/>
    <n v="2205"/>
    <n v="2668"/>
    <n v="4873"/>
    <n v="4873"/>
    <n v="4873"/>
    <n v="0"/>
    <n v="0"/>
    <n v="1"/>
    <n v="0"/>
  </r>
  <r>
    <x v="99"/>
    <x v="82"/>
    <x v="12"/>
    <s v="104Q6ZYOB3"/>
    <s v="17-APR-13"/>
    <n v="9800"/>
    <n v="10022"/>
    <n v="19822"/>
    <n v="19822"/>
    <n v="19822"/>
    <m/>
    <n v="0"/>
    <n v="1"/>
    <n v="0"/>
  </r>
  <r>
    <x v="100"/>
    <x v="6"/>
    <x v="2"/>
    <s v="6EVZWBWR"/>
    <s v="26-FEB-14"/>
    <n v="4223"/>
    <n v="846"/>
    <n v="5069"/>
    <n v="7412.5"/>
    <n v="5069"/>
    <e v="#REF!"/>
    <n v="1"/>
    <n v="0"/>
    <n v="0"/>
  </r>
  <r>
    <x v="100"/>
    <x v="7"/>
    <x v="2"/>
    <s v="6EQ8RWRG"/>
    <s v="28-FEB-14"/>
    <n v="4273"/>
    <n v="933"/>
    <n v="5206"/>
    <n v="7234"/>
    <n v="5206"/>
    <e v="#REF!"/>
    <n v="1"/>
    <n v="0"/>
    <n v="0"/>
  </r>
  <r>
    <x v="101"/>
    <x v="96"/>
    <x v="3"/>
    <s v="Malaysia"/>
    <s v=""/>
    <n v="3375"/>
    <n v="625"/>
    <n v="4000"/>
    <n v="4000"/>
    <n v="4000"/>
    <n v="0"/>
    <n v="0"/>
    <n v="1"/>
    <n v="0"/>
  </r>
  <r>
    <x v="102"/>
    <x v="0"/>
    <x v="0"/>
    <s v="672953634"/>
    <s v="24-APR-13"/>
    <n v="637"/>
    <n v="112"/>
    <n v="749"/>
    <n v="749"/>
    <n v="749"/>
    <m/>
    <n v="0"/>
    <n v="1"/>
    <n v="0"/>
  </r>
  <r>
    <x v="102"/>
    <x v="1"/>
    <x v="0"/>
    <s v="672959369"/>
    <s v="25-APR-13"/>
    <n v="712"/>
    <n v="112"/>
    <n v="824"/>
    <n v="824"/>
    <n v="824"/>
    <m/>
    <n v="0"/>
    <n v="1"/>
    <n v="0"/>
  </r>
  <r>
    <x v="103"/>
    <x v="6"/>
    <x v="1"/>
    <s v="0984343391246"/>
    <s v="21-FEB-14"/>
    <n v="4620"/>
    <n v="3125"/>
    <n v="7745"/>
    <n v="7412.5"/>
    <n v="7745"/>
    <e v="#REF!"/>
    <n v="0"/>
    <n v="1"/>
    <n v="0"/>
  </r>
  <r>
    <x v="103"/>
    <x v="34"/>
    <x v="13"/>
    <s v="388FMNOZR9B24"/>
    <s v="06-02-14"/>
    <n v="15780"/>
    <n v="5079"/>
    <n v="20859"/>
    <n v="37293"/>
    <n v="20859"/>
    <n v="0"/>
    <n v="1"/>
    <n v="0"/>
    <n v="0"/>
  </r>
  <r>
    <x v="103"/>
    <x v="7"/>
    <x v="2"/>
    <s v="6EFBN15H"/>
    <s v="21-FEB-14"/>
    <n v="5649"/>
    <n v="2796"/>
    <n v="8445"/>
    <n v="7234"/>
    <n v="8445"/>
    <e v="#REF!"/>
    <n v="0"/>
    <n v="0"/>
    <n v="1"/>
  </r>
  <r>
    <x v="104"/>
    <x v="6"/>
    <x v="2"/>
    <s v="6EX1CDPD"/>
    <s v="23-AUG-13"/>
    <n v="3953"/>
    <n v="832"/>
    <n v="4785"/>
    <n v="7412.5"/>
    <n v="4785"/>
    <n v="0"/>
    <n v="1"/>
    <n v="0"/>
    <n v="0"/>
  </r>
  <r>
    <x v="104"/>
    <x v="6"/>
    <x v="2"/>
    <s v="6EK2BFTG"/>
    <s v="25-SEP-13"/>
    <n v="6090"/>
    <n v="950"/>
    <n v="7040"/>
    <n v="7412.5"/>
    <n v="7040"/>
    <n v="0"/>
    <n v="0"/>
    <n v="1"/>
    <n v="0"/>
  </r>
  <r>
    <x v="104"/>
    <x v="6"/>
    <x v="12"/>
    <s v="10464KU88"/>
    <s v="08-AUG-13"/>
    <n v="6070"/>
    <n v="3665"/>
    <n v="9735"/>
    <n v="7412.5"/>
    <n v="9735"/>
    <m/>
    <n v="0"/>
    <n v="0"/>
    <n v="1"/>
  </r>
  <r>
    <x v="104"/>
    <x v="6"/>
    <x v="2"/>
    <s v="6ER2PCTX"/>
    <s v="19-OCT-13"/>
    <n v="6256"/>
    <n v="960"/>
    <n v="7216"/>
    <n v="7412.5"/>
    <n v="7216"/>
    <n v="7116"/>
    <n v="0"/>
    <n v="1"/>
    <n v="0"/>
  </r>
  <r>
    <x v="104"/>
    <x v="6"/>
    <x v="2"/>
    <s v="6EBCWSFE"/>
    <s v="29-NOV-13"/>
    <n v="6256"/>
    <n v="960"/>
    <n v="7216"/>
    <n v="7412.5"/>
    <n v="7216"/>
    <n v="0"/>
    <n v="0"/>
    <n v="1"/>
    <n v="0"/>
  </r>
  <r>
    <x v="104"/>
    <x v="6"/>
    <x v="2"/>
    <s v="6EQDVB9R"/>
    <s v="17-DEC-13"/>
    <n v="5766"/>
    <n v="932"/>
    <n v="6698"/>
    <n v="7412.5"/>
    <n v="6698"/>
    <n v="0"/>
    <n v="0"/>
    <n v="1"/>
    <n v="0"/>
  </r>
  <r>
    <x v="104"/>
    <x v="7"/>
    <x v="5"/>
    <s v="5894144897717"/>
    <s v="08-AUG-13"/>
    <n v="4510"/>
    <n v="1890"/>
    <n v="6400"/>
    <n v="7234"/>
    <n v="6400"/>
    <m/>
    <n v="1"/>
    <n v="0"/>
    <n v="0"/>
  </r>
  <r>
    <x v="105"/>
    <x v="21"/>
    <x v="2"/>
    <s v="6EUS2RCV"/>
    <s v="03-MAY-13"/>
    <n v="8256"/>
    <n v="1537"/>
    <n v="9793"/>
    <n v="10605"/>
    <n v="9793"/>
    <m/>
    <n v="0"/>
    <n v="1"/>
    <n v="0"/>
  </r>
  <r>
    <x v="105"/>
    <x v="21"/>
    <x v="2"/>
    <s v="6EHSEKDM"/>
    <s v="04-MAY-13"/>
    <n v="8256"/>
    <n v="1537"/>
    <n v="9793"/>
    <n v="10605"/>
    <n v="9793"/>
    <m/>
    <n v="0"/>
    <n v="1"/>
    <n v="0"/>
  </r>
  <r>
    <x v="105"/>
    <x v="21"/>
    <x v="2"/>
    <s v="6EX3FHNB"/>
    <s v="14-NOV-13"/>
    <n v="9182"/>
    <n v="1531"/>
    <n v="10713"/>
    <n v="10605"/>
    <n v="10713"/>
    <n v="0"/>
    <n v="0"/>
    <n v="1"/>
    <n v="0"/>
  </r>
  <r>
    <x v="105"/>
    <x v="71"/>
    <x v="2"/>
    <s v="6EV1N4PH"/>
    <s v="01-SEP-13"/>
    <n v="13602"/>
    <n v="2769"/>
    <n v="16371"/>
    <n v="19495"/>
    <n v="16371"/>
    <n v="0"/>
    <n v="1"/>
    <n v="0"/>
    <n v="0"/>
  </r>
  <r>
    <x v="106"/>
    <x v="8"/>
    <x v="2"/>
    <s v="6EJ679QM"/>
    <s v="21-JAN-14"/>
    <n v="11582"/>
    <n v="2189"/>
    <n v="13771"/>
    <n v="14406"/>
    <n v="13771"/>
    <n v="0"/>
    <n v="0"/>
    <n v="1"/>
    <n v="0"/>
  </r>
  <r>
    <x v="106"/>
    <x v="21"/>
    <x v="2"/>
    <s v="6EA6NR2G"/>
    <s v="16-02-14"/>
    <n v="8771"/>
    <n v="1565"/>
    <n v="10336"/>
    <n v="10605"/>
    <n v="10336"/>
    <n v="0"/>
    <n v="0"/>
    <n v="1"/>
    <n v="0"/>
  </r>
  <r>
    <x v="106"/>
    <x v="16"/>
    <x v="4"/>
    <s v="775Q2T4VY"/>
    <s v="21-10-13"/>
    <n v="17412"/>
    <n v="2980"/>
    <n v="20392"/>
    <n v="20521"/>
    <n v="40784"/>
    <n v="30119"/>
    <n v="0"/>
    <n v="0"/>
    <n v="1"/>
  </r>
  <r>
    <x v="106"/>
    <x v="7"/>
    <x v="2"/>
    <s v="6EXZ82ND"/>
    <s v="10/07/2013"/>
    <n v="5914"/>
    <n v="1023"/>
    <n v="6937"/>
    <n v="7234"/>
    <n v="6937"/>
    <m/>
    <n v="0"/>
    <n v="1"/>
    <n v="0"/>
  </r>
  <r>
    <x v="106"/>
    <x v="7"/>
    <x v="2"/>
    <s v="6EU286NW"/>
    <s v="17-SEP-13"/>
    <n v="6306"/>
    <n v="1045"/>
    <n v="7351"/>
    <n v="7234"/>
    <n v="7351"/>
    <n v="7251"/>
    <n v="0"/>
    <n v="1"/>
    <n v="0"/>
  </r>
  <r>
    <x v="106"/>
    <x v="7"/>
    <x v="2"/>
    <s v="6ES24KTA"/>
    <s v="17-SEP-13"/>
    <n v="6306"/>
    <n v="1045"/>
    <n v="7351"/>
    <n v="7234"/>
    <n v="7351"/>
    <n v="0"/>
    <n v="0"/>
    <n v="1"/>
    <n v="0"/>
  </r>
  <r>
    <x v="106"/>
    <x v="37"/>
    <x v="3"/>
    <s v="Dubai"/>
    <s v=""/>
    <n v="4800"/>
    <n v="580"/>
    <n v="5380"/>
    <n v="5380"/>
    <n v="5380"/>
    <n v="0"/>
    <n v="0"/>
    <n v="1"/>
    <n v="0"/>
  </r>
  <r>
    <x v="106"/>
    <x v="23"/>
    <x v="3"/>
    <s v="China"/>
    <s v=""/>
    <n v="14565"/>
    <n v="435"/>
    <n v="15000"/>
    <n v="15000"/>
    <n v="15000"/>
    <n v="0"/>
    <n v="0"/>
    <n v="1"/>
    <n v="0"/>
  </r>
  <r>
    <x v="107"/>
    <x v="7"/>
    <x v="5"/>
    <s v="5894814804432"/>
    <s v="13-02-14"/>
    <n v="5500"/>
    <n v="1945"/>
    <n v="7445"/>
    <n v="7234"/>
    <n v="7445"/>
    <n v="0"/>
    <n v="0"/>
    <n v="1"/>
    <n v="0"/>
  </r>
  <r>
    <x v="107"/>
    <x v="8"/>
    <x v="5"/>
    <s v="5894342108828"/>
    <s v="15-JAN-14"/>
    <n v="10800"/>
    <n v="3669"/>
    <n v="14469"/>
    <n v="14406"/>
    <n v="14469"/>
    <m/>
    <n v="0"/>
    <n v="1"/>
    <n v="0"/>
  </r>
  <r>
    <x v="107"/>
    <x v="21"/>
    <x v="1"/>
    <s v="0984148187154"/>
    <s v="19-10-13"/>
    <n v="6440"/>
    <n v="5266"/>
    <n v="11706"/>
    <n v="10605"/>
    <n v="11706"/>
    <n v="0"/>
    <n v="0"/>
    <n v="0"/>
    <n v="1"/>
  </r>
  <r>
    <x v="107"/>
    <x v="33"/>
    <x v="10"/>
    <s v="2324343027042"/>
    <s v="05-02-14"/>
    <n v="25775"/>
    <n v="7725"/>
    <n v="33500"/>
    <n v="33500"/>
    <n v="33500"/>
    <n v="0"/>
    <n v="0"/>
    <n v="1"/>
    <n v="0"/>
  </r>
  <r>
    <x v="108"/>
    <x v="21"/>
    <x v="12"/>
    <s v="1040025682"/>
    <s v="06-DEC-13"/>
    <n v="6100"/>
    <n v="5833"/>
    <n v="11933"/>
    <n v="10605"/>
    <n v="11933"/>
    <n v="0"/>
    <n v="0"/>
    <n v="0"/>
    <n v="1"/>
  </r>
  <r>
    <x v="108"/>
    <x v="24"/>
    <x v="5"/>
    <s v="5894340476872"/>
    <s v="06-DEC-13"/>
    <n v="7950"/>
    <n v="3951"/>
    <n v="11901"/>
    <n v="10332"/>
    <n v="23834"/>
    <n v="0"/>
    <n v="0"/>
    <n v="0"/>
    <n v="1"/>
  </r>
  <r>
    <x v="109"/>
    <x v="35"/>
    <x v="5"/>
    <s v="5894342458275"/>
    <s v="06-02-14"/>
    <n v="7400"/>
    <n v="3480"/>
    <n v="10880"/>
    <n v="11722"/>
    <n v="10880"/>
    <n v="0"/>
    <n v="0"/>
    <n v="1"/>
    <n v="0"/>
  </r>
  <r>
    <x v="110"/>
    <x v="21"/>
    <x v="2"/>
    <s v="6EPC8K6H"/>
    <s v="02-DEC-13"/>
    <n v="6150"/>
    <n v="5786"/>
    <n v="11936"/>
    <n v="10605"/>
    <n v="11936"/>
    <n v="0"/>
    <n v="0"/>
    <n v="0"/>
    <n v="1"/>
  </r>
  <r>
    <x v="110"/>
    <x v="24"/>
    <x v="4"/>
    <s v="775G7TVHG"/>
    <s v="02-DEC-13"/>
    <n v="8731"/>
    <n v="1421"/>
    <n v="10152"/>
    <n v="10332"/>
    <n v="10152"/>
    <n v="0"/>
    <n v="0"/>
    <n v="1"/>
    <n v="0"/>
  </r>
  <r>
    <x v="111"/>
    <x v="0"/>
    <x v="0"/>
    <s v="670706911"/>
    <s v="29-APR-13"/>
    <n v="637"/>
    <n v="112"/>
    <n v="749"/>
    <n v="749"/>
    <n v="749"/>
    <m/>
    <n v="0"/>
    <n v="1"/>
    <n v="0"/>
  </r>
  <r>
    <x v="111"/>
    <x v="7"/>
    <x v="2"/>
    <s v="6EWTLIDV"/>
    <s v="04-JUN-13"/>
    <n v="5924"/>
    <n v="1024"/>
    <n v="6948"/>
    <n v="7234"/>
    <n v="6948"/>
    <m/>
    <n v="0"/>
    <n v="1"/>
    <n v="0"/>
  </r>
  <r>
    <x v="112"/>
    <x v="16"/>
    <x v="1"/>
    <s v="0984342458475"/>
    <s v="30-01-14"/>
    <n v="11312"/>
    <n v="10066"/>
    <n v="21378"/>
    <n v="20521"/>
    <n v="21378"/>
    <n v="0"/>
    <n v="0"/>
    <n v="1"/>
    <n v="0"/>
  </r>
  <r>
    <x v="112"/>
    <x v="16"/>
    <x v="2"/>
    <s v="6ECCEC4E"/>
    <s v="04-02-14"/>
    <n v="17248"/>
    <n v="3332"/>
    <n v="20580"/>
    <n v="20521"/>
    <n v="20580"/>
    <n v="0"/>
    <n v="0"/>
    <n v="1"/>
    <n v="0"/>
  </r>
  <r>
    <x v="113"/>
    <x v="6"/>
    <x v="1"/>
    <s v="0983976120041"/>
    <s v="04/07/2013"/>
    <n v="950"/>
    <n v="2922"/>
    <n v="3872"/>
    <n v="7412.5"/>
    <n v="3872"/>
    <m/>
    <n v="1"/>
    <n v="0"/>
    <n v="0"/>
  </r>
  <r>
    <x v="113"/>
    <x v="7"/>
    <x v="2"/>
    <s v="6EY26QLQ2"/>
    <s v="04/07/2013"/>
    <n v="748"/>
    <n v="2572"/>
    <n v="3320"/>
    <n v="7234"/>
    <n v="3320"/>
    <m/>
    <n v="1"/>
    <n v="0"/>
    <n v="0"/>
  </r>
  <r>
    <x v="113"/>
    <x v="97"/>
    <x v="5"/>
    <s v="5894148057052"/>
    <s v="11-OCT-13"/>
    <n v="5400"/>
    <n v="18435"/>
    <n v="23835"/>
    <n v="23835"/>
    <n v="23835"/>
    <n v="0"/>
    <n v="0"/>
    <n v="1"/>
    <n v="0"/>
  </r>
  <r>
    <x v="114"/>
    <x v="8"/>
    <x v="2"/>
    <s v="6EATLSBN1"/>
    <s v="01-JUN-13"/>
    <n v="7719"/>
    <n v="6849"/>
    <n v="14568"/>
    <n v="14406"/>
    <n v="14568"/>
    <m/>
    <n v="0"/>
    <n v="1"/>
    <n v="0"/>
  </r>
  <r>
    <x v="115"/>
    <x v="6"/>
    <x v="5"/>
    <s v="5893973429849"/>
    <s v="08-MAY-13"/>
    <n v="4500"/>
    <n v="3171"/>
    <n v="7671"/>
    <n v="7412.5"/>
    <n v="7671"/>
    <m/>
    <n v="0"/>
    <n v="1"/>
    <n v="0"/>
  </r>
  <r>
    <x v="115"/>
    <x v="6"/>
    <x v="5"/>
    <s v="5894144546137"/>
    <s v="29-JUL-13"/>
    <n v="1638"/>
    <n v="1491"/>
    <n v="3129"/>
    <n v="7412.5"/>
    <n v="3129"/>
    <m/>
    <n v="1"/>
    <n v="0"/>
    <n v="0"/>
  </r>
  <r>
    <x v="115"/>
    <x v="6"/>
    <x v="1"/>
    <s v="0984147816597"/>
    <s v="09-OCT-13"/>
    <n v="4820"/>
    <n v="3136"/>
    <n v="7956"/>
    <n v="7412.5"/>
    <n v="7956"/>
    <n v="0"/>
    <n v="0"/>
    <n v="1"/>
    <n v="0"/>
  </r>
  <r>
    <x v="115"/>
    <x v="6"/>
    <x v="5"/>
    <s v="5894339562793"/>
    <s v="12-NOV-13"/>
    <n v="6100"/>
    <n v="1896"/>
    <n v="7996"/>
    <n v="7412.5"/>
    <n v="7996"/>
    <n v="0"/>
    <n v="0"/>
    <n v="1"/>
    <n v="0"/>
  </r>
  <r>
    <x v="115"/>
    <x v="6"/>
    <x v="5"/>
    <s v="5894341198520"/>
    <s v="20-DEC-13"/>
    <n v="5500"/>
    <n v="1887"/>
    <n v="7387"/>
    <n v="7412.5"/>
    <n v="7387"/>
    <n v="0"/>
    <n v="0"/>
    <n v="1"/>
    <n v="0"/>
  </r>
  <r>
    <x v="115"/>
    <x v="21"/>
    <x v="5"/>
    <s v="5894341890570"/>
    <s v="10-JAN-14"/>
    <n v="6400"/>
    <n v="4029"/>
    <n v="10429"/>
    <n v="10605"/>
    <n v="10429"/>
    <m/>
    <n v="0"/>
    <n v="1"/>
    <n v="0"/>
  </r>
  <r>
    <x v="115"/>
    <x v="98"/>
    <x v="7"/>
    <s v="1764342505684"/>
    <s v="26-01-14"/>
    <n v="27480"/>
    <n v="6820"/>
    <n v="34300"/>
    <n v="21300"/>
    <n v="34300"/>
    <n v="0"/>
    <n v="0"/>
    <n v="0"/>
    <n v="1"/>
  </r>
  <r>
    <x v="115"/>
    <x v="98"/>
    <x v="7"/>
    <s v="1764342625833"/>
    <s v="26-01-14"/>
    <n v="0"/>
    <n v="8300"/>
    <n v="8300"/>
    <n v="21300"/>
    <n v="8300"/>
    <n v="0"/>
    <n v="1"/>
    <n v="0"/>
    <n v="0"/>
  </r>
  <r>
    <x v="115"/>
    <x v="18"/>
    <x v="1"/>
    <s v="0984339005500"/>
    <s v="25-10-13"/>
    <n v="2870"/>
    <n v="2714"/>
    <n v="5584"/>
    <n v="5161"/>
    <n v="5584"/>
    <n v="4431"/>
    <n v="0"/>
    <n v="1"/>
    <n v="0"/>
  </r>
  <r>
    <x v="115"/>
    <x v="33"/>
    <x v="10"/>
    <s v="2324340465220"/>
    <s v="04-DEC-13"/>
    <n v="31900"/>
    <n v="5100"/>
    <n v="37000"/>
    <n v="33500"/>
    <n v="37000"/>
    <n v="0"/>
    <n v="0"/>
    <n v="0"/>
    <n v="1"/>
  </r>
  <r>
    <x v="115"/>
    <x v="33"/>
    <x v="10"/>
    <s v="2324343027043"/>
    <s v="05-02-14"/>
    <n v="25775"/>
    <n v="7725"/>
    <n v="33500"/>
    <n v="33500"/>
    <n v="33500"/>
    <n v="0"/>
    <n v="0"/>
    <n v="1"/>
    <n v="0"/>
  </r>
  <r>
    <x v="115"/>
    <x v="41"/>
    <x v="4"/>
    <s v="775K4HSGC"/>
    <s v="24-10-13"/>
    <n v="4109"/>
    <n v="840"/>
    <n v="4949"/>
    <n v="5042"/>
    <n v="4949"/>
    <n v="0"/>
    <n v="0"/>
    <n v="1"/>
    <n v="0"/>
  </r>
  <r>
    <x v="115"/>
    <x v="7"/>
    <x v="5"/>
    <s v="5893513821057"/>
    <s v="11-APR-13"/>
    <n v="3920"/>
    <n v="3222"/>
    <n v="7142"/>
    <n v="7234"/>
    <n v="7142"/>
    <m/>
    <n v="0"/>
    <n v="1"/>
    <n v="0"/>
  </r>
  <r>
    <x v="115"/>
    <x v="7"/>
    <x v="5"/>
    <s v="5893973429850"/>
    <s v="08-MAY-13"/>
    <n v="4500"/>
    <n v="3254"/>
    <n v="7754"/>
    <n v="7234"/>
    <n v="7754"/>
    <m/>
    <n v="0"/>
    <n v="1"/>
    <n v="0"/>
  </r>
  <r>
    <x v="115"/>
    <x v="7"/>
    <x v="5"/>
    <s v="5894144546138"/>
    <s v="30-JUL-13"/>
    <n v="1382"/>
    <n v="1612"/>
    <n v="2994"/>
    <n v="7234"/>
    <n v="2994"/>
    <m/>
    <n v="1"/>
    <n v="0"/>
    <n v="0"/>
  </r>
  <r>
    <x v="115"/>
    <x v="7"/>
    <x v="5"/>
    <s v="5894146982110"/>
    <s v="21-SEP-13"/>
    <n v="4560"/>
    <n v="1992"/>
    <n v="6552"/>
    <n v="7234"/>
    <n v="6552"/>
    <n v="0"/>
    <n v="0"/>
    <n v="1"/>
    <n v="0"/>
  </r>
  <r>
    <x v="115"/>
    <x v="7"/>
    <x v="5"/>
    <s v="5894147816654"/>
    <s v="10-OCT-13"/>
    <n v="6050"/>
    <n v="1976"/>
    <n v="8026"/>
    <n v="7234"/>
    <n v="8026"/>
    <n v="0"/>
    <n v="0"/>
    <n v="0"/>
    <n v="1"/>
  </r>
  <r>
    <x v="115"/>
    <x v="7"/>
    <x v="5"/>
    <s v="5894339996161"/>
    <s v="25-NOV-13"/>
    <n v="6100"/>
    <n v="1979"/>
    <n v="8079"/>
    <n v="7234"/>
    <n v="8079"/>
    <n v="0"/>
    <n v="0"/>
    <n v="0"/>
    <n v="1"/>
  </r>
  <r>
    <x v="115"/>
    <x v="7"/>
    <x v="5"/>
    <s v="5894340930189"/>
    <s v="20-DEC-13"/>
    <n v="6100"/>
    <n v="1979"/>
    <n v="8079"/>
    <n v="7234"/>
    <n v="8079"/>
    <n v="0"/>
    <n v="0"/>
    <n v="0"/>
    <n v="1"/>
  </r>
  <r>
    <x v="115"/>
    <x v="10"/>
    <x v="2"/>
    <s v="6ES3GVMA"/>
    <s v="13-NOV-13"/>
    <n v="4360"/>
    <n v="937"/>
    <n v="5297"/>
    <n v="5814"/>
    <n v="5297"/>
    <n v="0"/>
    <n v="0"/>
    <n v="1"/>
    <n v="0"/>
  </r>
  <r>
    <x v="115"/>
    <x v="99"/>
    <x v="2"/>
    <s v="6EW55F3P"/>
    <s v="12-JAN-14"/>
    <n v="8449"/>
    <n v="1583"/>
    <n v="10032"/>
    <n v="9855"/>
    <n v="10032"/>
    <m/>
    <n v="0"/>
    <n v="1"/>
    <n v="0"/>
  </r>
  <r>
    <x v="115"/>
    <x v="19"/>
    <x v="1"/>
    <s v="0984341697628"/>
    <s v="07-JAN-14"/>
    <n v="2870"/>
    <n v="2938"/>
    <n v="5808"/>
    <n v="5438"/>
    <n v="5808"/>
    <m/>
    <n v="0"/>
    <n v="1"/>
    <n v="0"/>
  </r>
  <r>
    <x v="115"/>
    <x v="19"/>
    <x v="1"/>
    <s v="0984342108761"/>
    <s v="14-JAN-14"/>
    <n v="3070"/>
    <n v="2949"/>
    <n v="6019"/>
    <n v="5438"/>
    <n v="6019"/>
    <m/>
    <n v="0"/>
    <n v="0"/>
    <n v="1"/>
  </r>
  <r>
    <x v="115"/>
    <x v="19"/>
    <x v="2"/>
    <s v="6ECYYMQN"/>
    <s v="11-02-14"/>
    <n v="3986"/>
    <n v="1057"/>
    <n v="5043"/>
    <n v="5438"/>
    <n v="5043"/>
    <n v="0"/>
    <n v="0"/>
    <n v="1"/>
    <n v="0"/>
  </r>
  <r>
    <x v="115"/>
    <x v="12"/>
    <x v="5"/>
    <s v="5894339996111"/>
    <s v="24-NOV-13"/>
    <n v="4100"/>
    <n v="1694"/>
    <n v="5794"/>
    <n v="5519"/>
    <n v="5794"/>
    <n v="0"/>
    <n v="0"/>
    <n v="1"/>
    <n v="0"/>
  </r>
  <r>
    <x v="115"/>
    <x v="100"/>
    <x v="2"/>
    <s v="6EVR2SLP"/>
    <s v="09-APR-13"/>
    <n v="7455"/>
    <n v="774"/>
    <n v="8229"/>
    <n v="8229"/>
    <n v="8229"/>
    <m/>
    <n v="0"/>
    <n v="1"/>
    <n v="0"/>
  </r>
  <r>
    <x v="115"/>
    <x v="101"/>
    <x v="2"/>
    <s v="6EZBL2XA"/>
    <s v="09-02-14"/>
    <n v="15217"/>
    <n v="1205"/>
    <n v="16422"/>
    <n v="16422"/>
    <n v="16422"/>
    <n v="0"/>
    <n v="0"/>
    <n v="1"/>
    <n v="0"/>
  </r>
  <r>
    <x v="115"/>
    <x v="102"/>
    <x v="9"/>
    <s v="1604339031132/3"/>
    <s v="25-10-13"/>
    <n v="17135"/>
    <n v="23865"/>
    <n v="41000"/>
    <n v="41000"/>
    <n v="41000"/>
    <n v="0"/>
    <n v="0"/>
    <n v="1"/>
    <n v="0"/>
  </r>
  <r>
    <x v="115"/>
    <x v="37"/>
    <x v="3"/>
    <s v="Dubai"/>
    <s v=""/>
    <n v="4800"/>
    <n v="562"/>
    <n v="5362"/>
    <n v="5380"/>
    <n v="5362"/>
    <n v="0"/>
    <n v="0"/>
    <n v="1"/>
    <n v="0"/>
  </r>
  <r>
    <x v="116"/>
    <x v="6"/>
    <x v="2"/>
    <s v="6EFE6TVR"/>
    <s v="03-02-14"/>
    <n v="5766"/>
    <n v="1053"/>
    <n v="6819"/>
    <n v="7412.5"/>
    <n v="6819"/>
    <n v="0"/>
    <n v="0"/>
    <n v="1"/>
    <n v="0"/>
  </r>
  <r>
    <x v="116"/>
    <x v="21"/>
    <x v="2"/>
    <s v="6EPSCHCT"/>
    <s v="04-MAY-13"/>
    <n v="8256"/>
    <n v="1537"/>
    <n v="9793"/>
    <n v="10605"/>
    <n v="9793"/>
    <m/>
    <n v="0"/>
    <n v="1"/>
    <n v="0"/>
  </r>
  <r>
    <x v="116"/>
    <x v="21"/>
    <x v="2"/>
    <s v="6ED2WRDM"/>
    <s v="04/07/2013"/>
    <n v="8246"/>
    <n v="1535"/>
    <n v="9781"/>
    <n v="10605"/>
    <n v="9781"/>
    <m/>
    <n v="0"/>
    <n v="1"/>
    <n v="0"/>
  </r>
  <r>
    <x v="116"/>
    <x v="21"/>
    <x v="2"/>
    <s v="6EFZYGTH"/>
    <s v="12/07/2013"/>
    <n v="5314"/>
    <n v="1873"/>
    <n v="7187"/>
    <n v="10605"/>
    <n v="7187"/>
    <m/>
    <n v="1"/>
    <n v="0"/>
    <n v="0"/>
  </r>
  <r>
    <x v="116"/>
    <x v="21"/>
    <x v="1"/>
    <s v="0983976529150"/>
    <s v="21-JUL-13"/>
    <n v="4847"/>
    <n v="5179"/>
    <n v="10026"/>
    <n v="10605"/>
    <n v="10026"/>
    <m/>
    <n v="0"/>
    <n v="1"/>
    <n v="0"/>
  </r>
  <r>
    <x v="116"/>
    <x v="21"/>
    <x v="1"/>
    <s v="0984146422744"/>
    <s v="06-SEP-13"/>
    <n v="967"/>
    <n v="4438"/>
    <n v="5405"/>
    <n v="10605"/>
    <n v="5405"/>
    <n v="0"/>
    <n v="1"/>
    <n v="0"/>
    <n v="0"/>
  </r>
  <r>
    <x v="116"/>
    <x v="21"/>
    <x v="2"/>
    <s v="6EJ2URRV"/>
    <s v="24-10-13"/>
    <n v="9128"/>
    <n v="1585"/>
    <n v="10713"/>
    <n v="10605"/>
    <n v="10713"/>
    <n v="0"/>
    <n v="0"/>
    <n v="1"/>
    <n v="0"/>
  </r>
  <r>
    <x v="116"/>
    <x v="21"/>
    <x v="2"/>
    <s v="6EU3BZRT"/>
    <s v="09-NOV-13"/>
    <n v="9128"/>
    <n v="1585"/>
    <n v="10713"/>
    <n v="10605"/>
    <n v="10713"/>
    <n v="10613"/>
    <n v="0"/>
    <n v="1"/>
    <n v="0"/>
  </r>
  <r>
    <x v="116"/>
    <x v="21"/>
    <x v="2"/>
    <s v="6EP3C8RV"/>
    <s v="10-NOV-13"/>
    <n v="9128"/>
    <n v="1585"/>
    <n v="10713"/>
    <n v="10605"/>
    <n v="10713"/>
    <n v="0"/>
    <n v="0"/>
    <n v="1"/>
    <n v="0"/>
  </r>
  <r>
    <x v="116"/>
    <x v="16"/>
    <x v="2"/>
    <s v="6ES7R9RJ"/>
    <s v="17-JAN-14"/>
    <n v="17326"/>
    <n v="3339"/>
    <n v="20665"/>
    <n v="20521"/>
    <n v="20665"/>
    <n v="10064"/>
    <n v="0"/>
    <n v="1"/>
    <n v="0"/>
  </r>
  <r>
    <x v="116"/>
    <x v="7"/>
    <x v="2"/>
    <s v="6EP1EGMP"/>
    <s v="22-AUG-13"/>
    <n v="4003"/>
    <n v="917"/>
    <n v="4920"/>
    <n v="7234"/>
    <n v="4920"/>
    <n v="0"/>
    <n v="1"/>
    <n v="0"/>
    <n v="0"/>
  </r>
  <r>
    <x v="116"/>
    <x v="22"/>
    <x v="2"/>
    <s v="6EF24UPP"/>
    <s v="16-SEP-13"/>
    <n v="8449"/>
    <n v="1630"/>
    <n v="10079"/>
    <n v="10079"/>
    <n v="10079"/>
    <n v="0"/>
    <n v="0"/>
    <n v="1"/>
    <n v="0"/>
  </r>
  <r>
    <x v="116"/>
    <x v="22"/>
    <x v="2"/>
    <s v="6EX3GJSD"/>
    <s v="16-NOV-13"/>
    <n v="8449"/>
    <n v="1630"/>
    <n v="10079"/>
    <n v="10079"/>
    <n v="10079"/>
    <n v="9979"/>
    <n v="0"/>
    <n v="1"/>
    <n v="0"/>
  </r>
  <r>
    <x v="116"/>
    <x v="22"/>
    <x v="2"/>
    <s v="6EE3FGTW"/>
    <s v="21-NOV-13"/>
    <n v="8449"/>
    <n v="1630"/>
    <n v="10079"/>
    <n v="10079"/>
    <n v="10079"/>
    <n v="0"/>
    <n v="0"/>
    <n v="1"/>
    <n v="0"/>
  </r>
  <r>
    <x v="116"/>
    <x v="22"/>
    <x v="2"/>
    <s v="6EU3LETG"/>
    <s v="16-NOV-13"/>
    <n v="8449"/>
    <n v="1630"/>
    <n v="10079"/>
    <n v="10079"/>
    <n v="10079"/>
    <n v="0"/>
    <n v="0"/>
    <n v="1"/>
    <n v="0"/>
  </r>
  <r>
    <x v="116"/>
    <x v="22"/>
    <x v="2"/>
    <s v="6EY5VFXC"/>
    <s v="05-02-14"/>
    <n v="7959"/>
    <n v="1769"/>
    <n v="9728"/>
    <n v="10079"/>
    <n v="9728"/>
    <n v="9628"/>
    <n v="0"/>
    <n v="1"/>
    <n v="0"/>
  </r>
  <r>
    <x v="116"/>
    <x v="22"/>
    <x v="2"/>
    <s v="6EO9CHHD"/>
    <s v="06-02-14"/>
    <n v="7407"/>
    <n v="1572"/>
    <n v="8979"/>
    <n v="10079"/>
    <n v="8979"/>
    <n v="0"/>
    <n v="1"/>
    <n v="0"/>
    <n v="0"/>
  </r>
  <r>
    <x v="116"/>
    <x v="103"/>
    <x v="8"/>
    <s v="1254147397696"/>
    <s v="28-SEP-13"/>
    <n v="7420"/>
    <n v="5580"/>
    <n v="13000"/>
    <n v="13000"/>
    <n v="13000"/>
    <n v="0"/>
    <n v="0"/>
    <n v="1"/>
    <n v="0"/>
  </r>
  <r>
    <x v="116"/>
    <x v="104"/>
    <x v="20"/>
    <s v="0824340624893"/>
    <s v="15-DEC-13"/>
    <n v="10110"/>
    <n v="13436"/>
    <n v="23546"/>
    <n v="23546"/>
    <n v="134680"/>
    <n v="0"/>
    <n v="0"/>
    <n v="0"/>
    <n v="1"/>
  </r>
  <r>
    <x v="116"/>
    <x v="105"/>
    <x v="21"/>
    <s v="881EM3LIT7"/>
    <s v="13-DEC-13"/>
    <n v="6561"/>
    <n v="5231"/>
    <n v="11792"/>
    <n v="11792"/>
    <n v="11792"/>
    <n v="0"/>
    <n v="0"/>
    <n v="1"/>
    <n v="0"/>
  </r>
  <r>
    <x v="116"/>
    <x v="24"/>
    <x v="2"/>
    <s v="6EDV73CP"/>
    <s v="03-JUL-13"/>
    <n v="8296"/>
    <n v="1398"/>
    <n v="9694"/>
    <n v="10332"/>
    <n v="9694"/>
    <m/>
    <n v="0"/>
    <n v="1"/>
    <n v="0"/>
  </r>
  <r>
    <x v="116"/>
    <x v="24"/>
    <x v="2"/>
    <s v="6EZZ5SMX"/>
    <s v="08/07/2013"/>
    <n v="8296"/>
    <n v="1398"/>
    <n v="9694"/>
    <n v="10332"/>
    <n v="9694"/>
    <m/>
    <n v="0"/>
    <n v="1"/>
    <n v="0"/>
  </r>
  <r>
    <x v="116"/>
    <x v="24"/>
    <x v="2"/>
    <s v="6EY2QUMN"/>
    <s v="16-OCT-13"/>
    <n v="9178"/>
    <n v="1446"/>
    <n v="10624"/>
    <n v="10332"/>
    <n v="10624"/>
    <n v="0"/>
    <n v="0"/>
    <n v="1"/>
    <n v="0"/>
  </r>
  <r>
    <x v="116"/>
    <x v="24"/>
    <x v="2"/>
    <s v="6EX35RPS"/>
    <s v="04-NOV-13"/>
    <n v="9178"/>
    <n v="1446"/>
    <n v="10624"/>
    <n v="10332"/>
    <n v="10624"/>
    <n v="0"/>
    <n v="0"/>
    <n v="1"/>
    <n v="0"/>
  </r>
  <r>
    <x v="116"/>
    <x v="24"/>
    <x v="2"/>
    <s v="6ETD1B2U"/>
    <s v="25-01-14"/>
    <n v="8688"/>
    <n v="1601"/>
    <n v="10289"/>
    <n v="10332"/>
    <n v="10289"/>
    <n v="0"/>
    <n v="0"/>
    <n v="1"/>
    <n v="0"/>
  </r>
  <r>
    <x v="116"/>
    <x v="71"/>
    <x v="2"/>
    <s v="6EZS6IAM"/>
    <s v="30-APR-13"/>
    <n v="16562"/>
    <n v="2933"/>
    <n v="19495"/>
    <n v="19495"/>
    <n v="19495"/>
    <n v="19295"/>
    <n v="0"/>
    <n v="1"/>
    <n v="0"/>
  </r>
  <r>
    <x v="116"/>
    <x v="71"/>
    <x v="2"/>
    <s v="6ELS8EBT"/>
    <s v="02-MAY-13"/>
    <n v="16562"/>
    <n v="2933"/>
    <n v="19495"/>
    <n v="19495"/>
    <n v="19495"/>
    <m/>
    <n v="0"/>
    <n v="1"/>
    <n v="0"/>
  </r>
  <r>
    <x v="116"/>
    <x v="71"/>
    <x v="2"/>
    <s v="6EH761LR"/>
    <s v="04/07/2013"/>
    <n v="16542"/>
    <n v="2932"/>
    <n v="19474"/>
    <n v="19495"/>
    <n v="19474"/>
    <m/>
    <n v="0"/>
    <n v="1"/>
    <n v="0"/>
  </r>
  <r>
    <x v="116"/>
    <x v="71"/>
    <x v="2"/>
    <s v="6EB34ESM"/>
    <s v="05-11-13"/>
    <n v="18306"/>
    <n v="3030"/>
    <n v="21336"/>
    <n v="19495"/>
    <n v="21336"/>
    <n v="10399"/>
    <n v="0"/>
    <n v="1"/>
    <n v="0"/>
  </r>
  <r>
    <x v="116"/>
    <x v="25"/>
    <x v="2"/>
    <s v="6EL1E6SF"/>
    <s v="21-AUG-13"/>
    <n v="4983"/>
    <n v="1214"/>
    <n v="6197"/>
    <n v="9855"/>
    <n v="6197"/>
    <n v="6097"/>
    <n v="1"/>
    <n v="0"/>
    <n v="0"/>
  </r>
  <r>
    <x v="116"/>
    <x v="25"/>
    <x v="2"/>
    <s v="6EM1C9TE"/>
    <s v="21-AUG-13"/>
    <n v="4983"/>
    <n v="1214"/>
    <n v="6197"/>
    <n v="9855"/>
    <n v="6197"/>
    <n v="0"/>
    <n v="1"/>
    <n v="0"/>
    <n v="0"/>
  </r>
  <r>
    <x v="116"/>
    <x v="25"/>
    <x v="2"/>
    <s v="6ED3ECTD"/>
    <s v="19-NOV-13"/>
    <n v="8449"/>
    <n v="1406"/>
    <n v="9855"/>
    <n v="9855"/>
    <n v="9855"/>
    <n v="0"/>
    <n v="0"/>
    <n v="1"/>
    <n v="0"/>
  </r>
  <r>
    <x v="116"/>
    <x v="25"/>
    <x v="2"/>
    <s v="6EM9SL2N"/>
    <s v="19-NOV-13"/>
    <n v="8449"/>
    <n v="1406"/>
    <n v="9855"/>
    <n v="9855"/>
    <n v="9855"/>
    <n v="9755"/>
    <n v="0"/>
    <n v="1"/>
    <n v="0"/>
  </r>
  <r>
    <x v="116"/>
    <x v="106"/>
    <x v="2"/>
    <s v="6EH1UURM"/>
    <s v="11-SEP-13"/>
    <n v="16898"/>
    <n v="3034"/>
    <n v="19932"/>
    <n v="19932"/>
    <n v="19932"/>
    <n v="0"/>
    <n v="0"/>
    <n v="1"/>
    <n v="0"/>
  </r>
  <r>
    <x v="116"/>
    <x v="106"/>
    <x v="2"/>
    <s v="6ED22PMH"/>
    <s v="15-SEP-13"/>
    <n v="16898"/>
    <n v="3034"/>
    <n v="19932"/>
    <n v="19932"/>
    <n v="19932"/>
    <n v="9954"/>
    <n v="0"/>
    <n v="1"/>
    <n v="0"/>
  </r>
  <r>
    <x v="116"/>
    <x v="106"/>
    <x v="2"/>
    <s v="6EPCLZ2U"/>
    <s v="03-DEC-13"/>
    <n v="15918"/>
    <n v="2981"/>
    <n v="18899"/>
    <n v="19932"/>
    <n v="18899"/>
    <n v="0"/>
    <n v="0"/>
    <n v="1"/>
    <n v="0"/>
  </r>
  <r>
    <x v="116"/>
    <x v="99"/>
    <x v="2"/>
    <s v="6EG3G4TR"/>
    <s v="14-NOV-13"/>
    <n v="8449"/>
    <n v="1406"/>
    <n v="9855"/>
    <n v="9855"/>
    <n v="9855"/>
    <n v="0"/>
    <n v="0"/>
    <n v="1"/>
    <n v="0"/>
  </r>
  <r>
    <x v="116"/>
    <x v="99"/>
    <x v="2"/>
    <s v="6EY8KU9G"/>
    <s v="26-FEB-14"/>
    <n v="7383"/>
    <n v="1346"/>
    <n v="8729"/>
    <n v="9855"/>
    <n v="8729"/>
    <e v="#REF!"/>
    <n v="1"/>
    <n v="0"/>
    <n v="0"/>
  </r>
  <r>
    <x v="116"/>
    <x v="107"/>
    <x v="1"/>
    <s v="0984343030661"/>
    <s v="11-02-14"/>
    <n v="2500"/>
    <n v="49300"/>
    <n v="51800"/>
    <n v="51800"/>
    <n v="51800"/>
    <n v="0"/>
    <n v="0"/>
    <n v="1"/>
    <n v="0"/>
  </r>
  <r>
    <x v="116"/>
    <x v="108"/>
    <x v="1"/>
    <s v="0984340655368"/>
    <s v="10-DEC-13"/>
    <n v="33150"/>
    <n v="66192"/>
    <n v="99342"/>
    <n v="99342"/>
    <n v="99342"/>
    <n v="0"/>
    <n v="0"/>
    <n v="1"/>
    <n v="0"/>
  </r>
  <r>
    <x v="116"/>
    <x v="11"/>
    <x v="6"/>
    <s v="1174343027206"/>
    <s v="18-02-14"/>
    <n v="13215"/>
    <n v="8785"/>
    <n v="22000"/>
    <n v="21000"/>
    <n v="22000"/>
    <n v="0"/>
    <n v="0"/>
    <n v="1"/>
    <n v="0"/>
  </r>
  <r>
    <x v="116"/>
    <x v="19"/>
    <x v="2"/>
    <s v="6EQ6F5GM"/>
    <s v="28-FEB-14"/>
    <n v="3965"/>
    <n v="1056"/>
    <n v="5021"/>
    <n v="5438"/>
    <n v="5021"/>
    <e v="#REF!"/>
    <n v="0"/>
    <n v="1"/>
    <n v="0"/>
  </r>
  <r>
    <x v="116"/>
    <x v="12"/>
    <x v="5"/>
    <s v="5894339562874"/>
    <s v="15-NOV-13"/>
    <n v="4300"/>
    <n v="1705"/>
    <n v="6005"/>
    <n v="5519"/>
    <n v="6005"/>
    <n v="0"/>
    <n v="0"/>
    <n v="1"/>
    <n v="0"/>
  </r>
  <r>
    <x v="116"/>
    <x v="109"/>
    <x v="8"/>
    <s v="1254343077906"/>
    <s v="11-02-14"/>
    <n v="7850"/>
    <n v="12150"/>
    <n v="20000"/>
    <n v="20000"/>
    <n v="20000"/>
    <n v="0"/>
    <n v="0"/>
    <n v="1"/>
    <n v="0"/>
  </r>
  <r>
    <x v="116"/>
    <x v="110"/>
    <x v="1"/>
    <s v="0984147851267"/>
    <s v="08-OCT-13"/>
    <n v="0"/>
    <n v="6500"/>
    <n v="6500"/>
    <n v="3250"/>
    <n v="6500"/>
    <n v="0"/>
    <n v="0"/>
    <n v="0"/>
    <n v="1"/>
  </r>
  <r>
    <x v="116"/>
    <x v="110"/>
    <x v="1"/>
    <s v="0984340655369"/>
    <s v="24-DEC-13"/>
    <n v="0"/>
    <n v="0"/>
    <n v="0"/>
    <n v="3250"/>
    <n v="0"/>
    <n v="0"/>
    <n v="1"/>
    <n v="0"/>
    <n v="0"/>
  </r>
  <r>
    <x v="116"/>
    <x v="111"/>
    <x v="18"/>
    <s v="7244342896325"/>
    <s v="14-02-14"/>
    <n v="15485"/>
    <n v="23315"/>
    <n v="38800"/>
    <n v="38800"/>
    <n v="38800"/>
    <n v="0"/>
    <n v="0"/>
    <n v="1"/>
    <n v="0"/>
  </r>
  <r>
    <x v="117"/>
    <x v="6"/>
    <x v="2"/>
    <s v="6EBRVHDW2"/>
    <s v="27-APR-13"/>
    <n v="3720"/>
    <n v="3336"/>
    <n v="7056"/>
    <n v="7412.5"/>
    <n v="7056"/>
    <n v="5956"/>
    <n v="0"/>
    <n v="1"/>
    <n v="0"/>
  </r>
  <r>
    <x v="117"/>
    <x v="6"/>
    <x v="1"/>
    <s v="0983972579137"/>
    <s v="27-APR-13"/>
    <n v="3940"/>
    <n v="3088"/>
    <n v="7028"/>
    <n v="7412.5"/>
    <n v="7028"/>
    <m/>
    <n v="0"/>
    <n v="1"/>
    <n v="0"/>
  </r>
  <r>
    <x v="117"/>
    <x v="7"/>
    <x v="4"/>
    <s v="775H76I8G1"/>
    <s v="26-APR-13"/>
    <n v="5299"/>
    <n v="3667"/>
    <n v="8966"/>
    <n v="7234"/>
    <n v="8966"/>
    <m/>
    <n v="0"/>
    <n v="0"/>
    <n v="1"/>
  </r>
  <r>
    <x v="118"/>
    <x v="112"/>
    <x v="1"/>
    <s v="0983513821090"/>
    <s v="16-APR-13"/>
    <n v="2300"/>
    <n v="2554"/>
    <n v="4854"/>
    <n v="4854"/>
    <n v="4854"/>
    <m/>
    <n v="0"/>
    <n v="1"/>
    <n v="0"/>
  </r>
  <r>
    <x v="118"/>
    <x v="6"/>
    <x v="4"/>
    <s v="775ZHS3CR2"/>
    <s v="06-APR-13"/>
    <n v="2978"/>
    <n v="3136"/>
    <n v="6114"/>
    <n v="7412.5"/>
    <n v="6114"/>
    <m/>
    <n v="1"/>
    <n v="0"/>
    <n v="0"/>
  </r>
  <r>
    <x v="118"/>
    <x v="6"/>
    <x v="2"/>
    <s v="6EMT68LN2"/>
    <s v="08-JUN-13"/>
    <n v="2740"/>
    <n v="3220"/>
    <n v="5960"/>
    <n v="7412.5"/>
    <n v="5960"/>
    <m/>
    <n v="1"/>
    <n v="0"/>
    <n v="0"/>
  </r>
  <r>
    <x v="118"/>
    <x v="50"/>
    <x v="2"/>
    <s v="6EDR65AM1"/>
    <s v="15-APR-13"/>
    <n v="2140"/>
    <n v="2960"/>
    <n v="5100"/>
    <n v="3186"/>
    <n v="5100"/>
    <m/>
    <n v="0"/>
    <n v="0"/>
    <n v="1"/>
  </r>
  <r>
    <x v="118"/>
    <x v="7"/>
    <x v="2"/>
    <s v="6EFQNEDT1"/>
    <s v="05-APR-13"/>
    <n v="3039"/>
    <n v="3289"/>
    <n v="6328"/>
    <n v="7234"/>
    <n v="6328"/>
    <m/>
    <n v="1"/>
    <n v="0"/>
    <n v="0"/>
  </r>
  <r>
    <x v="118"/>
    <x v="7"/>
    <x v="5"/>
    <s v="5893974400146"/>
    <s v="07-JUN-13"/>
    <n v="3950"/>
    <n v="3171"/>
    <n v="7121"/>
    <n v="7234"/>
    <n v="7121"/>
    <m/>
    <n v="0"/>
    <n v="1"/>
    <n v="0"/>
  </r>
  <r>
    <x v="118"/>
    <x v="35"/>
    <x v="4"/>
    <s v="775B4IT2M1"/>
    <s v="03-MAY-13"/>
    <n v="9598"/>
    <n v="7071"/>
    <n v="16669"/>
    <n v="11722"/>
    <n v="16669"/>
    <m/>
    <n v="0"/>
    <n v="0"/>
    <n v="1"/>
  </r>
  <r>
    <x v="119"/>
    <x v="28"/>
    <x v="2"/>
    <s v="6EHYR8VN"/>
    <s v="23-02-14"/>
    <n v="8617"/>
    <n v="963"/>
    <n v="9580"/>
    <n v="9066"/>
    <n v="9580"/>
    <n v="0"/>
    <n v="0"/>
    <n v="1"/>
    <n v="0"/>
  </r>
  <r>
    <x v="119"/>
    <x v="39"/>
    <x v="2"/>
    <s v="6EZ37PMY"/>
    <s v="21-FEB-14"/>
    <n v="8543"/>
    <n v="1086"/>
    <n v="9629"/>
    <n v="9477"/>
    <n v="9629"/>
    <e v="#REF!"/>
    <n v="0"/>
    <n v="1"/>
    <n v="0"/>
  </r>
  <r>
    <x v="119"/>
    <x v="6"/>
    <x v="1"/>
    <s v="0983513857273"/>
    <s v="12-APR-13"/>
    <n v="4400"/>
    <n v="3112"/>
    <n v="7512"/>
    <n v="7412.5"/>
    <n v="7512"/>
    <m/>
    <n v="0"/>
    <n v="1"/>
    <n v="0"/>
  </r>
  <r>
    <x v="119"/>
    <x v="16"/>
    <x v="2"/>
    <s v="6EUSPGAN"/>
    <s v="20-MAY-13"/>
    <n v="16562"/>
    <n v="2933"/>
    <n v="19495"/>
    <n v="20521"/>
    <n v="19495"/>
    <m/>
    <n v="0"/>
    <n v="1"/>
    <n v="0"/>
  </r>
  <r>
    <x v="119"/>
    <x v="18"/>
    <x v="2"/>
    <s v="6EXB6STA"/>
    <s v="18-DEC-13"/>
    <n v="4310"/>
    <n v="851"/>
    <n v="5161"/>
    <n v="5161"/>
    <n v="10322"/>
    <n v="0"/>
    <n v="0"/>
    <n v="0"/>
    <n v="1"/>
  </r>
  <r>
    <x v="119"/>
    <x v="113"/>
    <x v="8"/>
    <s v="1254340624826"/>
    <s v="11-JAN-14"/>
    <n v="64280"/>
    <n v="50720"/>
    <n v="115000"/>
    <n v="115000"/>
    <n v="115000"/>
    <n v="0"/>
    <n v="0"/>
    <n v="1"/>
    <n v="0"/>
  </r>
  <r>
    <x v="119"/>
    <x v="40"/>
    <x v="2"/>
    <s v="6EL83WWW"/>
    <s v="03-02-14"/>
    <n v="23803"/>
    <n v="2792"/>
    <n v="26595"/>
    <n v="20677"/>
    <n v="26595"/>
    <n v="0"/>
    <n v="0"/>
    <n v="0"/>
    <n v="1"/>
  </r>
  <r>
    <x v="119"/>
    <x v="7"/>
    <x v="4"/>
    <s v="775JHQUAW"/>
    <s v="12-APR-13"/>
    <n v="5672"/>
    <n v="1010"/>
    <n v="6682"/>
    <n v="7234"/>
    <n v="6682"/>
    <n v="6582"/>
    <n v="0"/>
    <n v="1"/>
    <n v="0"/>
  </r>
  <r>
    <x v="119"/>
    <x v="7"/>
    <x v="2"/>
    <s v="6EZRZTLP"/>
    <s v="12-APR-13"/>
    <n v="8699"/>
    <n v="1178"/>
    <n v="9877"/>
    <n v="7234"/>
    <n v="9877"/>
    <m/>
    <n v="0"/>
    <n v="0"/>
    <n v="1"/>
  </r>
  <r>
    <x v="119"/>
    <x v="24"/>
    <x v="5"/>
    <s v="5893974025477"/>
    <s v="20-MAY-13"/>
    <n v="6000"/>
    <n v="5154"/>
    <n v="11154"/>
    <n v="10332"/>
    <n v="11154"/>
    <m/>
    <n v="0"/>
    <n v="1"/>
    <n v="0"/>
  </r>
  <r>
    <x v="119"/>
    <x v="19"/>
    <x v="2"/>
    <s v="6EX2WBHY"/>
    <s v="19-DEC-13"/>
    <n v="4360"/>
    <n v="1078"/>
    <n v="5438"/>
    <n v="5438"/>
    <n v="5438"/>
    <n v="0"/>
    <n v="0"/>
    <n v="1"/>
    <n v="0"/>
  </r>
  <r>
    <x v="119"/>
    <x v="19"/>
    <x v="2"/>
    <s v="6EE9DU3N"/>
    <s v="19-DEC-13"/>
    <n v="4360"/>
    <n v="1078"/>
    <n v="5438"/>
    <n v="5438"/>
    <n v="5438"/>
    <n v="0"/>
    <n v="0"/>
    <n v="1"/>
    <n v="0"/>
  </r>
  <r>
    <x v="120"/>
    <x v="15"/>
    <x v="2"/>
    <s v="6EX1P22L"/>
    <s v="21-02-14"/>
    <n v="17184"/>
    <n v="2049"/>
    <n v="19233"/>
    <n v="19030"/>
    <n v="19233"/>
    <n v="0"/>
    <n v="0"/>
    <n v="1"/>
    <n v="0"/>
  </r>
  <r>
    <x v="120"/>
    <x v="8"/>
    <x v="12"/>
    <s v="104YSYU553"/>
    <s v="29-01-14"/>
    <n v="8450"/>
    <n v="6979"/>
    <n v="15429"/>
    <n v="14406"/>
    <n v="15429"/>
    <n v="0"/>
    <n v="0"/>
    <n v="1"/>
    <n v="0"/>
  </r>
  <r>
    <x v="120"/>
    <x v="9"/>
    <x v="2"/>
    <s v="6EYEEZ7R"/>
    <s v="04-DEC-13"/>
    <n v="8670"/>
    <n v="1927"/>
    <n v="10597"/>
    <n v="10597"/>
    <n v="21194"/>
    <n v="0"/>
    <n v="0"/>
    <n v="0"/>
    <n v="1"/>
  </r>
  <r>
    <x v="120"/>
    <x v="69"/>
    <x v="5"/>
    <s v="5894147816735"/>
    <s v="21-OCT-13"/>
    <n v="6400"/>
    <n v="3539"/>
    <n v="9939"/>
    <n v="9939"/>
    <n v="9939"/>
    <n v="0"/>
    <n v="0"/>
    <n v="1"/>
    <n v="0"/>
  </r>
  <r>
    <x v="120"/>
    <x v="82"/>
    <x v="12"/>
    <s v="104Q6ZYOB1"/>
    <s v="17-APR-13"/>
    <n v="9800"/>
    <n v="10022"/>
    <n v="19822"/>
    <n v="19822"/>
    <n v="19822"/>
    <m/>
    <n v="0"/>
    <n v="1"/>
    <n v="0"/>
  </r>
  <r>
    <x v="120"/>
    <x v="40"/>
    <x v="2"/>
    <s v="6EX2I4ML"/>
    <s v="03-02-14"/>
    <n v="18306"/>
    <n v="2371"/>
    <n v="20677"/>
    <n v="20677"/>
    <n v="20677"/>
    <n v="0"/>
    <n v="0"/>
    <n v="1"/>
    <n v="0"/>
  </r>
  <r>
    <x v="120"/>
    <x v="7"/>
    <x v="2"/>
    <s v="6EQ71J9J"/>
    <s v="29-01-14"/>
    <n v="5816"/>
    <n v="1139"/>
    <n v="6955"/>
    <n v="7234"/>
    <n v="6955"/>
    <n v="0"/>
    <n v="0"/>
    <n v="1"/>
    <n v="0"/>
  </r>
  <r>
    <x v="120"/>
    <x v="24"/>
    <x v="1"/>
    <s v="0984148159276"/>
    <s v="27-OCT-13"/>
    <n v="3330"/>
    <n v="4954"/>
    <n v="8284"/>
    <n v="10332"/>
    <n v="8284"/>
    <n v="0"/>
    <n v="1"/>
    <n v="0"/>
    <n v="0"/>
  </r>
  <r>
    <x v="120"/>
    <x v="114"/>
    <x v="1"/>
    <s v="0984148159275"/>
    <s v="26-OCT-13"/>
    <n v="3070"/>
    <n v="2705"/>
    <n v="5775"/>
    <n v="5775"/>
    <n v="5775"/>
    <n v="0"/>
    <n v="0"/>
    <n v="1"/>
    <n v="0"/>
  </r>
  <r>
    <x v="121"/>
    <x v="7"/>
    <x v="2"/>
    <s v="6EK34HMG"/>
    <s v="27-10-13"/>
    <n v="6306"/>
    <n v="1045"/>
    <n v="7351"/>
    <n v="7234"/>
    <n v="7351"/>
    <n v="0"/>
    <n v="0"/>
    <n v="1"/>
    <n v="0"/>
  </r>
  <r>
    <x v="122"/>
    <x v="16"/>
    <x v="2"/>
    <s v="6EXT6DBM1"/>
    <s v="20-MAY-13"/>
    <n v="16562"/>
    <n v="2933"/>
    <n v="19495"/>
    <n v="20521"/>
    <n v="19495"/>
    <m/>
    <n v="0"/>
    <n v="1"/>
    <n v="0"/>
  </r>
  <r>
    <x v="123"/>
    <x v="6"/>
    <x v="2"/>
    <s v="6EG46L5P"/>
    <s v="03-02-14"/>
    <n v="5766"/>
    <n v="1053"/>
    <n v="6819"/>
    <n v="7412.5"/>
    <n v="6819"/>
    <n v="0"/>
    <n v="0"/>
    <n v="1"/>
    <n v="0"/>
  </r>
  <r>
    <x v="124"/>
    <x v="9"/>
    <x v="2"/>
    <s v="6EYEEZ7R"/>
    <s v="04-DEC-13"/>
    <n v="8670"/>
    <n v="1927"/>
    <n v="10597"/>
    <n v="10597"/>
    <n v="10597"/>
    <n v="0"/>
    <n v="0"/>
    <n v="1"/>
    <n v="0"/>
  </r>
  <r>
    <x v="125"/>
    <x v="21"/>
    <x v="2"/>
    <s v="6EFT33AM"/>
    <s v="20-MAY-13"/>
    <n v="10149"/>
    <n v="1881"/>
    <n v="12030"/>
    <n v="10605"/>
    <n v="12030"/>
    <m/>
    <n v="0"/>
    <n v="0"/>
    <n v="1"/>
  </r>
  <r>
    <x v="125"/>
    <x v="0"/>
    <x v="0"/>
    <s v="668099412"/>
    <s v="17-APR-13"/>
    <n v="637"/>
    <n v="112"/>
    <n v="749"/>
    <n v="749"/>
    <n v="749"/>
    <m/>
    <n v="0"/>
    <n v="1"/>
    <n v="0"/>
  </r>
  <r>
    <x v="125"/>
    <x v="1"/>
    <x v="0"/>
    <s v="668117397"/>
    <s v="18-APR-13"/>
    <n v="156"/>
    <n v="112"/>
    <n v="268"/>
    <n v="824"/>
    <n v="268"/>
    <n v="207"/>
    <n v="1"/>
    <n v="0"/>
    <n v="0"/>
  </r>
  <r>
    <x v="125"/>
    <x v="1"/>
    <x v="0"/>
    <s v="668568781"/>
    <s v="18-APR-13"/>
    <n v="712"/>
    <n v="112"/>
    <n v="824"/>
    <n v="824"/>
    <n v="824"/>
    <m/>
    <n v="0"/>
    <n v="1"/>
    <n v="0"/>
  </r>
  <r>
    <x v="125"/>
    <x v="24"/>
    <x v="2"/>
    <s v="6ECSM2EN"/>
    <s v="23-MAY-13"/>
    <n v="8306"/>
    <n v="1398"/>
    <n v="9704"/>
    <n v="10332"/>
    <n v="9704"/>
    <m/>
    <n v="0"/>
    <n v="1"/>
    <n v="0"/>
  </r>
  <r>
    <x v="126"/>
    <x v="115"/>
    <x v="7"/>
    <s v="1764340894532"/>
    <s v="10-DEC-13"/>
    <n v="0"/>
    <n v="9000"/>
    <n v="9000"/>
    <n v="9000"/>
    <n v="9000"/>
    <n v="0"/>
    <n v="0"/>
    <n v="1"/>
    <n v="0"/>
  </r>
  <r>
    <x v="127"/>
    <x v="6"/>
    <x v="12"/>
    <s v="104UJBHRB2"/>
    <s v="26-APR-13"/>
    <n v="6820"/>
    <n v="3702"/>
    <n v="10522"/>
    <n v="7412.5"/>
    <n v="10522"/>
    <m/>
    <n v="0"/>
    <n v="0"/>
    <n v="1"/>
  </r>
  <r>
    <x v="127"/>
    <x v="7"/>
    <x v="1"/>
    <s v="0983972579098"/>
    <s v="26-APR-13"/>
    <n v="3940"/>
    <n v="3171"/>
    <n v="7111"/>
    <n v="7234"/>
    <n v="7111"/>
    <m/>
    <n v="0"/>
    <n v="1"/>
    <n v="0"/>
  </r>
  <r>
    <x v="128"/>
    <x v="25"/>
    <x v="2"/>
    <s v="6EJDY93R"/>
    <s v="24-DEC-13"/>
    <n v="7959"/>
    <n v="1379"/>
    <n v="9338"/>
    <n v="9855"/>
    <n v="9338"/>
    <e v="#REF!"/>
    <n v="0"/>
    <n v="1"/>
    <n v="0"/>
  </r>
  <r>
    <x v="129"/>
    <x v="7"/>
    <x v="5"/>
    <s v="5894146953008"/>
    <s v="15-OCT-13"/>
    <n v="19981"/>
    <n v="2751"/>
    <n v="22732"/>
    <n v="7234"/>
    <n v="22732"/>
    <n v="0"/>
    <n v="0"/>
    <n v="0"/>
    <n v="1"/>
  </r>
  <r>
    <x v="130"/>
    <x v="6"/>
    <x v="1"/>
    <s v="0983513384851"/>
    <s v="03-APR-13"/>
    <n v="3190"/>
    <n v="3047"/>
    <n v="6237"/>
    <n v="7412.5"/>
    <n v="6237"/>
    <m/>
    <n v="1"/>
    <n v="0"/>
    <n v="0"/>
  </r>
  <r>
    <x v="130"/>
    <x v="6"/>
    <x v="1"/>
    <s v="0983513821199"/>
    <s v="18-APR-13"/>
    <n v="3940"/>
    <n v="3088"/>
    <n v="7028"/>
    <n v="7412.5"/>
    <n v="7028"/>
    <m/>
    <n v="0"/>
    <n v="1"/>
    <n v="0"/>
  </r>
  <r>
    <x v="130"/>
    <x v="6"/>
    <x v="1"/>
    <s v="0983974847596"/>
    <s v="10-JUN-13"/>
    <n v="4400"/>
    <n v="3113"/>
    <n v="7513"/>
    <n v="7412.5"/>
    <n v="7513"/>
    <m/>
    <n v="0"/>
    <n v="1"/>
    <n v="0"/>
  </r>
  <r>
    <x v="130"/>
    <x v="6"/>
    <x v="1"/>
    <s v="0983976529015"/>
    <s v="12/07/2013"/>
    <n v="291"/>
    <n v="2885"/>
    <n v="3176"/>
    <n v="7412.5"/>
    <n v="3176"/>
    <m/>
    <n v="1"/>
    <n v="0"/>
    <n v="0"/>
  </r>
  <r>
    <x v="130"/>
    <x v="6"/>
    <x v="1"/>
    <s v="0984144546117"/>
    <s v="30-JUL-13"/>
    <n v="582"/>
    <n v="2377"/>
    <n v="2959"/>
    <n v="7412.5"/>
    <n v="2959"/>
    <m/>
    <n v="1"/>
    <n v="0"/>
    <n v="0"/>
  </r>
  <r>
    <x v="130"/>
    <x v="6"/>
    <x v="1"/>
    <s v="0984146108766"/>
    <s v="27-AUG-13"/>
    <n v="1716"/>
    <n v="2965"/>
    <n v="4681"/>
    <n v="7412.5"/>
    <n v="8634"/>
    <n v="0"/>
    <n v="0"/>
    <n v="0"/>
    <n v="1"/>
  </r>
  <r>
    <x v="130"/>
    <x v="7"/>
    <x v="2"/>
    <s v="6EVQD9LR2"/>
    <s v="05-APR-13"/>
    <n v="4799"/>
    <n v="3498"/>
    <n v="8297"/>
    <n v="7234"/>
    <n v="8297"/>
    <m/>
    <n v="0"/>
    <n v="0"/>
    <n v="1"/>
  </r>
  <r>
    <x v="130"/>
    <x v="7"/>
    <x v="4"/>
    <s v="775TIYTAM2"/>
    <s v="18-APR-13"/>
    <n v="3646"/>
    <n v="3474"/>
    <n v="7120"/>
    <n v="7234"/>
    <n v="7120"/>
    <m/>
    <n v="0"/>
    <n v="1"/>
    <n v="0"/>
  </r>
  <r>
    <x v="130"/>
    <x v="7"/>
    <x v="1"/>
    <s v="0983974847597"/>
    <s v="11-JUN-13"/>
    <n v="3940"/>
    <n v="3171"/>
    <n v="7111"/>
    <n v="7234"/>
    <n v="7111"/>
    <m/>
    <n v="0"/>
    <n v="1"/>
    <n v="0"/>
  </r>
  <r>
    <x v="130"/>
    <x v="7"/>
    <x v="2"/>
    <s v="6EGZ9LPC2"/>
    <s v="12/07/2013"/>
    <n v="590"/>
    <n v="2553"/>
    <n v="3143"/>
    <n v="7234"/>
    <n v="3143"/>
    <m/>
    <n v="1"/>
    <n v="0"/>
    <n v="0"/>
  </r>
  <r>
    <x v="130"/>
    <x v="7"/>
    <x v="2"/>
    <s v="6ENZL1PV2"/>
    <s v="30-JUL-13"/>
    <n v="482"/>
    <n v="2541"/>
    <n v="3023"/>
    <n v="7234"/>
    <n v="3023"/>
    <m/>
    <n v="1"/>
    <n v="0"/>
    <n v="0"/>
  </r>
  <r>
    <x v="130"/>
    <x v="7"/>
    <x v="1"/>
    <s v="0984146108767"/>
    <s v="29-AUG-13"/>
    <n v="1445"/>
    <n v="2508"/>
    <n v="3953"/>
    <n v="7234"/>
    <n v="3953"/>
    <n v="0"/>
    <n v="1"/>
    <n v="0"/>
    <n v="0"/>
  </r>
  <r>
    <x v="131"/>
    <x v="18"/>
    <x v="1"/>
    <s v="0984145233346"/>
    <s v="11-AUG-13"/>
    <n v="1590"/>
    <n v="2643"/>
    <n v="4233"/>
    <n v="5161"/>
    <n v="4233"/>
    <m/>
    <n v="1"/>
    <n v="0"/>
    <n v="0"/>
  </r>
  <r>
    <x v="131"/>
    <x v="19"/>
    <x v="2"/>
    <s v="6EO11TSG2"/>
    <s v="12-AUG-13"/>
    <n v="767"/>
    <n v="2385"/>
    <n v="3152"/>
    <n v="5438"/>
    <n v="3152"/>
    <m/>
    <n v="1"/>
    <n v="0"/>
    <n v="0"/>
  </r>
  <r>
    <x v="132"/>
    <x v="15"/>
    <x v="2"/>
    <s v="6EO28HME"/>
    <s v="20-SEP-13"/>
    <n v="16848"/>
    <n v="2030"/>
    <n v="18878"/>
    <n v="19030"/>
    <n v="18878"/>
    <n v="0"/>
    <n v="0"/>
    <n v="1"/>
    <n v="0"/>
  </r>
  <r>
    <x v="132"/>
    <x v="8"/>
    <x v="2"/>
    <s v="6EP1MNPD"/>
    <s v="29-AUG-13"/>
    <n v="7956"/>
    <n v="1622"/>
    <n v="9578"/>
    <n v="14406"/>
    <n v="9578"/>
    <n v="0"/>
    <n v="1"/>
    <n v="0"/>
    <n v="0"/>
  </r>
  <r>
    <x v="132"/>
    <x v="16"/>
    <x v="2"/>
    <s v="6EYRUWAQ"/>
    <s v="06-MAY-13"/>
    <n v="16562"/>
    <n v="2933"/>
    <n v="19495"/>
    <n v="20521"/>
    <n v="19495"/>
    <m/>
    <n v="0"/>
    <n v="1"/>
    <n v="0"/>
  </r>
  <r>
    <x v="132"/>
    <x v="7"/>
    <x v="2"/>
    <s v="6EXZ82ND"/>
    <s v="10/07/2013"/>
    <n v="5914"/>
    <n v="1023"/>
    <n v="6937"/>
    <n v="7234"/>
    <n v="6937"/>
    <m/>
    <n v="0"/>
    <n v="1"/>
    <n v="0"/>
  </r>
  <r>
    <x v="133"/>
    <x v="41"/>
    <x v="2"/>
    <s v="6ES239MA"/>
    <s v="16-OCT-13"/>
    <n v="4310"/>
    <n v="851"/>
    <n v="5161"/>
    <n v="5042"/>
    <n v="5161"/>
    <n v="0"/>
    <n v="0"/>
    <n v="1"/>
    <n v="0"/>
  </r>
  <r>
    <x v="134"/>
    <x v="16"/>
    <x v="2"/>
    <s v="6EC1TBKI"/>
    <s v="06-DEC-13"/>
    <n v="17326"/>
    <n v="2976"/>
    <n v="20302"/>
    <n v="20521"/>
    <n v="40604"/>
    <n v="0"/>
    <n v="0"/>
    <n v="0"/>
    <n v="1"/>
  </r>
  <r>
    <x v="134"/>
    <x v="16"/>
    <x v="2"/>
    <s v="6EHYNDQN"/>
    <s v="28-FEB-14"/>
    <n v="17534"/>
    <n v="2987"/>
    <n v="20521"/>
    <n v="20521"/>
    <n v="20521"/>
    <e v="#REF!"/>
    <n v="0"/>
    <n v="1"/>
    <n v="0"/>
  </r>
  <r>
    <x v="135"/>
    <x v="21"/>
    <x v="5"/>
    <s v="5894146516099"/>
    <s v="06-SEP-13"/>
    <n v="6590"/>
    <n v="4015"/>
    <n v="10605"/>
    <n v="10605"/>
    <n v="10605"/>
    <n v="0"/>
    <n v="0"/>
    <n v="1"/>
    <n v="0"/>
  </r>
  <r>
    <x v="135"/>
    <x v="21"/>
    <x v="5"/>
    <s v="5894148187161"/>
    <s v="19-10-13"/>
    <n v="7500"/>
    <n v="4065"/>
    <n v="11565"/>
    <n v="10605"/>
    <n v="11565"/>
    <n v="0"/>
    <n v="0"/>
    <n v="1"/>
    <n v="0"/>
  </r>
  <r>
    <x v="135"/>
    <x v="7"/>
    <x v="4"/>
    <s v="775K1GV5Y1"/>
    <s v="13-NOV-13"/>
    <n v="5487"/>
    <n v="3690"/>
    <n v="9177"/>
    <n v="7234"/>
    <n v="9177"/>
    <n v="7577"/>
    <n v="0"/>
    <n v="0"/>
    <n v="1"/>
  </r>
  <r>
    <x v="135"/>
    <x v="71"/>
    <x v="5"/>
    <s v="5894342969621"/>
    <s v="06-02-14"/>
    <n v="12038"/>
    <n v="7701"/>
    <n v="19739"/>
    <n v="19495"/>
    <n v="19739"/>
    <n v="0"/>
    <n v="0"/>
    <n v="1"/>
    <n v="0"/>
  </r>
  <r>
    <x v="136"/>
    <x v="116"/>
    <x v="22"/>
    <s v="7813983481538"/>
    <s v="01/07/2013"/>
    <n v="10597"/>
    <n v="5903"/>
    <n v="16500"/>
    <n v="10655"/>
    <n v="16500"/>
    <m/>
    <n v="0"/>
    <n v="0"/>
    <n v="1"/>
  </r>
  <r>
    <x v="136"/>
    <x v="116"/>
    <x v="22"/>
    <s v="7813983552112"/>
    <s v="05/07/2013"/>
    <n v="3230"/>
    <n v="1580"/>
    <n v="4810"/>
    <n v="10655"/>
    <n v="4810"/>
    <m/>
    <n v="1"/>
    <n v="0"/>
    <n v="0"/>
  </r>
  <r>
    <x v="137"/>
    <x v="9"/>
    <x v="2"/>
    <s v="6ETBP8XN"/>
    <s v="28-FEB-14"/>
    <n v="7880"/>
    <n v="1883"/>
    <n v="9763"/>
    <n v="10597"/>
    <n v="9763"/>
    <e v="#REF!"/>
    <n v="0"/>
    <n v="1"/>
    <n v="0"/>
  </r>
  <r>
    <x v="137"/>
    <x v="12"/>
    <x v="2"/>
    <s v="6EMD7G4E"/>
    <s v="28-FEB-14"/>
    <n v="3665"/>
    <n v="1039"/>
    <n v="4704"/>
    <n v="5519"/>
    <n v="4704"/>
    <e v="#REF!"/>
    <n v="1"/>
    <n v="0"/>
    <n v="0"/>
  </r>
  <r>
    <x v="138"/>
    <x v="117"/>
    <x v="23"/>
    <m/>
    <m/>
    <m/>
    <m/>
    <m/>
    <m/>
    <m/>
    <m/>
    <m/>
    <m/>
    <m/>
  </r>
  <r>
    <x v="138"/>
    <x v="117"/>
    <x v="2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J121" firstHeaderRow="0" firstDataRow="1" firstDataCol="1"/>
  <pivotFields count="22">
    <pivotField showAll="0"/>
    <pivotField showAll="0"/>
    <pivotField showAll="0"/>
    <pivotField showAll="0"/>
    <pivotField showAll="0"/>
    <pivotField axis="axisRow" dataField="1" showAll="0">
      <items count="118">
        <item x="46"/>
        <item x="4"/>
        <item x="23"/>
        <item x="27"/>
        <item x="96"/>
        <item x="51"/>
        <item x="32"/>
        <item x="67"/>
        <item x="37"/>
        <item x="18"/>
        <item x="19"/>
        <item x="6"/>
        <item x="7"/>
        <item x="54"/>
        <item x="55"/>
        <item x="21"/>
        <item x="100"/>
        <item x="24"/>
        <item x="8"/>
        <item x="112"/>
        <item x="50"/>
        <item x="82"/>
        <item x="22"/>
        <item x="56"/>
        <item x="10"/>
        <item x="25"/>
        <item x="35"/>
        <item x="71"/>
        <item x="16"/>
        <item x="12"/>
        <item x="3"/>
        <item x="5"/>
        <item x="48"/>
        <item x="9"/>
        <item x="41"/>
        <item x="42"/>
        <item x="2"/>
        <item x="116"/>
        <item x="73"/>
        <item x="74"/>
        <item x="53"/>
        <item x="64"/>
        <item x="63"/>
        <item x="39"/>
        <item x="28"/>
        <item x="34"/>
        <item x="68"/>
        <item x="62"/>
        <item x="78"/>
        <item x="79"/>
        <item x="92"/>
        <item x="93"/>
        <item x="26"/>
        <item x="106"/>
        <item x="103"/>
        <item x="44"/>
        <item x="110"/>
        <item x="94"/>
        <item x="61"/>
        <item x="58"/>
        <item x="97"/>
        <item x="72"/>
        <item x="70"/>
        <item x="114"/>
        <item x="77"/>
        <item x="83"/>
        <item x="60"/>
        <item x="95"/>
        <item x="81"/>
        <item x="17"/>
        <item x="59"/>
        <item x="91"/>
        <item x="102"/>
        <item x="86"/>
        <item x="99"/>
        <item x="47"/>
        <item x="20"/>
        <item x="40"/>
        <item x="13"/>
        <item x="33"/>
        <item x="85"/>
        <item x="113"/>
        <item x="104"/>
        <item x="105"/>
        <item x="108"/>
        <item x="66"/>
        <item x="65"/>
        <item x="115"/>
        <item x="36"/>
        <item x="43"/>
        <item x="75"/>
        <item x="45"/>
        <item x="38"/>
        <item x="49"/>
        <item x="52"/>
        <item x="84"/>
        <item x="80"/>
        <item x="98"/>
        <item x="76"/>
        <item x="90"/>
        <item x="87"/>
        <item x="31"/>
        <item x="88"/>
        <item x="29"/>
        <item x="11"/>
        <item x="14"/>
        <item x="89"/>
        <item x="107"/>
        <item x="109"/>
        <item x="111"/>
        <item x="101"/>
        <item x="57"/>
        <item x="15"/>
        <item x="69"/>
        <item x="0"/>
        <item x="1"/>
        <item x="30"/>
        <item t="default"/>
      </items>
    </pivotField>
    <pivotField showAll="0"/>
    <pivotField showAll="0"/>
    <pivotField showAll="0"/>
    <pivotField showAll="0"/>
    <pivotField showAll="0"/>
    <pivotField dataField="1" numFmtId="165" showAll="0" defaultSubtotal="0"/>
    <pivotField numFmtId="165" showAll="0" defaultSubtotal="0"/>
    <pivotField showAll="0"/>
    <pivotField showAll="0" defaultSubtotal="0"/>
    <pivotField dataField="1" numFmtId="166" showAll="0" defaultSubtotal="0"/>
    <pivotField dataField="1" numFmtId="166" showAll="0" defaultSubtotal="0"/>
    <pivotField dataField="1" numFmtId="166" showAll="0" defaultSubtotal="0"/>
    <pivotField dataField="1" numFmtId="166" showAll="0" defaultSubtotal="0"/>
    <pivotField dataField="1" numFmtId="166" showAll="0" defaultSubtotal="0"/>
    <pivotField dataField="1" numFmtId="166" showAll="0" defaultSubtotal="0"/>
    <pivotField dataField="1" numFmtId="168" showAll="0" defaultSubtotal="0"/>
  </pivotFields>
  <rowFields count="1">
    <field x="5"/>
  </rowFields>
  <rowItems count="1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Count of Sectors From - To" fld="5" subtotal="count" baseField="0" baseItem="0"/>
    <dataField name="Sum of Gross Total Payable" fld="11" baseField="0" baseItem="0"/>
    <dataField name="Sum of Below Range(C)" fld="15" baseField="0" baseItem="0"/>
    <dataField name="Sum of In _x000a_Range(C)" fld="16" baseField="0" baseItem="0"/>
    <dataField name="Sum of Above Range(C)" fld="17" baseField="0" baseItem="0"/>
    <dataField name="Sum of Below Range(A)" fld="18" baseField="0" baseItem="0"/>
    <dataField name="Sum of In _x000a_Range(A)" fld="19" baseField="0" baseItem="0"/>
    <dataField name="Sum of Above Range(A)" fld="20" baseField="0" baseItem="0"/>
    <dataField name="Sum of Loss" fld="21" baseField="0" baseItem="0"/>
  </dataFields>
  <formats count="19">
    <format dxfId="73">
      <pivotArea collapsedLevelsAreSubtotals="1" fieldPosition="0">
        <references count="1">
          <reference field="5" count="2">
            <x v="11"/>
            <x v="12"/>
          </reference>
        </references>
      </pivotArea>
    </format>
    <format dxfId="72">
      <pivotArea dataOnly="0" labelOnly="1" fieldPosition="0">
        <references count="1">
          <reference field="5" count="2">
            <x v="11"/>
            <x v="12"/>
          </reference>
        </references>
      </pivotArea>
    </format>
    <format dxfId="71">
      <pivotArea collapsedLevelsAreSubtotals="1" fieldPosition="0">
        <references count="1">
          <reference field="5" count="1">
            <x v="15"/>
          </reference>
        </references>
      </pivotArea>
    </format>
    <format dxfId="70">
      <pivotArea dataOnly="0" labelOnly="1" fieldPosition="0">
        <references count="1">
          <reference field="5" count="1">
            <x v="15"/>
          </reference>
        </references>
      </pivotArea>
    </format>
    <format dxfId="69">
      <pivotArea collapsedLevelsAreSubtotals="1" fieldPosition="0">
        <references count="1">
          <reference field="5" count="2">
            <x v="17"/>
            <x v="18"/>
          </reference>
        </references>
      </pivotArea>
    </format>
    <format dxfId="68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67">
      <pivotArea collapsedLevelsAreSubtotals="1" fieldPosition="0">
        <references count="1">
          <reference field="5" count="2">
            <x v="11"/>
            <x v="12"/>
          </reference>
        </references>
      </pivotArea>
    </format>
    <format dxfId="66">
      <pivotArea dataOnly="0" labelOnly="1" fieldPosition="0">
        <references count="1">
          <reference field="5" count="2">
            <x v="11"/>
            <x v="12"/>
          </reference>
        </references>
      </pivotArea>
    </format>
    <format dxfId="65">
      <pivotArea collapsedLevelsAreSubtotals="1" fieldPosition="0">
        <references count="1">
          <reference field="5" count="1">
            <x v="15"/>
          </reference>
        </references>
      </pivotArea>
    </format>
    <format dxfId="64">
      <pivotArea dataOnly="0" labelOnly="1" fieldPosition="0">
        <references count="1">
          <reference field="5" count="1">
            <x v="15"/>
          </reference>
        </references>
      </pivotArea>
    </format>
    <format dxfId="63">
      <pivotArea dataOnly="0" fieldPosition="0">
        <references count="1">
          <reference field="5" count="2">
            <x v="17"/>
            <x v="18"/>
          </reference>
        </references>
      </pivotArea>
    </format>
    <format dxfId="62">
      <pivotArea collapsedLevelsAreSubtotals="1" fieldPosition="0">
        <references count="1">
          <reference field="5" count="1">
            <x v="22"/>
          </reference>
        </references>
      </pivotArea>
    </format>
    <format dxfId="61">
      <pivotArea dataOnly="0" labelOnly="1" fieldPosition="0">
        <references count="1">
          <reference field="5" count="1">
            <x v="22"/>
          </reference>
        </references>
      </pivotArea>
    </format>
    <format dxfId="60">
      <pivotArea collapsedLevelsAreSubtotals="1" fieldPosition="0">
        <references count="1">
          <reference field="5" count="1">
            <x v="25"/>
          </reference>
        </references>
      </pivotArea>
    </format>
    <format dxfId="59">
      <pivotArea dataOnly="0" labelOnly="1" fieldPosition="0">
        <references count="1">
          <reference field="5" count="1">
            <x v="25"/>
          </reference>
        </references>
      </pivotArea>
    </format>
    <format dxfId="58">
      <pivotArea collapsedLevelsAreSubtotals="1" fieldPosition="0">
        <references count="1">
          <reference field="5" count="2">
            <x v="9"/>
            <x v="10"/>
          </reference>
        </references>
      </pivotArea>
    </format>
    <format dxfId="57">
      <pivotArea dataOnly="0" labelOnly="1" fieldPosition="0">
        <references count="1">
          <reference field="5" count="2">
            <x v="9"/>
            <x v="10"/>
          </reference>
        </references>
      </pivotArea>
    </format>
    <format dxfId="56">
      <pivotArea collapsedLevelsAreSubtotals="1" fieldPosition="0">
        <references count="1">
          <reference field="5" count="1">
            <x v="33"/>
          </reference>
        </references>
      </pivotArea>
    </format>
    <format dxfId="55">
      <pivotArea dataOnly="0" labelOnly="1" fieldPosition="0">
        <references count="1">
          <reference field="5" count="1">
            <x v="3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MT145" firstHeaderRow="1" firstDataRow="3" firstDataCol="1"/>
  <pivotFields count="14">
    <pivotField axis="axisRow" showAll="0">
      <items count="257">
        <item x="0"/>
        <item x="1"/>
        <item x="2"/>
        <item x="3"/>
        <item m="1" x="163"/>
        <item m="1" x="183"/>
        <item m="1" x="191"/>
        <item m="1" x="244"/>
        <item m="1" x="182"/>
        <item m="1" x="247"/>
        <item m="1" x="146"/>
        <item x="7"/>
        <item m="1" x="204"/>
        <item x="8"/>
        <item x="9"/>
        <item x="10"/>
        <item x="11"/>
        <item m="1" x="141"/>
        <item m="1" x="184"/>
        <item x="13"/>
        <item x="14"/>
        <item x="15"/>
        <item m="1" x="201"/>
        <item m="1" x="215"/>
        <item m="1" x="231"/>
        <item x="17"/>
        <item m="1" x="225"/>
        <item m="1" x="192"/>
        <item m="1" x="174"/>
        <item m="1" x="199"/>
        <item m="1" x="213"/>
        <item x="20"/>
        <item x="21"/>
        <item x="22"/>
        <item m="1" x="190"/>
        <item m="1" x="162"/>
        <item m="1" x="202"/>
        <item m="1" x="245"/>
        <item m="1" x="179"/>
        <item m="1" x="180"/>
        <item m="1" x="176"/>
        <item m="1" x="216"/>
        <item x="26"/>
        <item m="1" x="149"/>
        <item m="1" x="226"/>
        <item m="1" x="153"/>
        <item x="28"/>
        <item m="1" x="249"/>
        <item x="29"/>
        <item m="1" x="234"/>
        <item m="1" x="166"/>
        <item m="1" x="209"/>
        <item x="32"/>
        <item x="33"/>
        <item x="34"/>
        <item x="35"/>
        <item m="1" x="167"/>
        <item m="1" x="145"/>
        <item m="1" x="255"/>
        <item m="1" x="222"/>
        <item m="1" x="171"/>
        <item m="1" x="227"/>
        <item x="38"/>
        <item m="1" x="195"/>
        <item m="1" x="241"/>
        <item m="1" x="200"/>
        <item m="1" x="232"/>
        <item x="41"/>
        <item x="42"/>
        <item m="1" x="188"/>
        <item m="1" x="243"/>
        <item m="1" x="207"/>
        <item m="1" x="221"/>
        <item m="1" x="159"/>
        <item x="44"/>
        <item m="1" x="150"/>
        <item x="45"/>
        <item x="46"/>
        <item m="1" x="187"/>
        <item m="1" x="169"/>
        <item m="1" x="230"/>
        <item m="1" x="158"/>
        <item x="48"/>
        <item x="49"/>
        <item m="1" x="198"/>
        <item m="1" x="240"/>
        <item m="1" x="218"/>
        <item m="1" x="148"/>
        <item x="50"/>
        <item m="1" x="157"/>
        <item x="51"/>
        <item x="52"/>
        <item m="1" x="217"/>
        <item m="1" x="214"/>
        <item x="54"/>
        <item x="55"/>
        <item x="56"/>
        <item x="57"/>
        <item x="58"/>
        <item x="59"/>
        <item x="60"/>
        <item x="61"/>
        <item m="1" x="219"/>
        <item x="62"/>
        <item x="63"/>
        <item x="64"/>
        <item x="65"/>
        <item x="66"/>
        <item x="67"/>
        <item x="68"/>
        <item m="1" x="250"/>
        <item x="69"/>
        <item m="1" x="253"/>
        <item x="70"/>
        <item x="71"/>
        <item x="72"/>
        <item x="73"/>
        <item m="1" x="203"/>
        <item m="1" x="175"/>
        <item m="1" x="170"/>
        <item x="75"/>
        <item m="1" x="165"/>
        <item m="1" x="239"/>
        <item x="76"/>
        <item x="77"/>
        <item x="78"/>
        <item x="79"/>
        <item x="80"/>
        <item x="81"/>
        <item x="82"/>
        <item m="1" x="144"/>
        <item m="1" x="233"/>
        <item m="1" x="160"/>
        <item x="83"/>
        <item m="1" x="168"/>
        <item m="1" x="172"/>
        <item x="84"/>
        <item x="85"/>
        <item x="86"/>
        <item m="1" x="252"/>
        <item x="87"/>
        <item m="1" x="235"/>
        <item m="1" x="173"/>
        <item x="88"/>
        <item x="89"/>
        <item x="90"/>
        <item x="91"/>
        <item m="1" x="237"/>
        <item m="1" x="236"/>
        <item x="92"/>
        <item x="93"/>
        <item m="1" x="205"/>
        <item m="1" x="147"/>
        <item x="94"/>
        <item m="1" x="142"/>
        <item m="1" x="185"/>
        <item x="95"/>
        <item x="96"/>
        <item x="97"/>
        <item x="98"/>
        <item x="99"/>
        <item x="100"/>
        <item m="1" x="251"/>
        <item x="101"/>
        <item m="1" x="151"/>
        <item x="102"/>
        <item m="1" x="161"/>
        <item m="1" x="154"/>
        <item x="103"/>
        <item x="104"/>
        <item m="1" x="181"/>
        <item x="105"/>
        <item x="106"/>
        <item m="1" x="220"/>
        <item x="107"/>
        <item m="1" x="177"/>
        <item m="1" x="238"/>
        <item x="108"/>
        <item x="109"/>
        <item x="110"/>
        <item m="1" x="246"/>
        <item m="1" x="155"/>
        <item m="1" x="156"/>
        <item x="111"/>
        <item m="1" x="197"/>
        <item x="112"/>
        <item x="113"/>
        <item m="1" x="164"/>
        <item m="1" x="211"/>
        <item m="1" x="228"/>
        <item m="1" x="212"/>
        <item m="1" x="210"/>
        <item m="1" x="242"/>
        <item x="114"/>
        <item m="1" x="194"/>
        <item m="1" x="140"/>
        <item x="117"/>
        <item x="118"/>
        <item m="1" x="193"/>
        <item m="1" x="208"/>
        <item m="1" x="152"/>
        <item m="1" x="178"/>
        <item m="1" x="196"/>
        <item m="1" x="189"/>
        <item m="1" x="143"/>
        <item m="1" x="248"/>
        <item x="121"/>
        <item x="122"/>
        <item x="123"/>
        <item x="124"/>
        <item x="125"/>
        <item x="126"/>
        <item m="1" x="139"/>
        <item m="1" x="223"/>
        <item x="127"/>
        <item x="128"/>
        <item x="129"/>
        <item x="130"/>
        <item m="1" x="206"/>
        <item x="131"/>
        <item x="132"/>
        <item x="133"/>
        <item x="134"/>
        <item m="1" x="254"/>
        <item x="135"/>
        <item m="1" x="186"/>
        <item m="1" x="229"/>
        <item m="1" x="224"/>
        <item x="136"/>
        <item x="137"/>
        <item x="138"/>
        <item x="5"/>
        <item x="4"/>
        <item x="12"/>
        <item x="6"/>
        <item x="16"/>
        <item x="19"/>
        <item x="18"/>
        <item x="27"/>
        <item x="119"/>
        <item x="23"/>
        <item x="25"/>
        <item x="24"/>
        <item x="30"/>
        <item x="40"/>
        <item x="39"/>
        <item x="37"/>
        <item x="36"/>
        <item x="43"/>
        <item x="120"/>
        <item x="115"/>
        <item x="116"/>
        <item x="31"/>
        <item x="47"/>
        <item x="53"/>
        <item x="74"/>
        <item t="default"/>
      </items>
    </pivotField>
    <pivotField axis="axisCol" showAll="0">
      <items count="119">
        <item x="28"/>
        <item x="112"/>
        <item x="63"/>
        <item x="39"/>
        <item x="15"/>
        <item x="85"/>
        <item x="6"/>
        <item x="8"/>
        <item x="20"/>
        <item x="36"/>
        <item x="95"/>
        <item x="38"/>
        <item x="2"/>
        <item x="58"/>
        <item x="3"/>
        <item x="21"/>
        <item x="16"/>
        <item x="65"/>
        <item x="98"/>
        <item x="91"/>
        <item x="77"/>
        <item x="43"/>
        <item x="17"/>
        <item x="18"/>
        <item x="9"/>
        <item x="69"/>
        <item x="82"/>
        <item x="33"/>
        <item x="61"/>
        <item x="113"/>
        <item x="29"/>
        <item x="40"/>
        <item x="41"/>
        <item x="97"/>
        <item x="86"/>
        <item x="54"/>
        <item x="49"/>
        <item x="34"/>
        <item x="68"/>
        <item x="0"/>
        <item x="50"/>
        <item x="7"/>
        <item x="35"/>
        <item x="92"/>
        <item x="22"/>
        <item x="44"/>
        <item x="45"/>
        <item x="10"/>
        <item x="87"/>
        <item x="90"/>
        <item x="103"/>
        <item x="104"/>
        <item x="105"/>
        <item x="46"/>
        <item x="4"/>
        <item x="5"/>
        <item x="62"/>
        <item x="47"/>
        <item x="93"/>
        <item x="1"/>
        <item x="23"/>
        <item x="27"/>
        <item x="30"/>
        <item x="24"/>
        <item x="71"/>
        <item x="25"/>
        <item x="106"/>
        <item x="56"/>
        <item x="89"/>
        <item x="99"/>
        <item x="107"/>
        <item x="108"/>
        <item x="64"/>
        <item x="88"/>
        <item x="66"/>
        <item x="78"/>
        <item x="83"/>
        <item x="72"/>
        <item x="81"/>
        <item x="48"/>
        <item x="11"/>
        <item x="19"/>
        <item x="53"/>
        <item x="12"/>
        <item x="26"/>
        <item x="13"/>
        <item x="75"/>
        <item x="14"/>
        <item x="115"/>
        <item x="116"/>
        <item x="70"/>
        <item x="100"/>
        <item x="114"/>
        <item x="101"/>
        <item x="109"/>
        <item x="31"/>
        <item x="110"/>
        <item x="42"/>
        <item x="57"/>
        <item x="102"/>
        <item x="96"/>
        <item x="51"/>
        <item x="94"/>
        <item x="76"/>
        <item x="59"/>
        <item x="55"/>
        <item x="52"/>
        <item x="32"/>
        <item x="67"/>
        <item x="37"/>
        <item x="73"/>
        <item x="60"/>
        <item x="74"/>
        <item x="79"/>
        <item x="111"/>
        <item x="84"/>
        <item x="80"/>
        <item x="117"/>
        <item t="default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140">
    <i>
      <x/>
    </i>
    <i>
      <x v="1"/>
    </i>
    <i>
      <x v="2"/>
    </i>
    <i>
      <x v="3"/>
    </i>
    <i>
      <x v="11"/>
    </i>
    <i>
      <x v="13"/>
    </i>
    <i>
      <x v="14"/>
    </i>
    <i>
      <x v="15"/>
    </i>
    <i>
      <x v="16"/>
    </i>
    <i>
      <x v="19"/>
    </i>
    <i>
      <x v="20"/>
    </i>
    <i>
      <x v="21"/>
    </i>
    <i>
      <x v="25"/>
    </i>
    <i>
      <x v="31"/>
    </i>
    <i>
      <x v="32"/>
    </i>
    <i>
      <x v="33"/>
    </i>
    <i>
      <x v="42"/>
    </i>
    <i>
      <x v="46"/>
    </i>
    <i>
      <x v="48"/>
    </i>
    <i>
      <x v="52"/>
    </i>
    <i>
      <x v="53"/>
    </i>
    <i>
      <x v="54"/>
    </i>
    <i>
      <x v="55"/>
    </i>
    <i>
      <x v="62"/>
    </i>
    <i>
      <x v="67"/>
    </i>
    <i>
      <x v="68"/>
    </i>
    <i>
      <x v="74"/>
    </i>
    <i>
      <x v="76"/>
    </i>
    <i>
      <x v="77"/>
    </i>
    <i>
      <x v="82"/>
    </i>
    <i>
      <x v="83"/>
    </i>
    <i>
      <x v="88"/>
    </i>
    <i>
      <x v="90"/>
    </i>
    <i>
      <x v="91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3"/>
    </i>
    <i>
      <x v="114"/>
    </i>
    <i>
      <x v="115"/>
    </i>
    <i>
      <x v="116"/>
    </i>
    <i>
      <x v="120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3"/>
    </i>
    <i>
      <x v="136"/>
    </i>
    <i>
      <x v="137"/>
    </i>
    <i>
      <x v="138"/>
    </i>
    <i>
      <x v="140"/>
    </i>
    <i>
      <x v="143"/>
    </i>
    <i>
      <x v="144"/>
    </i>
    <i>
      <x v="145"/>
    </i>
    <i>
      <x v="146"/>
    </i>
    <i>
      <x v="149"/>
    </i>
    <i>
      <x v="150"/>
    </i>
    <i>
      <x v="153"/>
    </i>
    <i>
      <x v="156"/>
    </i>
    <i>
      <x v="157"/>
    </i>
    <i>
      <x v="158"/>
    </i>
    <i>
      <x v="159"/>
    </i>
    <i>
      <x v="160"/>
    </i>
    <i>
      <x v="161"/>
    </i>
    <i>
      <x v="163"/>
    </i>
    <i>
      <x v="165"/>
    </i>
    <i>
      <x v="168"/>
    </i>
    <i>
      <x v="169"/>
    </i>
    <i>
      <x v="171"/>
    </i>
    <i>
      <x v="172"/>
    </i>
    <i>
      <x v="174"/>
    </i>
    <i>
      <x v="177"/>
    </i>
    <i>
      <x v="178"/>
    </i>
    <i>
      <x v="179"/>
    </i>
    <i>
      <x v="183"/>
    </i>
    <i>
      <x v="185"/>
    </i>
    <i>
      <x v="186"/>
    </i>
    <i>
      <x v="193"/>
    </i>
    <i>
      <x v="196"/>
    </i>
    <i>
      <x v="197"/>
    </i>
    <i>
      <x v="206"/>
    </i>
    <i>
      <x v="207"/>
    </i>
    <i>
      <x v="208"/>
    </i>
    <i>
      <x v="209"/>
    </i>
    <i>
      <x v="210"/>
    </i>
    <i>
      <x v="211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4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 t="grand">
      <x/>
    </i>
  </rowItems>
  <colFields count="2">
    <field x="1"/>
    <field x="-2"/>
  </colFields>
  <colItems count="357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  <i>
      <x v="5"/>
      <x/>
    </i>
    <i r="1" i="1">
      <x v="1"/>
    </i>
    <i r="1" i="2">
      <x v="2"/>
    </i>
    <i>
      <x v="6"/>
      <x/>
    </i>
    <i r="1" i="1">
      <x v="1"/>
    </i>
    <i r="1" i="2">
      <x v="2"/>
    </i>
    <i>
      <x v="7"/>
      <x/>
    </i>
    <i r="1" i="1">
      <x v="1"/>
    </i>
    <i r="1" i="2">
      <x v="2"/>
    </i>
    <i>
      <x v="8"/>
      <x/>
    </i>
    <i r="1" i="1">
      <x v="1"/>
    </i>
    <i r="1" i="2">
      <x v="2"/>
    </i>
    <i>
      <x v="9"/>
      <x/>
    </i>
    <i r="1" i="1">
      <x v="1"/>
    </i>
    <i r="1" i="2">
      <x v="2"/>
    </i>
    <i>
      <x v="10"/>
      <x/>
    </i>
    <i r="1" i="1">
      <x v="1"/>
    </i>
    <i r="1" i="2">
      <x v="2"/>
    </i>
    <i>
      <x v="11"/>
      <x/>
    </i>
    <i r="1" i="1">
      <x v="1"/>
    </i>
    <i r="1" i="2">
      <x v="2"/>
    </i>
    <i>
      <x v="12"/>
      <x/>
    </i>
    <i r="1" i="1">
      <x v="1"/>
    </i>
    <i r="1" i="2">
      <x v="2"/>
    </i>
    <i>
      <x v="13"/>
      <x/>
    </i>
    <i r="1" i="1">
      <x v="1"/>
    </i>
    <i r="1" i="2">
      <x v="2"/>
    </i>
    <i>
      <x v="14"/>
      <x/>
    </i>
    <i r="1" i="1">
      <x v="1"/>
    </i>
    <i r="1" i="2">
      <x v="2"/>
    </i>
    <i>
      <x v="15"/>
      <x/>
    </i>
    <i r="1" i="1">
      <x v="1"/>
    </i>
    <i r="1" i="2">
      <x v="2"/>
    </i>
    <i>
      <x v="16"/>
      <x/>
    </i>
    <i r="1" i="1">
      <x v="1"/>
    </i>
    <i r="1" i="2">
      <x v="2"/>
    </i>
    <i>
      <x v="17"/>
      <x/>
    </i>
    <i r="1" i="1">
      <x v="1"/>
    </i>
    <i r="1" i="2">
      <x v="2"/>
    </i>
    <i>
      <x v="18"/>
      <x/>
    </i>
    <i r="1" i="1">
      <x v="1"/>
    </i>
    <i r="1" i="2">
      <x v="2"/>
    </i>
    <i>
      <x v="19"/>
      <x/>
    </i>
    <i r="1" i="1">
      <x v="1"/>
    </i>
    <i r="1" i="2">
      <x v="2"/>
    </i>
    <i>
      <x v="20"/>
      <x/>
    </i>
    <i r="1" i="1">
      <x v="1"/>
    </i>
    <i r="1" i="2">
      <x v="2"/>
    </i>
    <i>
      <x v="21"/>
      <x/>
    </i>
    <i r="1" i="1">
      <x v="1"/>
    </i>
    <i r="1" i="2">
      <x v="2"/>
    </i>
    <i>
      <x v="22"/>
      <x/>
    </i>
    <i r="1" i="1">
      <x v="1"/>
    </i>
    <i r="1" i="2">
      <x v="2"/>
    </i>
    <i>
      <x v="23"/>
      <x/>
    </i>
    <i r="1" i="1">
      <x v="1"/>
    </i>
    <i r="1" i="2">
      <x v="2"/>
    </i>
    <i>
      <x v="24"/>
      <x/>
    </i>
    <i r="1" i="1">
      <x v="1"/>
    </i>
    <i r="1" i="2">
      <x v="2"/>
    </i>
    <i>
      <x v="25"/>
      <x/>
    </i>
    <i r="1" i="1">
      <x v="1"/>
    </i>
    <i r="1" i="2">
      <x v="2"/>
    </i>
    <i>
      <x v="26"/>
      <x/>
    </i>
    <i r="1" i="1">
      <x v="1"/>
    </i>
    <i r="1" i="2">
      <x v="2"/>
    </i>
    <i>
      <x v="27"/>
      <x/>
    </i>
    <i r="1" i="1">
      <x v="1"/>
    </i>
    <i r="1" i="2">
      <x v="2"/>
    </i>
    <i>
      <x v="28"/>
      <x/>
    </i>
    <i r="1" i="1">
      <x v="1"/>
    </i>
    <i r="1" i="2">
      <x v="2"/>
    </i>
    <i>
      <x v="29"/>
      <x/>
    </i>
    <i r="1" i="1">
      <x v="1"/>
    </i>
    <i r="1" i="2">
      <x v="2"/>
    </i>
    <i>
      <x v="30"/>
      <x/>
    </i>
    <i r="1" i="1">
      <x v="1"/>
    </i>
    <i r="1" i="2">
      <x v="2"/>
    </i>
    <i>
      <x v="31"/>
      <x/>
    </i>
    <i r="1" i="1">
      <x v="1"/>
    </i>
    <i r="1" i="2">
      <x v="2"/>
    </i>
    <i>
      <x v="32"/>
      <x/>
    </i>
    <i r="1" i="1">
      <x v="1"/>
    </i>
    <i r="1" i="2">
      <x v="2"/>
    </i>
    <i>
      <x v="33"/>
      <x/>
    </i>
    <i r="1" i="1">
      <x v="1"/>
    </i>
    <i r="1" i="2">
      <x v="2"/>
    </i>
    <i>
      <x v="34"/>
      <x/>
    </i>
    <i r="1" i="1">
      <x v="1"/>
    </i>
    <i r="1" i="2">
      <x v="2"/>
    </i>
    <i>
      <x v="35"/>
      <x/>
    </i>
    <i r="1" i="1">
      <x v="1"/>
    </i>
    <i r="1" i="2">
      <x v="2"/>
    </i>
    <i>
      <x v="36"/>
      <x/>
    </i>
    <i r="1" i="1">
      <x v="1"/>
    </i>
    <i r="1" i="2">
      <x v="2"/>
    </i>
    <i>
      <x v="37"/>
      <x/>
    </i>
    <i r="1" i="1">
      <x v="1"/>
    </i>
    <i r="1" i="2">
      <x v="2"/>
    </i>
    <i>
      <x v="38"/>
      <x/>
    </i>
    <i r="1" i="1">
      <x v="1"/>
    </i>
    <i r="1" i="2">
      <x v="2"/>
    </i>
    <i>
      <x v="39"/>
      <x/>
    </i>
    <i r="1" i="1">
      <x v="1"/>
    </i>
    <i r="1" i="2">
      <x v="2"/>
    </i>
    <i>
      <x v="40"/>
      <x/>
    </i>
    <i r="1" i="1">
      <x v="1"/>
    </i>
    <i r="1" i="2">
      <x v="2"/>
    </i>
    <i>
      <x v="41"/>
      <x/>
    </i>
    <i r="1" i="1">
      <x v="1"/>
    </i>
    <i r="1" i="2">
      <x v="2"/>
    </i>
    <i>
      <x v="42"/>
      <x/>
    </i>
    <i r="1" i="1">
      <x v="1"/>
    </i>
    <i r="1" i="2">
      <x v="2"/>
    </i>
    <i>
      <x v="43"/>
      <x/>
    </i>
    <i r="1" i="1">
      <x v="1"/>
    </i>
    <i r="1" i="2">
      <x v="2"/>
    </i>
    <i>
      <x v="44"/>
      <x/>
    </i>
    <i r="1" i="1">
      <x v="1"/>
    </i>
    <i r="1" i="2">
      <x v="2"/>
    </i>
    <i>
      <x v="45"/>
      <x/>
    </i>
    <i r="1" i="1">
      <x v="1"/>
    </i>
    <i r="1" i="2">
      <x v="2"/>
    </i>
    <i>
      <x v="46"/>
      <x/>
    </i>
    <i r="1" i="1">
      <x v="1"/>
    </i>
    <i r="1" i="2">
      <x v="2"/>
    </i>
    <i>
      <x v="47"/>
      <x/>
    </i>
    <i r="1" i="1">
      <x v="1"/>
    </i>
    <i r="1" i="2">
      <x v="2"/>
    </i>
    <i>
      <x v="48"/>
      <x/>
    </i>
    <i r="1" i="1">
      <x v="1"/>
    </i>
    <i r="1" i="2">
      <x v="2"/>
    </i>
    <i>
      <x v="49"/>
      <x/>
    </i>
    <i r="1" i="1">
      <x v="1"/>
    </i>
    <i r="1" i="2">
      <x v="2"/>
    </i>
    <i>
      <x v="50"/>
      <x/>
    </i>
    <i r="1" i="1">
      <x v="1"/>
    </i>
    <i r="1" i="2">
      <x v="2"/>
    </i>
    <i>
      <x v="51"/>
      <x/>
    </i>
    <i r="1" i="1">
      <x v="1"/>
    </i>
    <i r="1" i="2">
      <x v="2"/>
    </i>
    <i>
      <x v="52"/>
      <x/>
    </i>
    <i r="1" i="1">
      <x v="1"/>
    </i>
    <i r="1" i="2">
      <x v="2"/>
    </i>
    <i>
      <x v="53"/>
      <x/>
    </i>
    <i r="1" i="1">
      <x v="1"/>
    </i>
    <i r="1" i="2">
      <x v="2"/>
    </i>
    <i>
      <x v="54"/>
      <x/>
    </i>
    <i r="1" i="1">
      <x v="1"/>
    </i>
    <i r="1" i="2">
      <x v="2"/>
    </i>
    <i>
      <x v="55"/>
      <x/>
    </i>
    <i r="1" i="1">
      <x v="1"/>
    </i>
    <i r="1" i="2">
      <x v="2"/>
    </i>
    <i>
      <x v="56"/>
      <x/>
    </i>
    <i r="1" i="1">
      <x v="1"/>
    </i>
    <i r="1" i="2">
      <x v="2"/>
    </i>
    <i>
      <x v="57"/>
      <x/>
    </i>
    <i r="1" i="1">
      <x v="1"/>
    </i>
    <i r="1" i="2">
      <x v="2"/>
    </i>
    <i>
      <x v="58"/>
      <x/>
    </i>
    <i r="1" i="1">
      <x v="1"/>
    </i>
    <i r="1" i="2">
      <x v="2"/>
    </i>
    <i>
      <x v="59"/>
      <x/>
    </i>
    <i r="1" i="1">
      <x v="1"/>
    </i>
    <i r="1" i="2">
      <x v="2"/>
    </i>
    <i>
      <x v="60"/>
      <x/>
    </i>
    <i r="1" i="1">
      <x v="1"/>
    </i>
    <i r="1" i="2">
      <x v="2"/>
    </i>
    <i>
      <x v="61"/>
      <x/>
    </i>
    <i r="1" i="1">
      <x v="1"/>
    </i>
    <i r="1" i="2">
      <x v="2"/>
    </i>
    <i>
      <x v="62"/>
      <x/>
    </i>
    <i r="1" i="1">
      <x v="1"/>
    </i>
    <i r="1" i="2">
      <x v="2"/>
    </i>
    <i>
      <x v="63"/>
      <x/>
    </i>
    <i r="1" i="1">
      <x v="1"/>
    </i>
    <i r="1" i="2">
      <x v="2"/>
    </i>
    <i>
      <x v="64"/>
      <x/>
    </i>
    <i r="1" i="1">
      <x v="1"/>
    </i>
    <i r="1" i="2">
      <x v="2"/>
    </i>
    <i>
      <x v="65"/>
      <x/>
    </i>
    <i r="1" i="1">
      <x v="1"/>
    </i>
    <i r="1" i="2">
      <x v="2"/>
    </i>
    <i>
      <x v="66"/>
      <x/>
    </i>
    <i r="1" i="1">
      <x v="1"/>
    </i>
    <i r="1" i="2">
      <x v="2"/>
    </i>
    <i>
      <x v="67"/>
      <x/>
    </i>
    <i r="1" i="1">
      <x v="1"/>
    </i>
    <i r="1" i="2">
      <x v="2"/>
    </i>
    <i>
      <x v="68"/>
      <x/>
    </i>
    <i r="1" i="1">
      <x v="1"/>
    </i>
    <i r="1" i="2">
      <x v="2"/>
    </i>
    <i>
      <x v="69"/>
      <x/>
    </i>
    <i r="1" i="1">
      <x v="1"/>
    </i>
    <i r="1" i="2">
      <x v="2"/>
    </i>
    <i>
      <x v="70"/>
      <x/>
    </i>
    <i r="1" i="1">
      <x v="1"/>
    </i>
    <i r="1" i="2">
      <x v="2"/>
    </i>
    <i>
      <x v="71"/>
      <x/>
    </i>
    <i r="1" i="1">
      <x v="1"/>
    </i>
    <i r="1" i="2">
      <x v="2"/>
    </i>
    <i>
      <x v="72"/>
      <x/>
    </i>
    <i r="1" i="1">
      <x v="1"/>
    </i>
    <i r="1" i="2">
      <x v="2"/>
    </i>
    <i>
      <x v="73"/>
      <x/>
    </i>
    <i r="1" i="1">
      <x v="1"/>
    </i>
    <i r="1" i="2">
      <x v="2"/>
    </i>
    <i>
      <x v="74"/>
      <x/>
    </i>
    <i r="1" i="1">
      <x v="1"/>
    </i>
    <i r="1" i="2">
      <x v="2"/>
    </i>
    <i>
      <x v="75"/>
      <x/>
    </i>
    <i r="1" i="1">
      <x v="1"/>
    </i>
    <i r="1" i="2">
      <x v="2"/>
    </i>
    <i>
      <x v="76"/>
      <x/>
    </i>
    <i r="1" i="1">
      <x v="1"/>
    </i>
    <i r="1" i="2">
      <x v="2"/>
    </i>
    <i>
      <x v="77"/>
      <x/>
    </i>
    <i r="1" i="1">
      <x v="1"/>
    </i>
    <i r="1" i="2">
      <x v="2"/>
    </i>
    <i>
      <x v="78"/>
      <x/>
    </i>
    <i r="1" i="1">
      <x v="1"/>
    </i>
    <i r="1" i="2">
      <x v="2"/>
    </i>
    <i>
      <x v="79"/>
      <x/>
    </i>
    <i r="1" i="1">
      <x v="1"/>
    </i>
    <i r="1" i="2">
      <x v="2"/>
    </i>
    <i>
      <x v="80"/>
      <x/>
    </i>
    <i r="1" i="1">
      <x v="1"/>
    </i>
    <i r="1" i="2">
      <x v="2"/>
    </i>
    <i>
      <x v="81"/>
      <x/>
    </i>
    <i r="1" i="1">
      <x v="1"/>
    </i>
    <i r="1" i="2">
      <x v="2"/>
    </i>
    <i>
      <x v="82"/>
      <x/>
    </i>
    <i r="1" i="1">
      <x v="1"/>
    </i>
    <i r="1" i="2">
      <x v="2"/>
    </i>
    <i>
      <x v="83"/>
      <x/>
    </i>
    <i r="1" i="1">
      <x v="1"/>
    </i>
    <i r="1" i="2">
      <x v="2"/>
    </i>
    <i>
      <x v="84"/>
      <x/>
    </i>
    <i r="1" i="1">
      <x v="1"/>
    </i>
    <i r="1" i="2">
      <x v="2"/>
    </i>
    <i>
      <x v="85"/>
      <x/>
    </i>
    <i r="1" i="1">
      <x v="1"/>
    </i>
    <i r="1" i="2">
      <x v="2"/>
    </i>
    <i>
      <x v="86"/>
      <x/>
    </i>
    <i r="1" i="1">
      <x v="1"/>
    </i>
    <i r="1" i="2">
      <x v="2"/>
    </i>
    <i>
      <x v="87"/>
      <x/>
    </i>
    <i r="1" i="1">
      <x v="1"/>
    </i>
    <i r="1" i="2">
      <x v="2"/>
    </i>
    <i>
      <x v="88"/>
      <x/>
    </i>
    <i r="1" i="1">
      <x v="1"/>
    </i>
    <i r="1" i="2">
      <x v="2"/>
    </i>
    <i>
      <x v="89"/>
      <x/>
    </i>
    <i r="1" i="1">
      <x v="1"/>
    </i>
    <i r="1" i="2">
      <x v="2"/>
    </i>
    <i>
      <x v="90"/>
      <x/>
    </i>
    <i r="1" i="1">
      <x v="1"/>
    </i>
    <i r="1" i="2">
      <x v="2"/>
    </i>
    <i>
      <x v="91"/>
      <x/>
    </i>
    <i r="1" i="1">
      <x v="1"/>
    </i>
    <i r="1" i="2">
      <x v="2"/>
    </i>
    <i>
      <x v="92"/>
      <x/>
    </i>
    <i r="1" i="1">
      <x v="1"/>
    </i>
    <i r="1" i="2">
      <x v="2"/>
    </i>
    <i>
      <x v="93"/>
      <x/>
    </i>
    <i r="1" i="1">
      <x v="1"/>
    </i>
    <i r="1" i="2">
      <x v="2"/>
    </i>
    <i>
      <x v="94"/>
      <x/>
    </i>
    <i r="1" i="1">
      <x v="1"/>
    </i>
    <i r="1" i="2">
      <x v="2"/>
    </i>
    <i>
      <x v="95"/>
      <x/>
    </i>
    <i r="1" i="1">
      <x v="1"/>
    </i>
    <i r="1" i="2">
      <x v="2"/>
    </i>
    <i>
      <x v="96"/>
      <x/>
    </i>
    <i r="1" i="1">
      <x v="1"/>
    </i>
    <i r="1" i="2">
      <x v="2"/>
    </i>
    <i>
      <x v="97"/>
      <x/>
    </i>
    <i r="1" i="1">
      <x v="1"/>
    </i>
    <i r="1" i="2">
      <x v="2"/>
    </i>
    <i>
      <x v="98"/>
      <x/>
    </i>
    <i r="1" i="1">
      <x v="1"/>
    </i>
    <i r="1" i="2">
      <x v="2"/>
    </i>
    <i>
      <x v="99"/>
      <x/>
    </i>
    <i r="1" i="1">
      <x v="1"/>
    </i>
    <i r="1" i="2">
      <x v="2"/>
    </i>
    <i>
      <x v="100"/>
      <x/>
    </i>
    <i r="1" i="1">
      <x v="1"/>
    </i>
    <i r="1" i="2">
      <x v="2"/>
    </i>
    <i>
      <x v="101"/>
      <x/>
    </i>
    <i r="1" i="1">
      <x v="1"/>
    </i>
    <i r="1" i="2">
      <x v="2"/>
    </i>
    <i>
      <x v="102"/>
      <x/>
    </i>
    <i r="1" i="1">
      <x v="1"/>
    </i>
    <i r="1" i="2">
      <x v="2"/>
    </i>
    <i>
      <x v="103"/>
      <x/>
    </i>
    <i r="1" i="1">
      <x v="1"/>
    </i>
    <i r="1" i="2">
      <x v="2"/>
    </i>
    <i>
      <x v="104"/>
      <x/>
    </i>
    <i r="1" i="1">
      <x v="1"/>
    </i>
    <i r="1" i="2">
      <x v="2"/>
    </i>
    <i>
      <x v="105"/>
      <x/>
    </i>
    <i r="1" i="1">
      <x v="1"/>
    </i>
    <i r="1" i="2">
      <x v="2"/>
    </i>
    <i>
      <x v="106"/>
      <x/>
    </i>
    <i r="1" i="1">
      <x v="1"/>
    </i>
    <i r="1" i="2">
      <x v="2"/>
    </i>
    <i>
      <x v="107"/>
      <x/>
    </i>
    <i r="1" i="1">
      <x v="1"/>
    </i>
    <i r="1" i="2">
      <x v="2"/>
    </i>
    <i>
      <x v="108"/>
      <x/>
    </i>
    <i r="1" i="1">
      <x v="1"/>
    </i>
    <i r="1" i="2">
      <x v="2"/>
    </i>
    <i>
      <x v="109"/>
      <x/>
    </i>
    <i r="1" i="1">
      <x v="1"/>
    </i>
    <i r="1" i="2">
      <x v="2"/>
    </i>
    <i>
      <x v="110"/>
      <x/>
    </i>
    <i r="1" i="1">
      <x v="1"/>
    </i>
    <i r="1" i="2">
      <x v="2"/>
    </i>
    <i>
      <x v="111"/>
      <x/>
    </i>
    <i r="1" i="1">
      <x v="1"/>
    </i>
    <i r="1" i="2">
      <x v="2"/>
    </i>
    <i>
      <x v="112"/>
      <x/>
    </i>
    <i r="1" i="1">
      <x v="1"/>
    </i>
    <i r="1" i="2">
      <x v="2"/>
    </i>
    <i>
      <x v="113"/>
      <x/>
    </i>
    <i r="1" i="1">
      <x v="1"/>
    </i>
    <i r="1" i="2">
      <x v="2"/>
    </i>
    <i>
      <x v="114"/>
      <x/>
    </i>
    <i r="1" i="1">
      <x v="1"/>
    </i>
    <i r="1" i="2">
      <x v="2"/>
    </i>
    <i>
      <x v="115"/>
      <x/>
    </i>
    <i r="1" i="1">
      <x v="1"/>
    </i>
    <i r="1" i="2">
      <x v="2"/>
    </i>
    <i>
      <x v="116"/>
      <x/>
    </i>
    <i r="1" i="1">
      <x v="1"/>
    </i>
    <i r="1" i="2">
      <x v="2"/>
    </i>
    <i>
      <x v="117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 of Above Range(C)" fld="13" baseField="0" baseItem="0"/>
    <dataField name="Sum of In " fld="12" baseField="0" baseItem="1"/>
    <dataField name="Sum of Below Range(C)" fld="11" baseField="0" baseItem="1"/>
  </dataFields>
  <formats count="37">
    <format dxfId="54">
      <pivotArea outline="0" collapsedLevelsAreSubtotals="1" fieldPosition="0">
        <references count="1">
          <reference field="0" count="1" selected="0">
            <x v="23"/>
          </reference>
        </references>
      </pivotArea>
    </format>
    <format dxfId="53">
      <pivotArea dataOnly="0" labelOnly="1" fieldPosition="0">
        <references count="1">
          <reference field="0" count="1">
            <x v="23"/>
          </reference>
        </references>
      </pivotArea>
    </format>
    <format dxfId="52">
      <pivotArea outline="0" collapsedLevelsAreSubtotals="1" fieldPosition="0">
        <references count="1">
          <reference field="0" count="1" selected="0">
            <x v="13"/>
          </reference>
        </references>
      </pivotArea>
    </format>
    <format dxfId="51">
      <pivotArea dataOnly="0" labelOnly="1" fieldPosition="0">
        <references count="1">
          <reference field="0" count="1">
            <x v="13"/>
          </reference>
        </references>
      </pivotArea>
    </format>
    <format dxfId="50">
      <pivotArea outline="0" collapsedLevelsAreSubtotals="1" fieldPosition="0">
        <references count="1">
          <reference field="0" count="1" selected="0">
            <x v="115"/>
          </reference>
        </references>
      </pivotArea>
    </format>
    <format dxfId="49">
      <pivotArea type="topRight" dataOnly="0" labelOnly="1" outline="0" offset="AZ1" fieldPosition="0"/>
    </format>
    <format dxfId="48">
      <pivotArea dataOnly="0" labelOnly="1" fieldPosition="0">
        <references count="1">
          <reference field="0" count="1">
            <x v="115"/>
          </reference>
        </references>
      </pivotArea>
    </format>
    <format dxfId="47">
      <pivotArea outline="0" collapsedLevelsAreSubtotals="1" fieldPosition="0">
        <references count="1">
          <reference field="0" count="1" selected="0">
            <x v="129"/>
          </reference>
        </references>
      </pivotArea>
    </format>
    <format dxfId="46">
      <pivotArea type="topRight" dataOnly="0" labelOnly="1" outline="0" offset="BI1" fieldPosition="0"/>
    </format>
    <format dxfId="45">
      <pivotArea dataOnly="0" labelOnly="1" fieldPosition="0">
        <references count="1">
          <reference field="0" count="1">
            <x v="129"/>
          </reference>
        </references>
      </pivotArea>
    </format>
    <format dxfId="44">
      <pivotArea outline="0" collapsedLevelsAreSubtotals="1" fieldPosition="0">
        <references count="1">
          <reference field="0" count="4" selected="0">
            <x v="234"/>
            <x v="235"/>
            <x v="236"/>
            <x v="237"/>
          </reference>
        </references>
      </pivotArea>
    </format>
    <format dxfId="43">
      <pivotArea type="topRight" dataOnly="0" labelOnly="1" outline="0" offset="DM1:DP1" fieldPosition="0"/>
    </format>
    <format dxfId="42">
      <pivotArea dataOnly="0" labelOnly="1" fieldPosition="0">
        <references count="1">
          <reference field="0" count="4">
            <x v="234"/>
            <x v="235"/>
            <x v="236"/>
            <x v="237"/>
          </reference>
        </references>
      </pivotArea>
    </format>
    <format dxfId="41">
      <pivotArea outline="0" collapsedLevelsAreSubtotals="1" fieldPosition="0">
        <references count="1">
          <reference field="0" count="2" selected="0">
            <x v="238"/>
            <x v="239"/>
          </reference>
        </references>
      </pivotArea>
    </format>
    <format dxfId="40">
      <pivotArea type="topRight" dataOnly="0" labelOnly="1" outline="0" offset="DQ1:DR1" fieldPosition="0"/>
    </format>
    <format dxfId="39">
      <pivotArea dataOnly="0" labelOnly="1" fieldPosition="0">
        <references count="1">
          <reference field="0" count="2">
            <x v="238"/>
            <x v="239"/>
          </reference>
        </references>
      </pivotArea>
    </format>
    <format dxfId="38">
      <pivotArea outline="0" collapsedLevelsAreSubtotals="1" fieldPosition="0">
        <references count="1">
          <reference field="0" count="1" selected="0">
            <x v="241"/>
          </reference>
        </references>
      </pivotArea>
    </format>
    <format dxfId="37">
      <pivotArea type="topRight" dataOnly="0" labelOnly="1" outline="0" offset="DT1" fieldPosition="0"/>
    </format>
    <format dxfId="36">
      <pivotArea dataOnly="0" labelOnly="1" fieldPosition="0">
        <references count="1">
          <reference field="0" count="1">
            <x v="241"/>
          </reference>
        </references>
      </pivotArea>
    </format>
    <format dxfId="35">
      <pivotArea outline="0" collapsedLevelsAreSubtotals="1" fieldPosition="0">
        <references count="1">
          <reference field="0" count="1" selected="0">
            <x v="246"/>
          </reference>
        </references>
      </pivotArea>
    </format>
    <format dxfId="34">
      <pivotArea type="topRight" dataOnly="0" labelOnly="1" outline="0" offset="DY1" fieldPosition="0"/>
    </format>
    <format dxfId="33">
      <pivotArea dataOnly="0" labelOnly="1" fieldPosition="0">
        <references count="1">
          <reference field="0" count="1">
            <x v="246"/>
          </reference>
        </references>
      </pivotArea>
    </format>
    <format dxfId="32">
      <pivotArea outline="0" collapsedLevelsAreSubtotals="1" fieldPosition="0">
        <references count="1">
          <reference field="0" count="1" selected="0">
            <x v="247"/>
          </reference>
        </references>
      </pivotArea>
    </format>
    <format dxfId="31">
      <pivotArea type="topRight" dataOnly="0" labelOnly="1" outline="0" offset="DZ1" fieldPosition="0"/>
    </format>
    <format dxfId="30">
      <pivotArea dataOnly="0" labelOnly="1" fieldPosition="0">
        <references count="1">
          <reference field="0" count="1">
            <x v="247"/>
          </reference>
        </references>
      </pivotArea>
    </format>
    <format dxfId="29">
      <pivotArea outline="0" collapsedLevelsAreSubtotals="1" fieldPosition="0">
        <references count="1">
          <reference field="0" count="1" selected="0">
            <x v="248"/>
          </reference>
        </references>
      </pivotArea>
    </format>
    <format dxfId="28">
      <pivotArea type="topRight" dataOnly="0" labelOnly="1" outline="0" offset="EA1" fieldPosition="0"/>
    </format>
    <format dxfId="27">
      <pivotArea dataOnly="0" labelOnly="1" fieldPosition="0">
        <references count="1">
          <reference field="0" count="1">
            <x v="248"/>
          </reference>
        </references>
      </pivotArea>
    </format>
    <format dxfId="26">
      <pivotArea outline="0" collapsedLevelsAreSubtotals="1" fieldPosition="0">
        <references count="1">
          <reference field="0" count="1" selected="0">
            <x v="250"/>
          </reference>
        </references>
      </pivotArea>
    </format>
    <format dxfId="25">
      <pivotArea type="topRight" dataOnly="0" labelOnly="1" outline="0" offset="EC1" fieldPosition="0"/>
    </format>
    <format dxfId="24">
      <pivotArea dataOnly="0" labelOnly="1" fieldPosition="0">
        <references count="1">
          <reference field="0" count="1">
            <x v="250"/>
          </reference>
        </references>
      </pivotArea>
    </format>
    <format dxfId="23">
      <pivotArea outline="0" collapsedLevelsAreSubtotals="1" fieldPosition="0">
        <references count="1">
          <reference field="0" count="1" selected="0">
            <x v="255"/>
          </reference>
        </references>
      </pivotArea>
    </format>
    <format dxfId="22">
      <pivotArea type="topRight" dataOnly="0" labelOnly="1" outline="0" offset="EH1" fieldPosition="0"/>
    </format>
    <format dxfId="21">
      <pivotArea dataOnly="0" labelOnly="1" fieldPosition="0">
        <references count="1">
          <reference field="0" count="1">
            <x v="255"/>
          </reference>
        </references>
      </pivotArea>
    </format>
    <format dxfId="20">
      <pivotArea outline="0" collapsedLevelsAreSubtotals="1" fieldPosition="0">
        <references count="1">
          <reference field="0" count="1" selected="0">
            <x v="179"/>
          </reference>
        </references>
      </pivotArea>
    </format>
    <format dxfId="19">
      <pivotArea type="topRight" dataOnly="0" labelOnly="1" outline="0" offset="E1" fieldPosition="0"/>
    </format>
    <format dxfId="18">
      <pivotArea type="topRight" dataOnly="0" labelOnly="1" outline="0" offset="V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BX145" firstHeaderRow="1" firstDataRow="3" firstDataCol="1"/>
  <pivotFields count="14">
    <pivotField axis="axisRow" showAll="0">
      <items count="257">
        <item x="0"/>
        <item x="1"/>
        <item x="2"/>
        <item x="3"/>
        <item m="1" x="163"/>
        <item m="1" x="183"/>
        <item m="1" x="191"/>
        <item x="4"/>
        <item m="1" x="244"/>
        <item m="1" x="182"/>
        <item x="5"/>
        <item m="1" x="247"/>
        <item m="1" x="146"/>
        <item x="6"/>
        <item x="7"/>
        <item m="1" x="204"/>
        <item x="8"/>
        <item x="9"/>
        <item x="10"/>
        <item x="11"/>
        <item m="1" x="141"/>
        <item x="12"/>
        <item m="1" x="184"/>
        <item x="13"/>
        <item x="14"/>
        <item x="15"/>
        <item m="1" x="201"/>
        <item m="1" x="215"/>
        <item m="1" x="231"/>
        <item x="16"/>
        <item x="17"/>
        <item m="1" x="225"/>
        <item m="1" x="192"/>
        <item m="1" x="174"/>
        <item x="18"/>
        <item m="1" x="199"/>
        <item m="1" x="213"/>
        <item x="19"/>
        <item x="20"/>
        <item x="21"/>
        <item x="22"/>
        <item m="1" x="190"/>
        <item m="1" x="162"/>
        <item x="23"/>
        <item m="1" x="202"/>
        <item m="1" x="245"/>
        <item x="24"/>
        <item m="1" x="179"/>
        <item x="25"/>
        <item m="1" x="180"/>
        <item m="1" x="176"/>
        <item m="1" x="216"/>
        <item x="26"/>
        <item m="1" x="149"/>
        <item m="1" x="226"/>
        <item m="1" x="153"/>
        <item x="27"/>
        <item x="28"/>
        <item m="1" x="249"/>
        <item x="29"/>
        <item m="1" x="234"/>
        <item m="1" x="166"/>
        <item x="30"/>
        <item m="1" x="209"/>
        <item x="31"/>
        <item x="32"/>
        <item x="33"/>
        <item x="34"/>
        <item x="35"/>
        <item m="1" x="167"/>
        <item m="1" x="145"/>
        <item x="36"/>
        <item m="1" x="255"/>
        <item m="1" x="222"/>
        <item x="37"/>
        <item m="1" x="171"/>
        <item m="1" x="227"/>
        <item x="38"/>
        <item x="39"/>
        <item m="1" x="195"/>
        <item m="1" x="241"/>
        <item m="1" x="200"/>
        <item x="40"/>
        <item m="1" x="232"/>
        <item x="41"/>
        <item x="42"/>
        <item m="1" x="188"/>
        <item m="1" x="243"/>
        <item m="1" x="207"/>
        <item x="43"/>
        <item m="1" x="221"/>
        <item m="1" x="159"/>
        <item x="44"/>
        <item m="1" x="150"/>
        <item x="45"/>
        <item x="46"/>
        <item m="1" x="187"/>
        <item m="1" x="169"/>
        <item m="1" x="230"/>
        <item m="1" x="158"/>
        <item x="47"/>
        <item x="48"/>
        <item x="49"/>
        <item m="1" x="198"/>
        <item m="1" x="240"/>
        <item m="1" x="218"/>
        <item m="1" x="148"/>
        <item x="50"/>
        <item m="1" x="157"/>
        <item x="51"/>
        <item x="52"/>
        <item m="1" x="217"/>
        <item m="1" x="214"/>
        <item x="54"/>
        <item x="53"/>
        <item x="55"/>
        <item x="56"/>
        <item x="57"/>
        <item x="58"/>
        <item x="59"/>
        <item x="60"/>
        <item x="61"/>
        <item m="1" x="219"/>
        <item x="62"/>
        <item x="63"/>
        <item x="64"/>
        <item x="65"/>
        <item x="66"/>
        <item x="67"/>
        <item x="68"/>
        <item m="1" x="250"/>
        <item x="69"/>
        <item m="1" x="253"/>
        <item x="70"/>
        <item x="71"/>
        <item x="72"/>
        <item x="73"/>
        <item m="1" x="203"/>
        <item m="1" x="175"/>
        <item m="1" x="170"/>
        <item x="74"/>
        <item x="75"/>
        <item m="1" x="165"/>
        <item m="1" x="239"/>
        <item x="76"/>
        <item x="77"/>
        <item x="78"/>
        <item x="79"/>
        <item x="80"/>
        <item x="81"/>
        <item x="82"/>
        <item m="1" x="144"/>
        <item m="1" x="233"/>
        <item m="1" x="160"/>
        <item x="83"/>
        <item m="1" x="168"/>
        <item m="1" x="172"/>
        <item x="84"/>
        <item x="85"/>
        <item x="86"/>
        <item m="1" x="252"/>
        <item x="87"/>
        <item m="1" x="235"/>
        <item m="1" x="173"/>
        <item x="88"/>
        <item x="89"/>
        <item x="90"/>
        <item x="91"/>
        <item m="1" x="237"/>
        <item m="1" x="236"/>
        <item x="92"/>
        <item x="93"/>
        <item m="1" x="205"/>
        <item m="1" x="147"/>
        <item x="94"/>
        <item m="1" x="142"/>
        <item m="1" x="185"/>
        <item x="95"/>
        <item x="96"/>
        <item x="97"/>
        <item x="98"/>
        <item x="99"/>
        <item x="100"/>
        <item m="1" x="251"/>
        <item x="101"/>
        <item m="1" x="151"/>
        <item x="102"/>
        <item m="1" x="161"/>
        <item m="1" x="154"/>
        <item x="103"/>
        <item x="104"/>
        <item m="1" x="181"/>
        <item x="105"/>
        <item x="106"/>
        <item m="1" x="220"/>
        <item x="107"/>
        <item m="1" x="177"/>
        <item m="1" x="238"/>
        <item x="108"/>
        <item x="109"/>
        <item x="110"/>
        <item m="1" x="246"/>
        <item m="1" x="155"/>
        <item m="1" x="156"/>
        <item x="111"/>
        <item m="1" x="197"/>
        <item x="112"/>
        <item x="113"/>
        <item m="1" x="164"/>
        <item m="1" x="211"/>
        <item m="1" x="228"/>
        <item m="1" x="212"/>
        <item m="1" x="210"/>
        <item m="1" x="242"/>
        <item x="114"/>
        <item m="1" x="194"/>
        <item m="1" x="140"/>
        <item x="115"/>
        <item x="116"/>
        <item x="117"/>
        <item x="118"/>
        <item m="1" x="193"/>
        <item m="1" x="208"/>
        <item x="119"/>
        <item m="1" x="152"/>
        <item m="1" x="178"/>
        <item m="1" x="196"/>
        <item x="120"/>
        <item m="1" x="189"/>
        <item m="1" x="143"/>
        <item m="1" x="248"/>
        <item x="121"/>
        <item x="122"/>
        <item x="123"/>
        <item x="124"/>
        <item x="125"/>
        <item x="126"/>
        <item m="1" x="139"/>
        <item m="1" x="223"/>
        <item x="127"/>
        <item x="128"/>
        <item x="129"/>
        <item x="130"/>
        <item m="1" x="206"/>
        <item x="131"/>
        <item x="132"/>
        <item x="133"/>
        <item x="134"/>
        <item m="1" x="254"/>
        <item x="135"/>
        <item m="1" x="186"/>
        <item m="1" x="229"/>
        <item m="1" x="224"/>
        <item x="136"/>
        <item x="137"/>
        <item x="138"/>
        <item t="default"/>
      </items>
    </pivotField>
    <pivotField showAll="0"/>
    <pivotField axis="axisCol" showAll="0">
      <items count="45">
        <item m="1" x="24"/>
        <item m="1" x="32"/>
        <item m="1" x="42"/>
        <item m="1" x="34"/>
        <item m="1" x="43"/>
        <item m="1" x="36"/>
        <item m="1" x="40"/>
        <item m="1" x="29"/>
        <item x="21"/>
        <item m="1" x="31"/>
        <item x="16"/>
        <item m="1" x="37"/>
        <item m="1" x="38"/>
        <item m="1" x="25"/>
        <item m="1" x="26"/>
        <item m="1" x="41"/>
        <item m="1" x="27"/>
        <item m="1" x="28"/>
        <item m="1" x="39"/>
        <item m="1" x="33"/>
        <item m="1" x="35"/>
        <item m="1" x="30"/>
        <item x="23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/>
    <pivotField dataField="1" showAll="0"/>
    <pivotField dataField="1" showAll="0"/>
  </pivotFields>
  <rowFields count="1">
    <field x="0"/>
  </rowFields>
  <rowItems count="140">
    <i>
      <x/>
    </i>
    <i>
      <x v="1"/>
    </i>
    <i>
      <x v="2"/>
    </i>
    <i>
      <x v="3"/>
    </i>
    <i>
      <x v="7"/>
    </i>
    <i>
      <x v="10"/>
    </i>
    <i>
      <x v="13"/>
    </i>
    <i>
      <x v="14"/>
    </i>
    <i>
      <x v="16"/>
    </i>
    <i>
      <x v="17"/>
    </i>
    <i>
      <x v="18"/>
    </i>
    <i>
      <x v="19"/>
    </i>
    <i>
      <x v="21"/>
    </i>
    <i>
      <x v="23"/>
    </i>
    <i>
      <x v="24"/>
    </i>
    <i>
      <x v="25"/>
    </i>
    <i>
      <x v="29"/>
    </i>
    <i>
      <x v="30"/>
    </i>
    <i>
      <x v="34"/>
    </i>
    <i>
      <x v="37"/>
    </i>
    <i>
      <x v="38"/>
    </i>
    <i>
      <x v="39"/>
    </i>
    <i>
      <x v="40"/>
    </i>
    <i>
      <x v="43"/>
    </i>
    <i>
      <x v="46"/>
    </i>
    <i>
      <x v="48"/>
    </i>
    <i>
      <x v="52"/>
    </i>
    <i>
      <x v="56"/>
    </i>
    <i>
      <x v="57"/>
    </i>
    <i>
      <x v="59"/>
    </i>
    <i>
      <x v="62"/>
    </i>
    <i>
      <x v="64"/>
    </i>
    <i>
      <x v="65"/>
    </i>
    <i>
      <x v="66"/>
    </i>
    <i>
      <x v="67"/>
    </i>
    <i>
      <x v="68"/>
    </i>
    <i>
      <x v="71"/>
    </i>
    <i>
      <x v="74"/>
    </i>
    <i>
      <x v="77"/>
    </i>
    <i>
      <x v="78"/>
    </i>
    <i>
      <x v="82"/>
    </i>
    <i>
      <x v="84"/>
    </i>
    <i>
      <x v="85"/>
    </i>
    <i>
      <x v="89"/>
    </i>
    <i>
      <x v="92"/>
    </i>
    <i>
      <x v="94"/>
    </i>
    <i>
      <x v="95"/>
    </i>
    <i>
      <x v="100"/>
    </i>
    <i>
      <x v="101"/>
    </i>
    <i>
      <x v="102"/>
    </i>
    <i>
      <x v="107"/>
    </i>
    <i>
      <x v="109"/>
    </i>
    <i>
      <x v="110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1"/>
    </i>
    <i>
      <x v="133"/>
    </i>
    <i>
      <x v="134"/>
    </i>
    <i>
      <x v="135"/>
    </i>
    <i>
      <x v="136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4"/>
    </i>
    <i>
      <x v="157"/>
    </i>
    <i>
      <x v="158"/>
    </i>
    <i>
      <x v="159"/>
    </i>
    <i>
      <x v="161"/>
    </i>
    <i>
      <x v="164"/>
    </i>
    <i>
      <x v="165"/>
    </i>
    <i>
      <x v="166"/>
    </i>
    <i>
      <x v="167"/>
    </i>
    <i>
      <x v="170"/>
    </i>
    <i>
      <x v="171"/>
    </i>
    <i>
      <x v="174"/>
    </i>
    <i>
      <x v="177"/>
    </i>
    <i>
      <x v="178"/>
    </i>
    <i>
      <x v="179"/>
    </i>
    <i>
      <x v="180"/>
    </i>
    <i>
      <x v="181"/>
    </i>
    <i>
      <x v="182"/>
    </i>
    <i>
      <x v="184"/>
    </i>
    <i>
      <x v="186"/>
    </i>
    <i>
      <x v="189"/>
    </i>
    <i>
      <x v="190"/>
    </i>
    <i>
      <x v="192"/>
    </i>
    <i>
      <x v="193"/>
    </i>
    <i>
      <x v="195"/>
    </i>
    <i>
      <x v="198"/>
    </i>
    <i>
      <x v="199"/>
    </i>
    <i>
      <x v="200"/>
    </i>
    <i>
      <x v="204"/>
    </i>
    <i>
      <x v="206"/>
    </i>
    <i>
      <x v="207"/>
    </i>
    <i>
      <x v="214"/>
    </i>
    <i>
      <x v="217"/>
    </i>
    <i>
      <x v="218"/>
    </i>
    <i>
      <x v="219"/>
    </i>
    <i>
      <x v="220"/>
    </i>
    <i>
      <x v="223"/>
    </i>
    <i>
      <x v="227"/>
    </i>
    <i>
      <x v="231"/>
    </i>
    <i>
      <x v="232"/>
    </i>
    <i>
      <x v="233"/>
    </i>
    <i>
      <x v="234"/>
    </i>
    <i>
      <x v="235"/>
    </i>
    <i>
      <x v="236"/>
    </i>
    <i>
      <x v="239"/>
    </i>
    <i>
      <x v="240"/>
    </i>
    <i>
      <x v="241"/>
    </i>
    <i>
      <x v="242"/>
    </i>
    <i>
      <x v="244"/>
    </i>
    <i>
      <x v="245"/>
    </i>
    <i>
      <x v="246"/>
    </i>
    <i>
      <x v="247"/>
    </i>
    <i>
      <x v="249"/>
    </i>
    <i>
      <x v="253"/>
    </i>
    <i>
      <x v="254"/>
    </i>
    <i>
      <x v="255"/>
    </i>
    <i t="grand">
      <x/>
    </i>
  </rowItems>
  <colFields count="2">
    <field x="2"/>
    <field x="-2"/>
  </colFields>
  <colItems count="75">
    <i>
      <x v="8"/>
      <x/>
    </i>
    <i r="1" i="1">
      <x v="1"/>
    </i>
    <i r="1" i="2">
      <x v="2"/>
    </i>
    <i>
      <x v="10"/>
      <x/>
    </i>
    <i r="1" i="1">
      <x v="1"/>
    </i>
    <i r="1" i="2">
      <x v="2"/>
    </i>
    <i>
      <x v="22"/>
      <x/>
    </i>
    <i r="1" i="1">
      <x v="1"/>
    </i>
    <i r="1" i="2">
      <x v="2"/>
    </i>
    <i>
      <x v="23"/>
      <x/>
    </i>
    <i r="1" i="1">
      <x v="1"/>
    </i>
    <i r="1" i="2">
      <x v="2"/>
    </i>
    <i>
      <x v="24"/>
      <x/>
    </i>
    <i r="1" i="1">
      <x v="1"/>
    </i>
    <i r="1" i="2">
      <x v="2"/>
    </i>
    <i>
      <x v="25"/>
      <x/>
    </i>
    <i r="1" i="1">
      <x v="1"/>
    </i>
    <i r="1" i="2">
      <x v="2"/>
    </i>
    <i>
      <x v="26"/>
      <x/>
    </i>
    <i r="1" i="1">
      <x v="1"/>
    </i>
    <i r="1" i="2">
      <x v="2"/>
    </i>
    <i>
      <x v="27"/>
      <x/>
    </i>
    <i r="1" i="1">
      <x v="1"/>
    </i>
    <i r="1" i="2">
      <x v="2"/>
    </i>
    <i>
      <x v="28"/>
      <x/>
    </i>
    <i r="1" i="1">
      <x v="1"/>
    </i>
    <i r="1" i="2">
      <x v="2"/>
    </i>
    <i>
      <x v="29"/>
      <x/>
    </i>
    <i r="1" i="1">
      <x v="1"/>
    </i>
    <i r="1" i="2">
      <x v="2"/>
    </i>
    <i>
      <x v="30"/>
      <x/>
    </i>
    <i r="1" i="1">
      <x v="1"/>
    </i>
    <i r="1" i="2">
      <x v="2"/>
    </i>
    <i>
      <x v="31"/>
      <x/>
    </i>
    <i r="1" i="1">
      <x v="1"/>
    </i>
    <i r="1" i="2">
      <x v="2"/>
    </i>
    <i>
      <x v="32"/>
      <x/>
    </i>
    <i r="1" i="1">
      <x v="1"/>
    </i>
    <i r="1" i="2">
      <x v="2"/>
    </i>
    <i>
      <x v="33"/>
      <x/>
    </i>
    <i r="1" i="1">
      <x v="1"/>
    </i>
    <i r="1" i="2">
      <x v="2"/>
    </i>
    <i>
      <x v="34"/>
      <x/>
    </i>
    <i r="1" i="1">
      <x v="1"/>
    </i>
    <i r="1" i="2">
      <x v="2"/>
    </i>
    <i>
      <x v="35"/>
      <x/>
    </i>
    <i r="1" i="1">
      <x v="1"/>
    </i>
    <i r="1" i="2">
      <x v="2"/>
    </i>
    <i>
      <x v="36"/>
      <x/>
    </i>
    <i r="1" i="1">
      <x v="1"/>
    </i>
    <i r="1" i="2">
      <x v="2"/>
    </i>
    <i>
      <x v="37"/>
      <x/>
    </i>
    <i r="1" i="1">
      <x v="1"/>
    </i>
    <i r="1" i="2">
      <x v="2"/>
    </i>
    <i>
      <x v="38"/>
      <x/>
    </i>
    <i r="1" i="1">
      <x v="1"/>
    </i>
    <i r="1" i="2">
      <x v="2"/>
    </i>
    <i>
      <x v="39"/>
      <x/>
    </i>
    <i r="1" i="1">
      <x v="1"/>
    </i>
    <i r="1" i="2">
      <x v="2"/>
    </i>
    <i>
      <x v="40"/>
      <x/>
    </i>
    <i r="1" i="1">
      <x v="1"/>
    </i>
    <i r="1" i="2">
      <x v="2"/>
    </i>
    <i>
      <x v="41"/>
      <x/>
    </i>
    <i r="1" i="1">
      <x v="1"/>
    </i>
    <i r="1" i="2">
      <x v="2"/>
    </i>
    <i>
      <x v="42"/>
      <x/>
    </i>
    <i r="1" i="1">
      <x v="1"/>
    </i>
    <i r="1" i="2">
      <x v="2"/>
    </i>
    <i>
      <x v="43"/>
      <x/>
    </i>
    <i r="1" i="1">
      <x v="1"/>
    </i>
    <i r="1" i="2">
      <x v="2"/>
    </i>
    <i t="grand">
      <x/>
    </i>
    <i t="grand" i="1">
      <x/>
    </i>
    <i t="grand" i="2">
      <x/>
    </i>
  </colItems>
  <dataFields count="3">
    <dataField name="Sum of Above Range(C)" fld="13" baseField="2" baseItem="10"/>
    <dataField name="Sum of In " fld="12" baseField="2" baseItem="10"/>
    <dataField name="Sum of Below Range(C)" fld="11" baseField="2" baseItem="10"/>
  </dataFields>
  <formats count="18">
    <format dxfId="17">
      <pivotArea type="topRight" dataOnly="0" labelOnly="1" outline="0" offset="V1" fieldPosition="0"/>
    </format>
    <format dxfId="16">
      <pivotArea type="topRight" dataOnly="0" labelOnly="1" outline="0" offset="E1" fieldPosition="0"/>
    </format>
    <format dxfId="15">
      <pivotArea type="topRight" dataOnly="0" labelOnly="1" outline="0" offset="AZ1" fieldPosition="0"/>
    </format>
    <format dxfId="14">
      <pivotArea type="topRight" dataOnly="0" labelOnly="1" outline="0" offset="BI1" fieldPosition="0"/>
    </format>
    <format dxfId="13">
      <pivotArea type="topRight" dataOnly="0" labelOnly="1" outline="0" offset="DM1:DP1" fieldPosition="0"/>
    </format>
    <format dxfId="12">
      <pivotArea type="topRight" dataOnly="0" labelOnly="1" outline="0" offset="DQ1:DR1" fieldPosition="0"/>
    </format>
    <format dxfId="11">
      <pivotArea type="topRight" dataOnly="0" labelOnly="1" outline="0" offset="DT1" fieldPosition="0"/>
    </format>
    <format dxfId="10">
      <pivotArea type="topRight" dataOnly="0" labelOnly="1" outline="0" offset="DY1" fieldPosition="0"/>
    </format>
    <format dxfId="9">
      <pivotArea type="topRight" dataOnly="0" labelOnly="1" outline="0" offset="DZ1" fieldPosition="0"/>
    </format>
    <format dxfId="8">
      <pivotArea type="topRight" dataOnly="0" labelOnly="1" outline="0" offset="EA1" fieldPosition="0"/>
    </format>
    <format dxfId="7">
      <pivotArea type="topRight" dataOnly="0" labelOnly="1" outline="0" offset="EC1" fieldPosition="0"/>
    </format>
    <format dxfId="6">
      <pivotArea type="topRight" dataOnly="0" labelOnly="1" outline="0" offset="EH1" fieldPosition="0"/>
    </format>
    <format dxfId="5">
      <pivotArea collapsedLevelsAreSubtotals="1" fieldPosition="0">
        <references count="1">
          <reference field="0" count="1">
            <x v="40"/>
          </reference>
        </references>
      </pivotArea>
    </format>
    <format dxfId="4">
      <pivotArea dataOnly="0" labelOnly="1" fieldPosition="0">
        <references count="1">
          <reference field="0" count="1">
            <x v="40"/>
          </reference>
        </references>
      </pivotArea>
    </format>
    <format dxfId="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format>
    <format dxfId="2">
      <pivotArea type="topRight" dataOnly="0" labelOnly="1" outline="0" offset="I1" fieldPosition="0"/>
    </format>
    <format dxfId="1">
      <pivotArea dataOnly="0" labelOnly="1" offset="B256" fieldPosition="0">
        <references count="1">
          <reference field="2" count="1">
            <x v="23"/>
          </reference>
        </references>
      </pivotArea>
    </format>
    <format dxfId="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Y811"/>
  <sheetViews>
    <sheetView workbookViewId="0">
      <pane ySplit="2" topLeftCell="A811" activePane="bottomLeft" state="frozen"/>
      <selection activeCell="L1" sqref="L1:L1048576"/>
      <selection pane="bottomLeft" activeCell="L1" sqref="L1:L1048576"/>
    </sheetView>
  </sheetViews>
  <sheetFormatPr defaultRowHeight="15.75" customHeight="1" x14ac:dyDescent="0.2"/>
  <cols>
    <col min="1" max="1" width="12.28515625" style="14" customWidth="1"/>
    <col min="2" max="2" width="12.42578125" style="14" customWidth="1"/>
    <col min="3" max="3" width="17.42578125" style="14" customWidth="1"/>
    <col min="4" max="4" width="11.42578125" style="14" customWidth="1"/>
    <col min="5" max="5" width="26.85546875" style="14" customWidth="1"/>
    <col min="6" max="6" width="37.7109375" style="14" customWidth="1"/>
    <col min="7" max="7" width="34.28515625" style="14" customWidth="1"/>
    <col min="8" max="8" width="16" style="14" customWidth="1"/>
    <col min="9" max="9" width="18.28515625" style="14" customWidth="1"/>
    <col min="10" max="10" width="12.140625" style="14" customWidth="1"/>
    <col min="11" max="13" width="19.42578125" style="14" customWidth="1"/>
    <col min="14" max="14" width="14" style="14" bestFit="1" customWidth="1"/>
    <col min="15" max="15" width="10.5703125" style="14" customWidth="1"/>
    <col min="16" max="18" width="10.5703125" style="78" customWidth="1"/>
    <col min="19" max="21" width="10.5703125" style="14" customWidth="1"/>
    <col min="22" max="22" width="10.5703125" style="94" customWidth="1"/>
    <col min="23" max="23" width="13.140625" style="14" customWidth="1"/>
    <col min="24" max="24" width="13.42578125" style="15" customWidth="1"/>
    <col min="25" max="16384" width="9.140625" style="13"/>
  </cols>
  <sheetData>
    <row r="1" spans="1:25" ht="15.75" customHeight="1" x14ac:dyDescent="0.2">
      <c r="P1" s="145" t="s">
        <v>2244</v>
      </c>
      <c r="Q1" s="146"/>
      <c r="R1" s="147"/>
      <c r="S1" s="145" t="s">
        <v>2248</v>
      </c>
      <c r="T1" s="146"/>
      <c r="U1" s="147"/>
    </row>
    <row r="2" spans="1:25" s="20" customFormat="1" ht="34.5" customHeight="1" x14ac:dyDescent="0.2">
      <c r="A2" s="16" t="s">
        <v>0</v>
      </c>
      <c r="B2" s="16" t="s">
        <v>1</v>
      </c>
      <c r="C2" s="16" t="s">
        <v>2</v>
      </c>
      <c r="D2" s="11" t="s">
        <v>3</v>
      </c>
      <c r="E2" s="16" t="s">
        <v>4</v>
      </c>
      <c r="F2" s="16" t="s">
        <v>5</v>
      </c>
      <c r="G2" s="11" t="s">
        <v>6</v>
      </c>
      <c r="H2" s="16" t="s">
        <v>7</v>
      </c>
      <c r="I2" s="16" t="s">
        <v>8</v>
      </c>
      <c r="J2" s="17" t="s">
        <v>9</v>
      </c>
      <c r="K2" s="17" t="s">
        <v>10</v>
      </c>
      <c r="L2" s="17" t="s">
        <v>2271</v>
      </c>
      <c r="M2" s="17" t="s">
        <v>2301</v>
      </c>
      <c r="N2" s="17" t="s">
        <v>11</v>
      </c>
      <c r="O2" s="18" t="s">
        <v>12</v>
      </c>
      <c r="P2" s="18" t="s">
        <v>2250</v>
      </c>
      <c r="Q2" s="18" t="s">
        <v>2251</v>
      </c>
      <c r="R2" s="18" t="s">
        <v>2252</v>
      </c>
      <c r="S2" s="18" t="s">
        <v>2253</v>
      </c>
      <c r="T2" s="18" t="s">
        <v>2254</v>
      </c>
      <c r="U2" s="18" t="s">
        <v>2255</v>
      </c>
      <c r="V2" s="75" t="s">
        <v>2249</v>
      </c>
      <c r="W2" s="18" t="s">
        <v>2270</v>
      </c>
      <c r="X2" s="19" t="s">
        <v>13</v>
      </c>
    </row>
    <row r="3" spans="1:25" ht="15.75" hidden="1" customHeight="1" x14ac:dyDescent="0.2">
      <c r="A3" s="21" t="s">
        <v>52</v>
      </c>
      <c r="B3" s="21" t="s">
        <v>53</v>
      </c>
      <c r="C3" s="22"/>
      <c r="D3" s="23" t="s">
        <v>16</v>
      </c>
      <c r="E3" s="21" t="s">
        <v>54</v>
      </c>
      <c r="F3" s="21" t="s">
        <v>2240</v>
      </c>
      <c r="G3" s="21" t="s">
        <v>2332</v>
      </c>
      <c r="H3" s="21" t="s">
        <v>55</v>
      </c>
      <c r="I3" s="21" t="s">
        <v>56</v>
      </c>
      <c r="J3" s="25">
        <v>842</v>
      </c>
      <c r="K3" s="26">
        <v>112</v>
      </c>
      <c r="L3" s="26">
        <f t="shared" ref="L3:L66" si="0">J3+K3</f>
        <v>954</v>
      </c>
      <c r="M3" s="26">
        <f t="array" ref="M3">MEDIAN(IF($F$3:$F$810=F3,$L$3:$L$810))</f>
        <v>749</v>
      </c>
      <c r="N3" s="26">
        <v>954</v>
      </c>
      <c r="O3" s="27"/>
      <c r="P3" s="76">
        <f>IF(N3&lt;INDEX(Sectorwise!E:E,MATCH(F3,Sectorwise!A:A,0)),1,0)</f>
        <v>0</v>
      </c>
      <c r="Q3" s="76">
        <f>IF(AND(N3&gt;=INDEX(Sectorwise!E:E,MATCH(F3,Sectorwise!A:A,0)),N3&lt;=INDEX(Sectorwise!F:F,MATCH(F3,Sectorwise!A:A,0))),1,0)</f>
        <v>0</v>
      </c>
      <c r="R3" s="76">
        <f>IF(N3&gt;INDEX(Sectorwise!F:F,MATCH(F3,Sectorwise!A:A,0)),1,0)</f>
        <v>1</v>
      </c>
      <c r="S3" s="27">
        <f t="shared" ref="S3:S66" si="1">IF(P3=0,0,N3)</f>
        <v>0</v>
      </c>
      <c r="T3" s="27">
        <f t="shared" ref="T3:T66" si="2">IF(Q3=0,0,N3)</f>
        <v>0</v>
      </c>
      <c r="U3" s="27">
        <f t="shared" ref="U3:U66" si="3">IF(R3=0,0,N3)</f>
        <v>954</v>
      </c>
      <c r="V3" s="95">
        <f>IF(R3=1,(N3-INDEX(Sectorwise!F:F,MATCH(F3,Sectorwise!A:A,0))),0)</f>
        <v>54</v>
      </c>
      <c r="W3" s="97">
        <f>POISSON(N3,INDEX(Sectorwise!D:D,MATCH(Travel!F16,Sectorwise!A:A,0)),TRUE)</f>
        <v>0</v>
      </c>
      <c r="X3" s="28">
        <v>954</v>
      </c>
    </row>
    <row r="4" spans="1:25" ht="15.75" hidden="1" customHeight="1" x14ac:dyDescent="0.2">
      <c r="A4" s="21" t="s">
        <v>52</v>
      </c>
      <c r="B4" s="21" t="s">
        <v>53</v>
      </c>
      <c r="C4" s="22"/>
      <c r="D4" s="23" t="s">
        <v>16</v>
      </c>
      <c r="E4" s="21" t="s">
        <v>54</v>
      </c>
      <c r="F4" s="21" t="s">
        <v>2241</v>
      </c>
      <c r="G4" s="21" t="s">
        <v>2332</v>
      </c>
      <c r="H4" s="21" t="s">
        <v>57</v>
      </c>
      <c r="I4" s="21" t="s">
        <v>58</v>
      </c>
      <c r="J4" s="25">
        <v>712</v>
      </c>
      <c r="K4" s="26">
        <v>112</v>
      </c>
      <c r="L4" s="26">
        <f t="shared" si="0"/>
        <v>824</v>
      </c>
      <c r="M4" s="26">
        <f t="array" ref="M4">MEDIAN(IF($F$3:$F$810=F4,$L$3:$L$810))</f>
        <v>824</v>
      </c>
      <c r="N4" s="26">
        <v>824</v>
      </c>
      <c r="O4" s="27"/>
      <c r="P4" s="76">
        <f>IF(N4&lt;INDEX(Sectorwise!E:E,MATCH(F4,Sectorwise!A:A,0)),1,0)</f>
        <v>0</v>
      </c>
      <c r="Q4" s="76">
        <f>IF(AND(N4&gt;=INDEX(Sectorwise!E:E,MATCH(F4,Sectorwise!A:A,0)),N4&lt;=INDEX(Sectorwise!F:F,MATCH(F4,Sectorwise!A:A,0))),1,0)</f>
        <v>1</v>
      </c>
      <c r="R4" s="76">
        <f>IF(N4&gt;INDEX(Sectorwise!F:F,MATCH(F4,Sectorwise!A:A,0)),1,0)</f>
        <v>0</v>
      </c>
      <c r="S4" s="27">
        <f t="shared" si="1"/>
        <v>0</v>
      </c>
      <c r="T4" s="27">
        <f t="shared" si="2"/>
        <v>824</v>
      </c>
      <c r="U4" s="27">
        <f t="shared" si="3"/>
        <v>0</v>
      </c>
      <c r="V4" s="95">
        <f>IF(R4=1,(N4-INDEX(Sectorwise!F:F,MATCH(F4,Sectorwise!A:A,0))),0)</f>
        <v>0</v>
      </c>
      <c r="W4" s="97">
        <f>POISSON(N4,INDEX(Sectorwise!D:D,MATCH(Travel!F17,Sectorwise!A:A,0)),TRUE)</f>
        <v>0</v>
      </c>
      <c r="X4" s="28">
        <v>824</v>
      </c>
    </row>
    <row r="5" spans="1:25" ht="15.75" hidden="1" customHeight="1" x14ac:dyDescent="0.2">
      <c r="A5" s="21" t="s">
        <v>449</v>
      </c>
      <c r="B5" s="21" t="s">
        <v>461</v>
      </c>
      <c r="C5" s="22"/>
      <c r="D5" s="32"/>
      <c r="E5" s="33" t="s">
        <v>238</v>
      </c>
      <c r="F5" s="21" t="s">
        <v>2176</v>
      </c>
      <c r="G5" s="63" t="s">
        <v>2312</v>
      </c>
      <c r="H5" s="21" t="s">
        <v>462</v>
      </c>
      <c r="I5" s="21" t="s">
        <v>453</v>
      </c>
      <c r="J5" s="25">
        <v>5090</v>
      </c>
      <c r="K5" s="25">
        <v>4601</v>
      </c>
      <c r="L5" s="26">
        <f t="shared" si="0"/>
        <v>9691</v>
      </c>
      <c r="M5" s="26">
        <f t="array" ref="M5">MEDIAN(IF($F$3:$F$810=F5,$L$3:$L$810))</f>
        <v>9753.5</v>
      </c>
      <c r="N5" s="47">
        <f>J5+K5</f>
        <v>9691</v>
      </c>
      <c r="O5" s="27"/>
      <c r="P5" s="76">
        <f>IF(N5&lt;INDEX(Sectorwise!E:E,MATCH(F5,Sectorwise!A:A,0)),1,0)</f>
        <v>0</v>
      </c>
      <c r="Q5" s="76">
        <f>IF(AND(N5&gt;=INDEX(Sectorwise!E:E,MATCH(F5,Sectorwise!A:A,0)),N5&lt;=INDEX(Sectorwise!F:F,MATCH(F5,Sectorwise!A:A,0))),1,0)</f>
        <v>1</v>
      </c>
      <c r="R5" s="76">
        <f>IF(N5&gt;INDEX(Sectorwise!F:F,MATCH(F5,Sectorwise!A:A,0)),1,0)</f>
        <v>0</v>
      </c>
      <c r="S5" s="27">
        <f t="shared" si="1"/>
        <v>0</v>
      </c>
      <c r="T5" s="27">
        <f t="shared" si="2"/>
        <v>9691</v>
      </c>
      <c r="U5" s="27">
        <f t="shared" si="3"/>
        <v>0</v>
      </c>
      <c r="V5" s="95">
        <f>IF(R5=1,(N5-INDEX(Sectorwise!F:F,MATCH(F5,Sectorwise!A:A,0))),0)</f>
        <v>0</v>
      </c>
      <c r="W5" s="97">
        <f>POISSON(N5,INDEX(Sectorwise!D:D,MATCH(Travel!F172,Sectorwise!A:A,0)),TRUE)</f>
        <v>1</v>
      </c>
    </row>
    <row r="6" spans="1:25" ht="15.75" hidden="1" customHeight="1" x14ac:dyDescent="0.2">
      <c r="A6" s="33" t="s">
        <v>236</v>
      </c>
      <c r="B6" s="33" t="s">
        <v>237</v>
      </c>
      <c r="C6" s="40"/>
      <c r="D6" s="35"/>
      <c r="E6" s="33" t="s">
        <v>238</v>
      </c>
      <c r="F6" s="33" t="s">
        <v>2185</v>
      </c>
      <c r="G6" s="69" t="s">
        <v>2308</v>
      </c>
      <c r="H6" s="33" t="s">
        <v>239</v>
      </c>
      <c r="I6" s="33" t="s">
        <v>240</v>
      </c>
      <c r="J6" s="36">
        <v>8256</v>
      </c>
      <c r="K6" s="36">
        <v>1194</v>
      </c>
      <c r="L6" s="26">
        <f t="shared" si="0"/>
        <v>9450</v>
      </c>
      <c r="M6" s="26">
        <f t="array" ref="M6">MEDIAN(IF($F$3:$F$810=F6,$L$3:$L$810))</f>
        <v>9450</v>
      </c>
      <c r="N6" s="41">
        <v>9450</v>
      </c>
      <c r="O6" s="38"/>
      <c r="P6" s="76">
        <f>IF(N6&lt;INDEX(Sectorwise!E:E,MATCH(F6,Sectorwise!A:A,0)),1,0)</f>
        <v>0</v>
      </c>
      <c r="Q6" s="76">
        <f>IF(AND(N6&gt;=INDEX(Sectorwise!E:E,MATCH(F6,Sectorwise!A:A,0)),N6&lt;=INDEX(Sectorwise!F:F,MATCH(F6,Sectorwise!A:A,0))),1,0)</f>
        <v>1</v>
      </c>
      <c r="R6" s="76">
        <f>IF(N6&gt;INDEX(Sectorwise!F:F,MATCH(F6,Sectorwise!A:A,0)),1,0)</f>
        <v>0</v>
      </c>
      <c r="S6" s="27">
        <f t="shared" si="1"/>
        <v>0</v>
      </c>
      <c r="T6" s="27">
        <f t="shared" si="2"/>
        <v>9450</v>
      </c>
      <c r="U6" s="27">
        <f t="shared" si="3"/>
        <v>0</v>
      </c>
      <c r="V6" s="95">
        <f>IF(R6=1,(N6-INDEX(Sectorwise!F:F,MATCH(F6,Sectorwise!A:A,0))),0)</f>
        <v>0</v>
      </c>
      <c r="W6" s="97">
        <f>POISSON(N6,INDEX(Sectorwise!D:D,MATCH(Travel!F90,Sectorwise!A:A,0)),TRUE)</f>
        <v>1</v>
      </c>
      <c r="X6" s="39">
        <f>+N6-O6</f>
        <v>9450</v>
      </c>
    </row>
    <row r="7" spans="1:25" ht="15.75" hidden="1" customHeight="1" x14ac:dyDescent="0.2">
      <c r="A7" s="63" t="s">
        <v>1569</v>
      </c>
      <c r="B7" s="63" t="s">
        <v>1576</v>
      </c>
      <c r="C7" s="63"/>
      <c r="E7" s="63" t="s">
        <v>238</v>
      </c>
      <c r="F7" s="63" t="s">
        <v>1577</v>
      </c>
      <c r="G7" s="63" t="s">
        <v>2333</v>
      </c>
      <c r="H7" s="63" t="s">
        <v>1578</v>
      </c>
      <c r="I7" s="63" t="s">
        <v>41</v>
      </c>
      <c r="J7" s="65">
        <v>9985</v>
      </c>
      <c r="K7" s="65">
        <v>515</v>
      </c>
      <c r="L7" s="26">
        <f t="shared" si="0"/>
        <v>10500</v>
      </c>
      <c r="M7" s="26">
        <f t="array" ref="M7">MEDIAN(IF($F$3:$F$810=F7,$L$3:$L$810))</f>
        <v>10500</v>
      </c>
      <c r="N7" s="65">
        <v>10500</v>
      </c>
      <c r="O7" s="62">
        <v>0</v>
      </c>
      <c r="P7" s="76">
        <f>IF(N7&lt;INDEX(Sectorwise!E:E,MATCH(F7,Sectorwise!A:A,0)),1,0)</f>
        <v>0</v>
      </c>
      <c r="Q7" s="76">
        <f>IF(AND(N7&gt;=INDEX(Sectorwise!E:E,MATCH(F7,Sectorwise!A:A,0)),N7&lt;=INDEX(Sectorwise!F:F,MATCH(F7,Sectorwise!A:A,0))),1,0)</f>
        <v>1</v>
      </c>
      <c r="R7" s="76">
        <f>IF(N7&gt;INDEX(Sectorwise!F:F,MATCH(F7,Sectorwise!A:A,0)),1,0)</f>
        <v>0</v>
      </c>
      <c r="S7" s="27">
        <f t="shared" si="1"/>
        <v>0</v>
      </c>
      <c r="T7" s="27">
        <f t="shared" si="2"/>
        <v>10500</v>
      </c>
      <c r="U7" s="27">
        <f t="shared" si="3"/>
        <v>0</v>
      </c>
      <c r="V7" s="95">
        <f>IF(R7=1,(N7-INDEX(Sectorwise!F:F,MATCH(F7,Sectorwise!A:A,0))),0)</f>
        <v>0</v>
      </c>
      <c r="W7" s="97">
        <f>POISSON(N7,INDEX(Sectorwise!D:D,MATCH(Travel!F598,Sectorwise!A:A,0)),TRUE)</f>
        <v>1</v>
      </c>
    </row>
    <row r="8" spans="1:25" ht="15.75" hidden="1" customHeight="1" x14ac:dyDescent="0.2">
      <c r="A8" s="33" t="s">
        <v>236</v>
      </c>
      <c r="B8" s="33" t="s">
        <v>241</v>
      </c>
      <c r="C8" s="40"/>
      <c r="D8" s="35"/>
      <c r="E8" s="33" t="s">
        <v>238</v>
      </c>
      <c r="F8" s="33" t="s">
        <v>2156</v>
      </c>
      <c r="G8" s="69" t="s">
        <v>2308</v>
      </c>
      <c r="H8" s="33" t="s">
        <v>242</v>
      </c>
      <c r="I8" s="33" t="s">
        <v>243</v>
      </c>
      <c r="J8" s="36">
        <v>8256</v>
      </c>
      <c r="K8" s="36">
        <v>1169</v>
      </c>
      <c r="L8" s="26">
        <f t="shared" si="0"/>
        <v>9425</v>
      </c>
      <c r="M8" s="26">
        <f t="array" ref="M8">MEDIAN(IF($F$3:$F$810=F8,$L$3:$L$810))</f>
        <v>9425</v>
      </c>
      <c r="N8" s="41">
        <v>9425</v>
      </c>
      <c r="O8" s="38"/>
      <c r="P8" s="76">
        <f>IF(N8&lt;INDEX(Sectorwise!E:E,MATCH(F8,Sectorwise!A:A,0)),1,0)</f>
        <v>0</v>
      </c>
      <c r="Q8" s="76">
        <f>IF(AND(N8&gt;=INDEX(Sectorwise!E:E,MATCH(F8,Sectorwise!A:A,0)),N8&lt;=INDEX(Sectorwise!F:F,MATCH(F8,Sectorwise!A:A,0))),1,0)</f>
        <v>1</v>
      </c>
      <c r="R8" s="76">
        <f>IF(N8&gt;INDEX(Sectorwise!F:F,MATCH(F8,Sectorwise!A:A,0)),1,0)</f>
        <v>0</v>
      </c>
      <c r="S8" s="27">
        <f t="shared" si="1"/>
        <v>0</v>
      </c>
      <c r="T8" s="27">
        <f t="shared" si="2"/>
        <v>9425</v>
      </c>
      <c r="U8" s="27">
        <f t="shared" si="3"/>
        <v>0</v>
      </c>
      <c r="V8" s="95">
        <f>IF(R8=1,(N8-INDEX(Sectorwise!F:F,MATCH(F8,Sectorwise!A:A,0))),0)</f>
        <v>0</v>
      </c>
      <c r="W8" s="97">
        <f>POISSON(N8,INDEX(Sectorwise!D:D,MATCH(Travel!F91,Sectorwise!A:A,0)),TRUE)</f>
        <v>1</v>
      </c>
      <c r="X8" s="39">
        <f>+N8-O8</f>
        <v>9425</v>
      </c>
    </row>
    <row r="9" spans="1:25" ht="15.75" hidden="1" customHeight="1" x14ac:dyDescent="0.2">
      <c r="A9" s="60" t="s">
        <v>1060</v>
      </c>
      <c r="B9" s="60" t="s">
        <v>1063</v>
      </c>
      <c r="C9" s="60"/>
      <c r="E9" s="60" t="s">
        <v>1064</v>
      </c>
      <c r="F9" s="29" t="s">
        <v>2134</v>
      </c>
      <c r="G9" s="69" t="s">
        <v>2308</v>
      </c>
      <c r="H9" s="60" t="s">
        <v>1065</v>
      </c>
      <c r="I9" s="60" t="s">
        <v>1026</v>
      </c>
      <c r="J9" s="61">
        <v>6256</v>
      </c>
      <c r="K9" s="61">
        <v>960</v>
      </c>
      <c r="L9" s="26">
        <f t="shared" si="0"/>
        <v>7216</v>
      </c>
      <c r="M9" s="26">
        <f t="array" ref="M9">MEDIAN(IF($F$3:$F$810=F9,$L$3:$L$810))</f>
        <v>7412.5</v>
      </c>
      <c r="N9" s="61">
        <v>14432</v>
      </c>
      <c r="O9" s="62">
        <v>0</v>
      </c>
      <c r="P9" s="76">
        <f>IF(N9&lt;INDEX(Sectorwise!E:E,MATCH(F9,Sectorwise!A:A,0)),1,0)</f>
        <v>0</v>
      </c>
      <c r="Q9" s="76">
        <f>IF(AND(N9&gt;=INDEX(Sectorwise!E:E,MATCH(F9,Sectorwise!A:A,0)),N9&lt;=INDEX(Sectorwise!F:F,MATCH(F9,Sectorwise!A:A,0))),1,0)</f>
        <v>0</v>
      </c>
      <c r="R9" s="76">
        <f>IF(N9&gt;INDEX(Sectorwise!F:F,MATCH(F9,Sectorwise!A:A,0)),1,0)</f>
        <v>1</v>
      </c>
      <c r="S9" s="27">
        <f t="shared" si="1"/>
        <v>0</v>
      </c>
      <c r="T9" s="27">
        <f t="shared" si="2"/>
        <v>0</v>
      </c>
      <c r="U9" s="27">
        <f t="shared" si="3"/>
        <v>14432</v>
      </c>
      <c r="V9" s="95">
        <f>IF(R9=1,(N9-INDEX(Sectorwise!F:F,MATCH(F9,Sectorwise!A:A,0))),0)</f>
        <v>6232</v>
      </c>
      <c r="W9" s="97">
        <f>POISSON(N9,INDEX(Sectorwise!D:D,MATCH(Travel!F399,Sectorwise!A:A,0)),TRUE)</f>
        <v>1</v>
      </c>
    </row>
    <row r="10" spans="1:25" ht="15.75" hidden="1" customHeight="1" x14ac:dyDescent="0.2">
      <c r="A10" s="60" t="s">
        <v>1060</v>
      </c>
      <c r="B10" s="60" t="s">
        <v>1067</v>
      </c>
      <c r="C10" s="60"/>
      <c r="E10" s="60" t="s">
        <v>1064</v>
      </c>
      <c r="F10" s="21" t="s">
        <v>2135</v>
      </c>
      <c r="G10" s="69" t="s">
        <v>2308</v>
      </c>
      <c r="H10" s="60" t="s">
        <v>1068</v>
      </c>
      <c r="I10" s="60" t="s">
        <v>1026</v>
      </c>
      <c r="J10" s="61">
        <v>6306</v>
      </c>
      <c r="K10" s="61">
        <v>1045</v>
      </c>
      <c r="L10" s="26">
        <f t="shared" si="0"/>
        <v>7351</v>
      </c>
      <c r="M10" s="26">
        <f t="array" ref="M10">MEDIAN(IF($F$3:$F$810=F10,$L$3:$L$810))</f>
        <v>7234</v>
      </c>
      <c r="N10" s="61">
        <v>14702</v>
      </c>
      <c r="O10" s="62">
        <v>0</v>
      </c>
      <c r="P10" s="76">
        <f>IF(N10&lt;INDEX(Sectorwise!E:E,MATCH(F10,Sectorwise!A:A,0)),1,0)</f>
        <v>0</v>
      </c>
      <c r="Q10" s="76">
        <f>IF(AND(N10&gt;=INDEX(Sectorwise!E:E,MATCH(F10,Sectorwise!A:A,0)),N10&lt;=INDEX(Sectorwise!F:F,MATCH(F10,Sectorwise!A:A,0))),1,0)</f>
        <v>0</v>
      </c>
      <c r="R10" s="76">
        <f>IF(N10&gt;INDEX(Sectorwise!F:F,MATCH(F10,Sectorwise!A:A,0)),1,0)</f>
        <v>1</v>
      </c>
      <c r="S10" s="27">
        <f t="shared" si="1"/>
        <v>0</v>
      </c>
      <c r="T10" s="27">
        <f t="shared" si="2"/>
        <v>0</v>
      </c>
      <c r="U10" s="27">
        <f t="shared" si="3"/>
        <v>14702</v>
      </c>
      <c r="V10" s="95">
        <f>IF(R10=1,(N10-INDEX(Sectorwise!F:F,MATCH(F10,Sectorwise!A:A,0))),0)</f>
        <v>6702</v>
      </c>
      <c r="W10" s="97">
        <f>POISSON(N10,INDEX(Sectorwise!D:D,MATCH(Travel!F401,Sectorwise!A:A,0)),TRUE)</f>
        <v>1</v>
      </c>
    </row>
    <row r="11" spans="1:25" ht="15.75" hidden="1" customHeight="1" x14ac:dyDescent="0.2">
      <c r="A11" s="29" t="s">
        <v>1676</v>
      </c>
      <c r="B11" s="29" t="s">
        <v>1691</v>
      </c>
      <c r="C11" s="29"/>
      <c r="E11" s="29" t="s">
        <v>1692</v>
      </c>
      <c r="F11" s="63" t="s">
        <v>2136</v>
      </c>
      <c r="G11" s="69" t="s">
        <v>2308</v>
      </c>
      <c r="H11" s="29" t="s">
        <v>1693</v>
      </c>
      <c r="I11" s="29" t="s">
        <v>1694</v>
      </c>
      <c r="J11" s="65">
        <v>8900</v>
      </c>
      <c r="K11" s="65">
        <v>7267</v>
      </c>
      <c r="L11" s="26">
        <f t="shared" si="0"/>
        <v>16167</v>
      </c>
      <c r="M11" s="26">
        <f t="array" ref="M11">MEDIAN(IF($F$3:$F$810=F11,$L$3:$L$810))</f>
        <v>14406</v>
      </c>
      <c r="N11" s="65">
        <v>16167</v>
      </c>
      <c r="O11" s="62"/>
      <c r="P11" s="76">
        <f>IF(N11&lt;INDEX(Sectorwise!E:E,MATCH(F11,Sectorwise!A:A,0)),1,0)</f>
        <v>0</v>
      </c>
      <c r="Q11" s="76">
        <f>IF(AND(N11&gt;=INDEX(Sectorwise!E:E,MATCH(F11,Sectorwise!A:A,0)),N11&lt;=INDEX(Sectorwise!F:F,MATCH(F11,Sectorwise!A:A,0))),1,0)</f>
        <v>0</v>
      </c>
      <c r="R11" s="76">
        <f>IF(N11&gt;INDEX(Sectorwise!F:F,MATCH(F11,Sectorwise!A:A,0)),1,0)</f>
        <v>1</v>
      </c>
      <c r="S11" s="27">
        <f t="shared" si="1"/>
        <v>0</v>
      </c>
      <c r="T11" s="27">
        <f t="shared" si="2"/>
        <v>0</v>
      </c>
      <c r="U11" s="27">
        <f t="shared" si="3"/>
        <v>16167</v>
      </c>
      <c r="V11" s="95">
        <f>IF(R11=1,(N11-INDEX(Sectorwise!F:F,MATCH(F11,Sectorwise!A:A,0))),0)</f>
        <v>267</v>
      </c>
      <c r="W11" s="97">
        <f>POISSON(N11,INDEX(Sectorwise!D:D,MATCH(Travel!F643,Sectorwise!A:A,0)),TRUE)</f>
        <v>1</v>
      </c>
    </row>
    <row r="12" spans="1:25" ht="15.75" hidden="1" customHeight="1" x14ac:dyDescent="0.2">
      <c r="A12" s="33" t="s">
        <v>263</v>
      </c>
      <c r="B12" s="33" t="s">
        <v>266</v>
      </c>
      <c r="C12" s="40"/>
      <c r="D12" s="35"/>
      <c r="E12" s="33" t="s">
        <v>2274</v>
      </c>
      <c r="F12" s="29" t="s">
        <v>2134</v>
      </c>
      <c r="G12" s="33" t="s">
        <v>2321</v>
      </c>
      <c r="H12" s="33" t="s">
        <v>267</v>
      </c>
      <c r="I12" s="33" t="s">
        <v>268</v>
      </c>
      <c r="J12" s="36">
        <v>4213</v>
      </c>
      <c r="K12" s="36">
        <v>3394</v>
      </c>
      <c r="L12" s="26">
        <f t="shared" si="0"/>
        <v>7607</v>
      </c>
      <c r="M12" s="26">
        <f t="array" ref="M12">MEDIAN(IF($F$3:$F$810=F12,$L$3:$L$810))</f>
        <v>7412.5</v>
      </c>
      <c r="N12" s="41">
        <v>7607</v>
      </c>
      <c r="O12" s="38"/>
      <c r="P12" s="76">
        <f>IF(N12&lt;INDEX(Sectorwise!E:E,MATCH(F12,Sectorwise!A:A,0)),1,0)</f>
        <v>0</v>
      </c>
      <c r="Q12" s="76">
        <f>IF(AND(N12&gt;=INDEX(Sectorwise!E:E,MATCH(F12,Sectorwise!A:A,0)),N12&lt;=INDEX(Sectorwise!F:F,MATCH(F12,Sectorwise!A:A,0))),1,0)</f>
        <v>1</v>
      </c>
      <c r="R12" s="76">
        <f>IF(N12&gt;INDEX(Sectorwise!F:F,MATCH(F12,Sectorwise!A:A,0)),1,0)</f>
        <v>0</v>
      </c>
      <c r="S12" s="27">
        <f t="shared" si="1"/>
        <v>0</v>
      </c>
      <c r="T12" s="27">
        <f t="shared" si="2"/>
        <v>7607</v>
      </c>
      <c r="U12" s="27">
        <f t="shared" si="3"/>
        <v>0</v>
      </c>
      <c r="V12" s="95">
        <f>IF(R12=1,(N12-INDEX(Sectorwise!F:F,MATCH(F12,Sectorwise!A:A,0))),0)</f>
        <v>0</v>
      </c>
      <c r="W12" s="97">
        <f>POISSON(N12,INDEX(Sectorwise!D:D,MATCH(Travel!F100,Sectorwise!A:A,0)),TRUE)</f>
        <v>0.98799662144866751</v>
      </c>
      <c r="X12" s="39">
        <f>+N12-O12</f>
        <v>7607</v>
      </c>
    </row>
    <row r="13" spans="1:25" ht="15.75" hidden="1" customHeight="1" x14ac:dyDescent="0.2">
      <c r="A13" s="56" t="s">
        <v>807</v>
      </c>
      <c r="B13" s="56" t="s">
        <v>808</v>
      </c>
      <c r="C13" s="56"/>
      <c r="E13" s="33" t="s">
        <v>2274</v>
      </c>
      <c r="F13" s="29" t="s">
        <v>2134</v>
      </c>
      <c r="G13" s="56" t="s">
        <v>2309</v>
      </c>
      <c r="H13" s="56" t="s">
        <v>809</v>
      </c>
      <c r="I13" s="56" t="s">
        <v>806</v>
      </c>
      <c r="J13" s="57">
        <v>2540</v>
      </c>
      <c r="K13" s="57">
        <v>1699</v>
      </c>
      <c r="L13" s="26">
        <f t="shared" si="0"/>
        <v>4239</v>
      </c>
      <c r="M13" s="26">
        <f t="array" ref="M13">MEDIAN(IF($F$3:$F$810=F13,$L$3:$L$810))</f>
        <v>7412.5</v>
      </c>
      <c r="N13" s="57">
        <v>8355</v>
      </c>
      <c r="O13" s="58">
        <v>0</v>
      </c>
      <c r="P13" s="76">
        <f>IF(N13&lt;INDEX(Sectorwise!E:E,MATCH(F13,Sectorwise!A:A,0)),1,0)</f>
        <v>0</v>
      </c>
      <c r="Q13" s="76">
        <f>IF(AND(N13&gt;=INDEX(Sectorwise!E:E,MATCH(F13,Sectorwise!A:A,0)),N13&lt;=INDEX(Sectorwise!F:F,MATCH(F13,Sectorwise!A:A,0))),1,0)</f>
        <v>0</v>
      </c>
      <c r="R13" s="76">
        <f>IF(N13&gt;INDEX(Sectorwise!F:F,MATCH(F13,Sectorwise!A:A,0)),1,0)</f>
        <v>1</v>
      </c>
      <c r="S13" s="27">
        <f t="shared" si="1"/>
        <v>0</v>
      </c>
      <c r="T13" s="27">
        <f t="shared" si="2"/>
        <v>0</v>
      </c>
      <c r="U13" s="27">
        <f t="shared" si="3"/>
        <v>8355</v>
      </c>
      <c r="V13" s="95">
        <f>IF(R13=1,(N13-INDEX(Sectorwise!F:F,MATCH(F13,Sectorwise!A:A,0))),0)</f>
        <v>155</v>
      </c>
      <c r="W13" s="97">
        <f>POISSON(N13,INDEX(Sectorwise!D:D,MATCH(Travel!F303,Sectorwise!A:A,0)),TRUE)</f>
        <v>1</v>
      </c>
      <c r="Y13" s="31"/>
    </row>
    <row r="14" spans="1:25" ht="15.75" hidden="1" customHeight="1" x14ac:dyDescent="0.2">
      <c r="A14" s="60" t="s">
        <v>1383</v>
      </c>
      <c r="B14" s="60" t="s">
        <v>1387</v>
      </c>
      <c r="C14" s="60"/>
      <c r="E14" s="33" t="s">
        <v>2274</v>
      </c>
      <c r="F14" s="29" t="s">
        <v>2134</v>
      </c>
      <c r="G14" s="69" t="s">
        <v>2308</v>
      </c>
      <c r="H14" s="60" t="s">
        <v>1388</v>
      </c>
      <c r="I14" s="60" t="s">
        <v>1389</v>
      </c>
      <c r="J14" s="61">
        <v>6256</v>
      </c>
      <c r="K14" s="61">
        <v>960</v>
      </c>
      <c r="L14" s="26">
        <f t="shared" si="0"/>
        <v>7216</v>
      </c>
      <c r="M14" s="26">
        <f t="array" ref="M14">MEDIAN(IF($F$3:$F$810=F14,$L$3:$L$810))</f>
        <v>7412.5</v>
      </c>
      <c r="N14" s="61">
        <v>7216</v>
      </c>
      <c r="O14" s="62">
        <v>0</v>
      </c>
      <c r="P14" s="76">
        <f>IF(N14&lt;INDEX(Sectorwise!E:E,MATCH(F14,Sectorwise!A:A,0)),1,0)</f>
        <v>0</v>
      </c>
      <c r="Q14" s="76">
        <f>IF(AND(N14&gt;=INDEX(Sectorwise!E:E,MATCH(F14,Sectorwise!A:A,0)),N14&lt;=INDEX(Sectorwise!F:F,MATCH(F14,Sectorwise!A:A,0))),1,0)</f>
        <v>1</v>
      </c>
      <c r="R14" s="76">
        <f>IF(N14&gt;INDEX(Sectorwise!F:F,MATCH(F14,Sectorwise!A:A,0)),1,0)</f>
        <v>0</v>
      </c>
      <c r="S14" s="27">
        <f t="shared" si="1"/>
        <v>0</v>
      </c>
      <c r="T14" s="27">
        <f t="shared" si="2"/>
        <v>7216</v>
      </c>
      <c r="U14" s="27">
        <f t="shared" si="3"/>
        <v>0</v>
      </c>
      <c r="V14" s="95">
        <f>IF(R14=1,(N14-INDEX(Sectorwise!F:F,MATCH(F14,Sectorwise!A:A,0))),0)</f>
        <v>0</v>
      </c>
      <c r="W14" s="97">
        <f>POISSON(N14,INDEX(Sectorwise!D:D,MATCH(Travel!F519,Sectorwise!A:A,0)),TRUE)</f>
        <v>0.41922485026225359</v>
      </c>
    </row>
    <row r="15" spans="1:25" ht="15.75" hidden="1" customHeight="1" x14ac:dyDescent="0.2">
      <c r="A15" s="60" t="s">
        <v>1365</v>
      </c>
      <c r="B15" s="60" t="s">
        <v>1369</v>
      </c>
      <c r="C15" s="60"/>
      <c r="E15" s="33" t="s">
        <v>2274</v>
      </c>
      <c r="F15" s="33" t="s">
        <v>2208</v>
      </c>
      <c r="G15" s="69" t="s">
        <v>2308</v>
      </c>
      <c r="H15" s="60" t="s">
        <v>1370</v>
      </c>
      <c r="I15" s="60" t="s">
        <v>1358</v>
      </c>
      <c r="J15" s="61">
        <v>8670</v>
      </c>
      <c r="K15" s="61">
        <v>1927</v>
      </c>
      <c r="L15" s="26">
        <f t="shared" si="0"/>
        <v>10597</v>
      </c>
      <c r="M15" s="26">
        <f t="array" ref="M15">MEDIAN(IF($F$3:$F$810=F15,$L$3:$L$810))</f>
        <v>10597</v>
      </c>
      <c r="N15" s="61">
        <v>10597</v>
      </c>
      <c r="O15" s="62">
        <v>0</v>
      </c>
      <c r="P15" s="76">
        <f>IF(N15&lt;INDEX(Sectorwise!E:E,MATCH(F15,Sectorwise!A:A,0)),1,0)</f>
        <v>0</v>
      </c>
      <c r="Q15" s="76">
        <f>IF(AND(N15&gt;=INDEX(Sectorwise!E:E,MATCH(F15,Sectorwise!A:A,0)),N15&lt;=INDEX(Sectorwise!F:F,MATCH(F15,Sectorwise!A:A,0))),1,0)</f>
        <v>1</v>
      </c>
      <c r="R15" s="76">
        <f>IF(N15&gt;INDEX(Sectorwise!F:F,MATCH(F15,Sectorwise!A:A,0)),1,0)</f>
        <v>0</v>
      </c>
      <c r="S15" s="27">
        <f t="shared" si="1"/>
        <v>0</v>
      </c>
      <c r="T15" s="27">
        <f t="shared" si="2"/>
        <v>10597</v>
      </c>
      <c r="U15" s="27">
        <f t="shared" si="3"/>
        <v>0</v>
      </c>
      <c r="V15" s="95">
        <f>IF(R15=1,(N15-INDEX(Sectorwise!F:F,MATCH(F15,Sectorwise!A:A,0))),0)</f>
        <v>0</v>
      </c>
      <c r="W15" s="97">
        <f>POISSON(N15,INDEX(Sectorwise!D:D,MATCH(Travel!F512,Sectorwise!A:A,0)),TRUE)</f>
        <v>1</v>
      </c>
    </row>
    <row r="16" spans="1:25" ht="15.75" hidden="1" customHeight="1" x14ac:dyDescent="0.2">
      <c r="A16" s="33" t="s">
        <v>263</v>
      </c>
      <c r="B16" s="33" t="s">
        <v>266</v>
      </c>
      <c r="C16" s="40"/>
      <c r="D16" s="35"/>
      <c r="E16" s="33" t="s">
        <v>2274</v>
      </c>
      <c r="F16" s="21" t="s">
        <v>2135</v>
      </c>
      <c r="G16" s="69" t="s">
        <v>2308</v>
      </c>
      <c r="H16" s="33" t="s">
        <v>269</v>
      </c>
      <c r="I16" s="33" t="s">
        <v>270</v>
      </c>
      <c r="J16" s="36">
        <v>3720</v>
      </c>
      <c r="K16" s="36">
        <v>3481</v>
      </c>
      <c r="L16" s="26">
        <f t="shared" si="0"/>
        <v>7201</v>
      </c>
      <c r="M16" s="26">
        <f t="array" ref="M16">MEDIAN(IF($F$3:$F$810=F16,$L$3:$L$810))</f>
        <v>7234</v>
      </c>
      <c r="N16" s="41">
        <v>7201</v>
      </c>
      <c r="O16" s="38"/>
      <c r="P16" s="76">
        <f>IF(N16&lt;INDEX(Sectorwise!E:E,MATCH(F16,Sectorwise!A:A,0)),1,0)</f>
        <v>0</v>
      </c>
      <c r="Q16" s="76">
        <f>IF(AND(N16&gt;=INDEX(Sectorwise!E:E,MATCH(F16,Sectorwise!A:A,0)),N16&lt;=INDEX(Sectorwise!F:F,MATCH(F16,Sectorwise!A:A,0))),1,0)</f>
        <v>1</v>
      </c>
      <c r="R16" s="76">
        <f>IF(N16&gt;INDEX(Sectorwise!F:F,MATCH(F16,Sectorwise!A:A,0)),1,0)</f>
        <v>0</v>
      </c>
      <c r="S16" s="27">
        <f t="shared" si="1"/>
        <v>0</v>
      </c>
      <c r="T16" s="27">
        <f t="shared" si="2"/>
        <v>7201</v>
      </c>
      <c r="U16" s="27">
        <f t="shared" si="3"/>
        <v>0</v>
      </c>
      <c r="V16" s="95">
        <f>IF(R16=1,(N16-INDEX(Sectorwise!F:F,MATCH(F16,Sectorwise!A:A,0))),0)</f>
        <v>0</v>
      </c>
      <c r="W16" s="97">
        <f>POISSON(N16,INDEX(Sectorwise!D:D,MATCH(Travel!F101,Sectorwise!A:A,0)),TRUE)</f>
        <v>6.9356692112945298E-3</v>
      </c>
      <c r="X16" s="39">
        <f>+N16-O16</f>
        <v>7201</v>
      </c>
    </row>
    <row r="17" spans="1:24" ht="15.75" hidden="1" customHeight="1" x14ac:dyDescent="0.2">
      <c r="A17" s="33" t="s">
        <v>274</v>
      </c>
      <c r="B17" s="33" t="s">
        <v>286</v>
      </c>
      <c r="C17" s="40"/>
      <c r="D17" s="35"/>
      <c r="E17" s="33" t="s">
        <v>2274</v>
      </c>
      <c r="F17" s="21" t="s">
        <v>2135</v>
      </c>
      <c r="G17" s="33" t="s">
        <v>2321</v>
      </c>
      <c r="H17" s="33" t="s">
        <v>287</v>
      </c>
      <c r="I17" s="33" t="s">
        <v>270</v>
      </c>
      <c r="J17" s="42">
        <v>3779</v>
      </c>
      <c r="K17" s="45">
        <v>3214</v>
      </c>
      <c r="L17" s="26">
        <f t="shared" si="0"/>
        <v>6993</v>
      </c>
      <c r="M17" s="26">
        <f t="array" ref="M17">MEDIAN(IF($F$3:$F$810=F17,$L$3:$L$810))</f>
        <v>7234</v>
      </c>
      <c r="N17" s="43">
        <f>+J17+K17</f>
        <v>6993</v>
      </c>
      <c r="O17" s="38"/>
      <c r="P17" s="76">
        <f>IF(N17&lt;INDEX(Sectorwise!E:E,MATCH(F17,Sectorwise!A:A,0)),1,0)</f>
        <v>0</v>
      </c>
      <c r="Q17" s="76">
        <f>IF(AND(N17&gt;=INDEX(Sectorwise!E:E,MATCH(F17,Sectorwise!A:A,0)),N17&lt;=INDEX(Sectorwise!F:F,MATCH(F17,Sectorwise!A:A,0))),1,0)</f>
        <v>1</v>
      </c>
      <c r="R17" s="76">
        <f>IF(N17&gt;INDEX(Sectorwise!F:F,MATCH(F17,Sectorwise!A:A,0)),1,0)</f>
        <v>0</v>
      </c>
      <c r="S17" s="27">
        <f t="shared" si="1"/>
        <v>0</v>
      </c>
      <c r="T17" s="27">
        <f t="shared" si="2"/>
        <v>6993</v>
      </c>
      <c r="U17" s="27">
        <f t="shared" si="3"/>
        <v>0</v>
      </c>
      <c r="V17" s="95">
        <f>IF(R17=1,(N17-INDEX(Sectorwise!F:F,MATCH(F17,Sectorwise!A:A,0))),0)</f>
        <v>0</v>
      </c>
      <c r="W17" s="97">
        <f>POISSON(N17,INDEX(Sectorwise!D:D,MATCH(Travel!F107,Sectorwise!A:A,0)),TRUE)</f>
        <v>0</v>
      </c>
      <c r="X17" s="44">
        <f>+N17-O17</f>
        <v>6993</v>
      </c>
    </row>
    <row r="18" spans="1:24" ht="15.75" hidden="1" customHeight="1" x14ac:dyDescent="0.2">
      <c r="A18" s="56" t="s">
        <v>807</v>
      </c>
      <c r="B18" s="56" t="s">
        <v>808</v>
      </c>
      <c r="C18" s="56"/>
      <c r="E18" s="33" t="s">
        <v>2274</v>
      </c>
      <c r="F18" s="21" t="s">
        <v>2135</v>
      </c>
      <c r="G18" s="56" t="s">
        <v>2309</v>
      </c>
      <c r="H18" s="56" t="s">
        <v>810</v>
      </c>
      <c r="I18" s="56" t="s">
        <v>811</v>
      </c>
      <c r="J18" s="57">
        <v>2345</v>
      </c>
      <c r="K18" s="57">
        <v>1771</v>
      </c>
      <c r="L18" s="26">
        <f t="shared" si="0"/>
        <v>4116</v>
      </c>
      <c r="M18" s="26">
        <f t="array" ref="M18">MEDIAN(IF($F$3:$F$810=F18,$L$3:$L$810))</f>
        <v>7234</v>
      </c>
      <c r="N18" s="57">
        <f>J18+K18</f>
        <v>4116</v>
      </c>
      <c r="O18" s="58">
        <v>0</v>
      </c>
      <c r="P18" s="76">
        <f>IF(N18&lt;INDEX(Sectorwise!E:E,MATCH(F18,Sectorwise!A:A,0)),1,0)</f>
        <v>1</v>
      </c>
      <c r="Q18" s="76">
        <f>IF(AND(N18&gt;=INDEX(Sectorwise!E:E,MATCH(F18,Sectorwise!A:A,0)),N18&lt;=INDEX(Sectorwise!F:F,MATCH(F18,Sectorwise!A:A,0))),1,0)</f>
        <v>0</v>
      </c>
      <c r="R18" s="76">
        <f>IF(N18&gt;INDEX(Sectorwise!F:F,MATCH(F18,Sectorwise!A:A,0)),1,0)</f>
        <v>0</v>
      </c>
      <c r="S18" s="27">
        <f t="shared" si="1"/>
        <v>4116</v>
      </c>
      <c r="T18" s="27">
        <f t="shared" si="2"/>
        <v>0</v>
      </c>
      <c r="U18" s="27">
        <f t="shared" si="3"/>
        <v>0</v>
      </c>
      <c r="V18" s="95">
        <f>IF(R18=1,(N18-INDEX(Sectorwise!F:F,MATCH(F18,Sectorwise!A:A,0))),0)</f>
        <v>0</v>
      </c>
      <c r="W18" s="97">
        <f>POISSON(N18,INDEX(Sectorwise!D:D,MATCH(Travel!F304,Sectorwise!A:A,0)),TRUE)</f>
        <v>0</v>
      </c>
    </row>
    <row r="19" spans="1:24" ht="15.75" hidden="1" customHeight="1" x14ac:dyDescent="0.2">
      <c r="A19" s="63" t="s">
        <v>1874</v>
      </c>
      <c r="B19" s="63" t="s">
        <v>1888</v>
      </c>
      <c r="C19" s="63"/>
      <c r="E19" s="33" t="s">
        <v>2274</v>
      </c>
      <c r="F19" s="21" t="s">
        <v>2135</v>
      </c>
      <c r="G19" s="69" t="s">
        <v>2308</v>
      </c>
      <c r="H19" s="63" t="s">
        <v>1889</v>
      </c>
      <c r="I19" s="63" t="s">
        <v>1822</v>
      </c>
      <c r="J19" s="65">
        <v>5816</v>
      </c>
      <c r="K19" s="65">
        <v>1139</v>
      </c>
      <c r="L19" s="26">
        <f t="shared" si="0"/>
        <v>6955</v>
      </c>
      <c r="M19" s="26">
        <f t="array" ref="M19">MEDIAN(IF($F$3:$F$810=F19,$L$3:$L$810))</f>
        <v>7234</v>
      </c>
      <c r="N19" s="65">
        <v>6955</v>
      </c>
      <c r="O19" s="62">
        <v>0</v>
      </c>
      <c r="P19" s="76">
        <f>IF(N19&lt;INDEX(Sectorwise!E:E,MATCH(F19,Sectorwise!A:A,0)),1,0)</f>
        <v>0</v>
      </c>
      <c r="Q19" s="76">
        <f>IF(AND(N19&gt;=INDEX(Sectorwise!E:E,MATCH(F19,Sectorwise!A:A,0)),N19&lt;=INDEX(Sectorwise!F:F,MATCH(F19,Sectorwise!A:A,0))),1,0)</f>
        <v>1</v>
      </c>
      <c r="R19" s="76">
        <f>IF(N19&gt;INDEX(Sectorwise!F:F,MATCH(F19,Sectorwise!A:A,0)),1,0)</f>
        <v>0</v>
      </c>
      <c r="S19" s="27">
        <f t="shared" si="1"/>
        <v>0</v>
      </c>
      <c r="T19" s="27">
        <f t="shared" si="2"/>
        <v>6955</v>
      </c>
      <c r="U19" s="27">
        <f t="shared" si="3"/>
        <v>0</v>
      </c>
      <c r="V19" s="95">
        <f>IF(R19=1,(N19-INDEX(Sectorwise!F:F,MATCH(F19,Sectorwise!A:A,0))),0)</f>
        <v>0</v>
      </c>
      <c r="W19" s="97">
        <f>POISSON(N19,INDEX(Sectorwise!D:D,MATCH(Travel!F720,Sectorwise!A:A,0)),TRUE)</f>
        <v>2.8969566894799366E-209</v>
      </c>
    </row>
    <row r="20" spans="1:24" ht="15.75" hidden="1" customHeight="1" x14ac:dyDescent="0.2">
      <c r="A20" s="60" t="s">
        <v>1383</v>
      </c>
      <c r="B20" s="60" t="s">
        <v>1384</v>
      </c>
      <c r="C20" s="60"/>
      <c r="E20" s="33" t="s">
        <v>2274</v>
      </c>
      <c r="F20" s="60" t="s">
        <v>2175</v>
      </c>
      <c r="G20" s="56" t="s">
        <v>2309</v>
      </c>
      <c r="H20" s="60" t="s">
        <v>1385</v>
      </c>
      <c r="I20" s="60" t="s">
        <v>1386</v>
      </c>
      <c r="J20" s="61">
        <v>3600</v>
      </c>
      <c r="K20" s="61">
        <v>1525</v>
      </c>
      <c r="L20" s="26">
        <f t="shared" si="0"/>
        <v>5125</v>
      </c>
      <c r="M20" s="26">
        <f t="array" ref="M20">MEDIAN(IF($F$3:$F$810=F20,$L$3:$L$810))</f>
        <v>5814</v>
      </c>
      <c r="N20" s="61">
        <v>5125</v>
      </c>
      <c r="O20" s="62">
        <v>0</v>
      </c>
      <c r="P20" s="76">
        <f>IF(N20&lt;INDEX(Sectorwise!E:E,MATCH(F20,Sectorwise!A:A,0)),1,0)</f>
        <v>1</v>
      </c>
      <c r="Q20" s="76">
        <f>IF(AND(N20&gt;=INDEX(Sectorwise!E:E,MATCH(F20,Sectorwise!A:A,0)),N20&lt;=INDEX(Sectorwise!F:F,MATCH(F20,Sectorwise!A:A,0))),1,0)</f>
        <v>0</v>
      </c>
      <c r="R20" s="76">
        <f>IF(N20&gt;INDEX(Sectorwise!F:F,MATCH(F20,Sectorwise!A:A,0)),1,0)</f>
        <v>0</v>
      </c>
      <c r="S20" s="27">
        <f t="shared" si="1"/>
        <v>5125</v>
      </c>
      <c r="T20" s="27">
        <f t="shared" si="2"/>
        <v>0</v>
      </c>
      <c r="U20" s="27">
        <f t="shared" si="3"/>
        <v>0</v>
      </c>
      <c r="V20" s="95">
        <f>IF(R20=1,(N20-INDEX(Sectorwise!F:F,MATCH(F20,Sectorwise!A:A,0))),0)</f>
        <v>0</v>
      </c>
      <c r="W20" s="97">
        <f>POISSON(N20,INDEX(Sectorwise!D:D,MATCH(Travel!F518,Sectorwise!A:A,0)),TRUE)</f>
        <v>3.0729109834442222E-151</v>
      </c>
    </row>
    <row r="21" spans="1:24" ht="15.75" hidden="1" customHeight="1" x14ac:dyDescent="0.2">
      <c r="A21" s="63" t="s">
        <v>1893</v>
      </c>
      <c r="B21" s="63" t="s">
        <v>1907</v>
      </c>
      <c r="C21" s="63"/>
      <c r="E21" s="33" t="s">
        <v>2274</v>
      </c>
      <c r="F21" s="63" t="s">
        <v>2205</v>
      </c>
      <c r="G21" s="63" t="s">
        <v>2322</v>
      </c>
      <c r="H21" s="63" t="s">
        <v>1908</v>
      </c>
      <c r="I21" s="63" t="s">
        <v>1909</v>
      </c>
      <c r="J21" s="65">
        <v>13215</v>
      </c>
      <c r="K21" s="65">
        <v>6785</v>
      </c>
      <c r="L21" s="26">
        <f t="shared" si="0"/>
        <v>20000</v>
      </c>
      <c r="M21" s="26">
        <f t="array" ref="M21">MEDIAN(IF($F$3:$F$810=F21,$L$3:$L$810))</f>
        <v>21000</v>
      </c>
      <c r="N21" s="65">
        <v>20000</v>
      </c>
      <c r="O21" s="62">
        <v>0</v>
      </c>
      <c r="P21" s="76">
        <f>IF(N21&lt;INDEX(Sectorwise!E:E,MATCH(F21,Sectorwise!A:A,0)),1,0)</f>
        <v>0</v>
      </c>
      <c r="Q21" s="76">
        <f>IF(AND(N21&gt;=INDEX(Sectorwise!E:E,MATCH(F21,Sectorwise!A:A,0)),N21&lt;=INDEX(Sectorwise!F:F,MATCH(F21,Sectorwise!A:A,0))),1,0)</f>
        <v>1</v>
      </c>
      <c r="R21" s="76">
        <f>IF(N21&gt;INDEX(Sectorwise!F:F,MATCH(F21,Sectorwise!A:A,0)),1,0)</f>
        <v>0</v>
      </c>
      <c r="S21" s="27">
        <f t="shared" si="1"/>
        <v>0</v>
      </c>
      <c r="T21" s="27">
        <f t="shared" si="2"/>
        <v>20000</v>
      </c>
      <c r="U21" s="27">
        <f t="shared" si="3"/>
        <v>0</v>
      </c>
      <c r="V21" s="95">
        <f>IF(R21=1,(N21-INDEX(Sectorwise!F:F,MATCH(F21,Sectorwise!A:A,0))),0)</f>
        <v>0</v>
      </c>
      <c r="W21" s="97">
        <f>POISSON(N21,INDEX(Sectorwise!D:D,MATCH(Travel!F727,Sectorwise!A:A,0)),TRUE)</f>
        <v>1</v>
      </c>
    </row>
    <row r="22" spans="1:24" ht="15.75" hidden="1" customHeight="1" x14ac:dyDescent="0.2">
      <c r="A22" s="63" t="s">
        <v>1874</v>
      </c>
      <c r="B22" s="63" t="s">
        <v>1886</v>
      </c>
      <c r="C22" s="63"/>
      <c r="E22" s="33" t="s">
        <v>2274</v>
      </c>
      <c r="F22" s="33" t="s">
        <v>2191</v>
      </c>
      <c r="G22" s="69" t="s">
        <v>2308</v>
      </c>
      <c r="H22" s="63" t="s">
        <v>1887</v>
      </c>
      <c r="I22" s="63" t="s">
        <v>1807</v>
      </c>
      <c r="J22" s="65">
        <v>3870</v>
      </c>
      <c r="K22" s="65">
        <v>1130</v>
      </c>
      <c r="L22" s="26">
        <f t="shared" si="0"/>
        <v>5000</v>
      </c>
      <c r="M22" s="26">
        <f t="array" ref="M22">MEDIAN(IF($F$3:$F$810=F22,$L$3:$L$810))</f>
        <v>5519</v>
      </c>
      <c r="N22" s="65">
        <v>5000</v>
      </c>
      <c r="O22" s="62">
        <v>0</v>
      </c>
      <c r="P22" s="76">
        <f>IF(N22&lt;INDEX(Sectorwise!E:E,MATCH(F22,Sectorwise!A:A,0)),1,0)</f>
        <v>0</v>
      </c>
      <c r="Q22" s="76">
        <f>IF(AND(N22&gt;=INDEX(Sectorwise!E:E,MATCH(F22,Sectorwise!A:A,0)),N22&lt;=INDEX(Sectorwise!F:F,MATCH(F22,Sectorwise!A:A,0))),1,0)</f>
        <v>1</v>
      </c>
      <c r="R22" s="76">
        <f>IF(N22&gt;INDEX(Sectorwise!F:F,MATCH(F22,Sectorwise!A:A,0)),1,0)</f>
        <v>0</v>
      </c>
      <c r="S22" s="27">
        <f t="shared" si="1"/>
        <v>0</v>
      </c>
      <c r="T22" s="27">
        <f t="shared" si="2"/>
        <v>5000</v>
      </c>
      <c r="U22" s="27">
        <f t="shared" si="3"/>
        <v>0</v>
      </c>
      <c r="V22" s="95">
        <f>IF(R22=1,(N22-INDEX(Sectorwise!F:F,MATCH(F22,Sectorwise!A:A,0))),0)</f>
        <v>0</v>
      </c>
      <c r="W22" s="97">
        <f>POISSON(N22,INDEX(Sectorwise!D:D,MATCH(Travel!F719,Sectorwise!A:A,0)),TRUE)</f>
        <v>0</v>
      </c>
    </row>
    <row r="23" spans="1:24" ht="15.75" hidden="1" customHeight="1" x14ac:dyDescent="0.2">
      <c r="A23" s="63" t="s">
        <v>1473</v>
      </c>
      <c r="B23" s="63" t="s">
        <v>1474</v>
      </c>
      <c r="C23" s="63"/>
      <c r="E23" s="33" t="s">
        <v>2274</v>
      </c>
      <c r="F23" s="63" t="s">
        <v>2223</v>
      </c>
      <c r="G23" s="63" t="s">
        <v>2314</v>
      </c>
      <c r="H23" s="63" t="s">
        <v>1475</v>
      </c>
      <c r="I23" s="63" t="s">
        <v>1476</v>
      </c>
      <c r="J23" s="65">
        <v>66445</v>
      </c>
      <c r="K23" s="65">
        <v>20055</v>
      </c>
      <c r="L23" s="26">
        <f t="shared" si="0"/>
        <v>86500</v>
      </c>
      <c r="M23" s="26">
        <f t="array" ref="M23">MEDIAN(IF($F$3:$F$810=F23,$L$3:$L$810))</f>
        <v>86500</v>
      </c>
      <c r="N23" s="65">
        <v>86500</v>
      </c>
      <c r="O23" s="62">
        <v>0</v>
      </c>
      <c r="P23" s="76">
        <f>IF(N23&lt;INDEX(Sectorwise!E:E,MATCH(F23,Sectorwise!A:A,0)),1,0)</f>
        <v>0</v>
      </c>
      <c r="Q23" s="76">
        <f>IF(AND(N23&gt;=INDEX(Sectorwise!E:E,MATCH(F23,Sectorwise!A:A,0)),N23&lt;=INDEX(Sectorwise!F:F,MATCH(F23,Sectorwise!A:A,0))),1,0)</f>
        <v>1</v>
      </c>
      <c r="R23" s="76">
        <f>IF(N23&gt;INDEX(Sectorwise!F:F,MATCH(F23,Sectorwise!A:A,0)),1,0)</f>
        <v>0</v>
      </c>
      <c r="S23" s="27">
        <f t="shared" si="1"/>
        <v>0</v>
      </c>
      <c r="T23" s="27">
        <f t="shared" si="2"/>
        <v>86500</v>
      </c>
      <c r="U23" s="27">
        <f t="shared" si="3"/>
        <v>0</v>
      </c>
      <c r="V23" s="95">
        <f>IF(R23=1,(N23-INDEX(Sectorwise!F:F,MATCH(F23,Sectorwise!A:A,0))),0)</f>
        <v>0</v>
      </c>
      <c r="W23" s="97">
        <f>POISSON(N23,INDEX(Sectorwise!D:D,MATCH(Travel!F552,Sectorwise!A:A,0)),TRUE)</f>
        <v>1</v>
      </c>
    </row>
    <row r="24" spans="1:24" ht="15.75" hidden="1" customHeight="1" x14ac:dyDescent="0.2">
      <c r="A24" s="63" t="s">
        <v>1893</v>
      </c>
      <c r="B24" s="63" t="s">
        <v>1910</v>
      </c>
      <c r="C24" s="63"/>
      <c r="E24" s="33" t="s">
        <v>2274</v>
      </c>
      <c r="F24" s="63" t="s">
        <v>2225</v>
      </c>
      <c r="G24" s="63" t="s">
        <v>2313</v>
      </c>
      <c r="H24" s="63" t="s">
        <v>1911</v>
      </c>
      <c r="I24" s="63" t="s">
        <v>1912</v>
      </c>
      <c r="J24" s="65">
        <v>28250</v>
      </c>
      <c r="K24" s="65">
        <v>49950</v>
      </c>
      <c r="L24" s="26">
        <f t="shared" si="0"/>
        <v>78200</v>
      </c>
      <c r="M24" s="26">
        <f t="array" ref="M24">MEDIAN(IF($F$3:$F$810=F24,$L$3:$L$810))</f>
        <v>78200</v>
      </c>
      <c r="N24" s="65">
        <v>78200</v>
      </c>
      <c r="O24" s="62">
        <v>0</v>
      </c>
      <c r="P24" s="76">
        <f>IF(N24&lt;INDEX(Sectorwise!E:E,MATCH(F24,Sectorwise!A:A,0)),1,0)</f>
        <v>0</v>
      </c>
      <c r="Q24" s="76">
        <f>IF(AND(N24&gt;=INDEX(Sectorwise!E:E,MATCH(F24,Sectorwise!A:A,0)),N24&lt;=INDEX(Sectorwise!F:F,MATCH(F24,Sectorwise!A:A,0))),1,0)</f>
        <v>1</v>
      </c>
      <c r="R24" s="76">
        <f>IF(N24&gt;INDEX(Sectorwise!F:F,MATCH(F24,Sectorwise!A:A,0)),1,0)</f>
        <v>0</v>
      </c>
      <c r="S24" s="27">
        <f t="shared" si="1"/>
        <v>0</v>
      </c>
      <c r="T24" s="27">
        <f t="shared" si="2"/>
        <v>78200</v>
      </c>
      <c r="U24" s="27">
        <f t="shared" si="3"/>
        <v>0</v>
      </c>
      <c r="V24" s="95">
        <f>IF(R24=1,(N24-INDEX(Sectorwise!F:F,MATCH(F24,Sectorwise!A:A,0))),0)</f>
        <v>0</v>
      </c>
      <c r="W24" s="97">
        <f>POISSON(N24,INDEX(Sectorwise!D:D,MATCH(Travel!F728,Sectorwise!A:A,0)),TRUE)</f>
        <v>1</v>
      </c>
    </row>
    <row r="25" spans="1:24" ht="15.75" hidden="1" customHeight="1" x14ac:dyDescent="0.2">
      <c r="A25" s="60" t="s">
        <v>1031</v>
      </c>
      <c r="B25" s="60" t="s">
        <v>1032</v>
      </c>
      <c r="C25" s="60"/>
      <c r="E25" s="63" t="s">
        <v>2275</v>
      </c>
      <c r="F25" s="60" t="s">
        <v>2237</v>
      </c>
      <c r="G25" s="69" t="s">
        <v>2308</v>
      </c>
      <c r="H25" s="60" t="s">
        <v>1033</v>
      </c>
      <c r="I25" s="60" t="s">
        <v>1034</v>
      </c>
      <c r="J25" s="61">
        <v>16848</v>
      </c>
      <c r="K25" s="61">
        <v>2030</v>
      </c>
      <c r="L25" s="26">
        <f t="shared" si="0"/>
        <v>18878</v>
      </c>
      <c r="M25" s="26">
        <f t="array" ref="M25">MEDIAN(IF($F$3:$F$810=F25,$L$3:$L$810))</f>
        <v>19030</v>
      </c>
      <c r="N25" s="61">
        <v>18878</v>
      </c>
      <c r="O25" s="62">
        <v>0</v>
      </c>
      <c r="P25" s="76">
        <f>IF(N25&lt;INDEX(Sectorwise!E:E,MATCH(F25,Sectorwise!A:A,0)),1,0)</f>
        <v>0</v>
      </c>
      <c r="Q25" s="76">
        <f>IF(AND(N25&gt;=INDEX(Sectorwise!E:E,MATCH(F25,Sectorwise!A:A,0)),N25&lt;=INDEX(Sectorwise!F:F,MATCH(F25,Sectorwise!A:A,0))),1,0)</f>
        <v>1</v>
      </c>
      <c r="R25" s="76">
        <f>IF(N25&gt;INDEX(Sectorwise!F:F,MATCH(F25,Sectorwise!A:A,0)),1,0)</f>
        <v>0</v>
      </c>
      <c r="S25" s="27">
        <f t="shared" si="1"/>
        <v>0</v>
      </c>
      <c r="T25" s="27">
        <f t="shared" si="2"/>
        <v>18878</v>
      </c>
      <c r="U25" s="27">
        <f t="shared" si="3"/>
        <v>0</v>
      </c>
      <c r="V25" s="95">
        <f>IF(R25=1,(N25-INDEX(Sectorwise!F:F,MATCH(F25,Sectorwise!A:A,0))),0)</f>
        <v>0</v>
      </c>
      <c r="W25" s="97">
        <f>POISSON(N25,INDEX(Sectorwise!D:D,MATCH(Travel!F387,Sectorwise!A:A,0)),TRUE)</f>
        <v>1</v>
      </c>
    </row>
    <row r="26" spans="1:24" ht="15.75" hidden="1" customHeight="1" x14ac:dyDescent="0.2">
      <c r="A26" s="60" t="s">
        <v>866</v>
      </c>
      <c r="B26" s="60" t="s">
        <v>870</v>
      </c>
      <c r="C26" s="60" t="s">
        <v>871</v>
      </c>
      <c r="E26" s="63" t="s">
        <v>2275</v>
      </c>
      <c r="F26" s="29" t="s">
        <v>2134</v>
      </c>
      <c r="G26" s="69" t="s">
        <v>2308</v>
      </c>
      <c r="H26" s="60" t="s">
        <v>872</v>
      </c>
      <c r="I26" s="60" t="s">
        <v>860</v>
      </c>
      <c r="J26" s="61">
        <v>3940</v>
      </c>
      <c r="K26" s="61">
        <v>3361</v>
      </c>
      <c r="L26" s="26">
        <f t="shared" si="0"/>
        <v>7301</v>
      </c>
      <c r="M26" s="26">
        <f t="array" ref="M26">MEDIAN(IF($F$3:$F$810=F26,$L$3:$L$810))</f>
        <v>7412.5</v>
      </c>
      <c r="N26" s="61">
        <v>14651</v>
      </c>
      <c r="O26" s="62">
        <v>6201</v>
      </c>
      <c r="P26" s="76">
        <f>IF(N26&lt;INDEX(Sectorwise!E:E,MATCH(F26,Sectorwise!A:A,0)),1,0)</f>
        <v>0</v>
      </c>
      <c r="Q26" s="76">
        <f>IF(AND(N26&gt;=INDEX(Sectorwise!E:E,MATCH(F26,Sectorwise!A:A,0)),N26&lt;=INDEX(Sectorwise!F:F,MATCH(F26,Sectorwise!A:A,0))),1,0)</f>
        <v>0</v>
      </c>
      <c r="R26" s="76">
        <f>IF(N26&gt;INDEX(Sectorwise!F:F,MATCH(F26,Sectorwise!A:A,0)),1,0)</f>
        <v>1</v>
      </c>
      <c r="S26" s="27">
        <f t="shared" si="1"/>
        <v>0</v>
      </c>
      <c r="T26" s="27">
        <f t="shared" si="2"/>
        <v>0</v>
      </c>
      <c r="U26" s="27">
        <f t="shared" si="3"/>
        <v>14651</v>
      </c>
      <c r="V26" s="95">
        <f>IF(R26=1,(N26-INDEX(Sectorwise!F:F,MATCH(F26,Sectorwise!A:A,0))),0)</f>
        <v>6451</v>
      </c>
      <c r="W26" s="97">
        <f>POISSON(N26,INDEX(Sectorwise!D:D,MATCH(Travel!F328,Sectorwise!A:A,0)),TRUE)</f>
        <v>1</v>
      </c>
    </row>
    <row r="27" spans="1:24" ht="15.75" hidden="1" customHeight="1" x14ac:dyDescent="0.2">
      <c r="A27" s="60" t="s">
        <v>877</v>
      </c>
      <c r="B27" s="60" t="s">
        <v>878</v>
      </c>
      <c r="C27" s="60"/>
      <c r="E27" s="63" t="s">
        <v>2275</v>
      </c>
      <c r="F27" s="29" t="s">
        <v>2134</v>
      </c>
      <c r="G27" s="69" t="s">
        <v>2308</v>
      </c>
      <c r="H27" s="60" t="s">
        <v>879</v>
      </c>
      <c r="I27" s="60" t="s">
        <v>860</v>
      </c>
      <c r="J27" s="61">
        <v>6011</v>
      </c>
      <c r="K27" s="61">
        <v>946</v>
      </c>
      <c r="L27" s="26">
        <f t="shared" si="0"/>
        <v>6957</v>
      </c>
      <c r="M27" s="26">
        <f t="array" ref="M27">MEDIAN(IF($F$3:$F$810=F27,$L$3:$L$810))</f>
        <v>7412.5</v>
      </c>
      <c r="N27" s="61">
        <v>6957</v>
      </c>
      <c r="O27" s="62">
        <v>0</v>
      </c>
      <c r="P27" s="76">
        <f>IF(N27&lt;INDEX(Sectorwise!E:E,MATCH(F27,Sectorwise!A:A,0)),1,0)</f>
        <v>0</v>
      </c>
      <c r="Q27" s="76">
        <f>IF(AND(N27&gt;=INDEX(Sectorwise!E:E,MATCH(F27,Sectorwise!A:A,0)),N27&lt;=INDEX(Sectorwise!F:F,MATCH(F27,Sectorwise!A:A,0))),1,0)</f>
        <v>1</v>
      </c>
      <c r="R27" s="76">
        <f>IF(N27&gt;INDEX(Sectorwise!F:F,MATCH(F27,Sectorwise!A:A,0)),1,0)</f>
        <v>0</v>
      </c>
      <c r="S27" s="27">
        <f t="shared" si="1"/>
        <v>0</v>
      </c>
      <c r="T27" s="27">
        <f t="shared" si="2"/>
        <v>6957</v>
      </c>
      <c r="U27" s="27">
        <f t="shared" si="3"/>
        <v>0</v>
      </c>
      <c r="V27" s="95">
        <f>IF(R27=1,(N27-INDEX(Sectorwise!F:F,MATCH(F27,Sectorwise!A:A,0))),0)</f>
        <v>0</v>
      </c>
      <c r="W27" s="97">
        <f>POISSON(N27,INDEX(Sectorwise!D:D,MATCH(Travel!F331,Sectorwise!A:A,0)),TRUE)</f>
        <v>4.6898794401093595E-8</v>
      </c>
    </row>
    <row r="28" spans="1:24" ht="15.75" hidden="1" customHeight="1" x14ac:dyDescent="0.2">
      <c r="A28" s="21" t="s">
        <v>487</v>
      </c>
      <c r="B28" s="21" t="s">
        <v>488</v>
      </c>
      <c r="C28" s="22"/>
      <c r="D28" s="32"/>
      <c r="E28" s="63" t="s">
        <v>2275</v>
      </c>
      <c r="F28" s="21" t="s">
        <v>2136</v>
      </c>
      <c r="G28" s="69" t="s">
        <v>2308</v>
      </c>
      <c r="H28" s="21" t="s">
        <v>489</v>
      </c>
      <c r="I28" s="21" t="s">
        <v>482</v>
      </c>
      <c r="J28" s="25">
        <v>6280</v>
      </c>
      <c r="K28" s="25">
        <v>5566</v>
      </c>
      <c r="L28" s="26">
        <f t="shared" si="0"/>
        <v>11846</v>
      </c>
      <c r="M28" s="26">
        <f t="array" ref="M28">MEDIAN(IF($F$3:$F$810=F28,$L$3:$L$810))</f>
        <v>14406</v>
      </c>
      <c r="N28" s="47">
        <f>J28+K28</f>
        <v>11846</v>
      </c>
      <c r="O28" s="27"/>
      <c r="P28" s="76">
        <f>IF(N28&lt;INDEX(Sectorwise!E:E,MATCH(F28,Sectorwise!A:A,0)),1,0)</f>
        <v>1</v>
      </c>
      <c r="Q28" s="76">
        <f>IF(AND(N28&gt;=INDEX(Sectorwise!E:E,MATCH(F28,Sectorwise!A:A,0)),N28&lt;=INDEX(Sectorwise!F:F,MATCH(F28,Sectorwise!A:A,0))),1,0)</f>
        <v>0</v>
      </c>
      <c r="R28" s="76">
        <f>IF(N28&gt;INDEX(Sectorwise!F:F,MATCH(F28,Sectorwise!A:A,0)),1,0)</f>
        <v>0</v>
      </c>
      <c r="S28" s="27">
        <f t="shared" si="1"/>
        <v>11846</v>
      </c>
      <c r="T28" s="27">
        <f t="shared" si="2"/>
        <v>0</v>
      </c>
      <c r="U28" s="27">
        <f t="shared" si="3"/>
        <v>0</v>
      </c>
      <c r="V28" s="95">
        <f>IF(R28=1,(N28-INDEX(Sectorwise!F:F,MATCH(F28,Sectorwise!A:A,0))),0)</f>
        <v>0</v>
      </c>
      <c r="W28" s="97">
        <f>POISSON(N28,INDEX(Sectorwise!D:D,MATCH(Travel!F181,Sectorwise!A:A,0)),TRUE)</f>
        <v>1.2425578192917822E-107</v>
      </c>
    </row>
    <row r="29" spans="1:24" ht="15.75" hidden="1" customHeight="1" x14ac:dyDescent="0.2">
      <c r="A29" s="21" t="s">
        <v>657</v>
      </c>
      <c r="B29" s="21" t="s">
        <v>658</v>
      </c>
      <c r="C29" s="22"/>
      <c r="E29" s="63" t="s">
        <v>2275</v>
      </c>
      <c r="F29" s="21" t="s">
        <v>2136</v>
      </c>
      <c r="G29" s="69" t="s">
        <v>2308</v>
      </c>
      <c r="H29" s="21" t="s">
        <v>659</v>
      </c>
      <c r="I29" s="21" t="s">
        <v>624</v>
      </c>
      <c r="J29" s="25">
        <v>964</v>
      </c>
      <c r="K29" s="25">
        <v>4937</v>
      </c>
      <c r="L29" s="26">
        <f t="shared" si="0"/>
        <v>5901</v>
      </c>
      <c r="M29" s="26">
        <f t="array" ref="M29">MEDIAN(IF($F$3:$F$810=F29,$L$3:$L$810))</f>
        <v>14406</v>
      </c>
      <c r="N29" s="47">
        <v>5901</v>
      </c>
      <c r="O29" s="55"/>
      <c r="P29" s="76">
        <f>IF(N29&lt;INDEX(Sectorwise!E:E,MATCH(F29,Sectorwise!A:A,0)),1,0)</f>
        <v>1</v>
      </c>
      <c r="Q29" s="76">
        <f>IF(AND(N29&gt;=INDEX(Sectorwise!E:E,MATCH(F29,Sectorwise!A:A,0)),N29&lt;=INDEX(Sectorwise!F:F,MATCH(F29,Sectorwise!A:A,0))),1,0)</f>
        <v>0</v>
      </c>
      <c r="R29" s="76">
        <f>IF(N29&gt;INDEX(Sectorwise!F:F,MATCH(F29,Sectorwise!A:A,0)),1,0)</f>
        <v>0</v>
      </c>
      <c r="S29" s="27">
        <f t="shared" si="1"/>
        <v>5901</v>
      </c>
      <c r="T29" s="27">
        <f t="shared" si="2"/>
        <v>0</v>
      </c>
      <c r="U29" s="27">
        <f t="shared" si="3"/>
        <v>0</v>
      </c>
      <c r="V29" s="95">
        <f>IF(R29=1,(N29-INDEX(Sectorwise!F:F,MATCH(F29,Sectorwise!A:A,0))),0)</f>
        <v>0</v>
      </c>
      <c r="W29" s="97">
        <f>POISSON(N29,INDEX(Sectorwise!D:D,MATCH(Travel!F249,Sectorwise!A:A,0)),TRUE)</f>
        <v>1</v>
      </c>
    </row>
    <row r="30" spans="1:24" ht="15.75" hidden="1" customHeight="1" x14ac:dyDescent="0.2">
      <c r="A30" s="63" t="s">
        <v>1613</v>
      </c>
      <c r="B30" s="63" t="s">
        <v>1618</v>
      </c>
      <c r="C30" s="63"/>
      <c r="E30" s="63" t="s">
        <v>2275</v>
      </c>
      <c r="F30" s="63" t="s">
        <v>2136</v>
      </c>
      <c r="G30" s="63" t="s">
        <v>2312</v>
      </c>
      <c r="H30" s="63" t="s">
        <v>1619</v>
      </c>
      <c r="I30" s="63" t="s">
        <v>1598</v>
      </c>
      <c r="J30" s="65">
        <v>8471</v>
      </c>
      <c r="K30" s="65">
        <v>6163</v>
      </c>
      <c r="L30" s="26">
        <f t="shared" si="0"/>
        <v>14634</v>
      </c>
      <c r="M30" s="26">
        <f t="array" ref="M30">MEDIAN(IF($F$3:$F$810=F30,$L$3:$L$810))</f>
        <v>14406</v>
      </c>
      <c r="N30" s="65">
        <v>14634</v>
      </c>
      <c r="O30" s="62">
        <v>0</v>
      </c>
      <c r="P30" s="76">
        <f>IF(N30&lt;INDEX(Sectorwise!E:E,MATCH(F30,Sectorwise!A:A,0)),1,0)</f>
        <v>0</v>
      </c>
      <c r="Q30" s="76">
        <f>IF(AND(N30&gt;=INDEX(Sectorwise!E:E,MATCH(F30,Sectorwise!A:A,0)),N30&lt;=INDEX(Sectorwise!F:F,MATCH(F30,Sectorwise!A:A,0))),1,0)</f>
        <v>1</v>
      </c>
      <c r="R30" s="76">
        <f>IF(N30&gt;INDEX(Sectorwise!F:F,MATCH(F30,Sectorwise!A:A,0)),1,0)</f>
        <v>0</v>
      </c>
      <c r="S30" s="27">
        <f t="shared" si="1"/>
        <v>0</v>
      </c>
      <c r="T30" s="27">
        <f t="shared" si="2"/>
        <v>14634</v>
      </c>
      <c r="U30" s="27">
        <f t="shared" si="3"/>
        <v>0</v>
      </c>
      <c r="V30" s="95">
        <f>IF(R30=1,(N30-INDEX(Sectorwise!F:F,MATCH(F30,Sectorwise!A:A,0))),0)</f>
        <v>0</v>
      </c>
      <c r="W30" s="97">
        <f>POISSON(N30,INDEX(Sectorwise!D:D,MATCH(Travel!F618,Sectorwise!A:A,0)),TRUE)</f>
        <v>1</v>
      </c>
    </row>
    <row r="31" spans="1:24" ht="15.75" hidden="1" customHeight="1" x14ac:dyDescent="0.2">
      <c r="A31" s="33" t="s">
        <v>198</v>
      </c>
      <c r="B31" s="33" t="s">
        <v>202</v>
      </c>
      <c r="C31" s="40"/>
      <c r="D31" s="35"/>
      <c r="E31" s="63" t="s">
        <v>2275</v>
      </c>
      <c r="F31" s="33" t="s">
        <v>2158</v>
      </c>
      <c r="G31" s="69" t="s">
        <v>2308</v>
      </c>
      <c r="H31" s="33" t="s">
        <v>203</v>
      </c>
      <c r="I31" s="33" t="s">
        <v>204</v>
      </c>
      <c r="J31" s="36">
        <v>16562</v>
      </c>
      <c r="K31" s="36">
        <v>2933</v>
      </c>
      <c r="L31" s="26">
        <f t="shared" si="0"/>
        <v>19495</v>
      </c>
      <c r="M31" s="26">
        <f t="array" ref="M31">MEDIAN(IF($F$3:$F$810=F31,$L$3:$L$810))</f>
        <v>20521</v>
      </c>
      <c r="N31" s="41">
        <v>19495</v>
      </c>
      <c r="O31" s="38"/>
      <c r="P31" s="76">
        <f>IF(N31&lt;INDEX(Sectorwise!E:E,MATCH(F31,Sectorwise!A:A,0)),1,0)</f>
        <v>0</v>
      </c>
      <c r="Q31" s="76">
        <f>IF(AND(N31&gt;=INDEX(Sectorwise!E:E,MATCH(F31,Sectorwise!A:A,0)),N31&lt;=INDEX(Sectorwise!F:F,MATCH(F31,Sectorwise!A:A,0))),1,0)</f>
        <v>1</v>
      </c>
      <c r="R31" s="76">
        <f>IF(N31&gt;INDEX(Sectorwise!F:F,MATCH(F31,Sectorwise!A:A,0)),1,0)</f>
        <v>0</v>
      </c>
      <c r="S31" s="27">
        <f t="shared" si="1"/>
        <v>0</v>
      </c>
      <c r="T31" s="27">
        <f t="shared" si="2"/>
        <v>19495</v>
      </c>
      <c r="U31" s="27">
        <f t="shared" si="3"/>
        <v>0</v>
      </c>
      <c r="V31" s="95">
        <f>IF(R31=1,(N31-INDEX(Sectorwise!F:F,MATCH(F31,Sectorwise!A:A,0))),0)</f>
        <v>0</v>
      </c>
      <c r="W31" s="97">
        <f>POISSON(N31,INDEX(Sectorwise!D:D,MATCH(Travel!F74,Sectorwise!A:A,0)),TRUE)</f>
        <v>1</v>
      </c>
      <c r="X31" s="39">
        <f>+N31-O31</f>
        <v>19495</v>
      </c>
    </row>
    <row r="32" spans="1:24" ht="15.75" hidden="1" customHeight="1" x14ac:dyDescent="0.2">
      <c r="A32" s="60" t="s">
        <v>866</v>
      </c>
      <c r="B32" s="60" t="s">
        <v>874</v>
      </c>
      <c r="C32" s="60"/>
      <c r="E32" s="63" t="s">
        <v>2275</v>
      </c>
      <c r="F32" s="60" t="s">
        <v>2158</v>
      </c>
      <c r="G32" s="69" t="s">
        <v>2308</v>
      </c>
      <c r="H32" s="60" t="s">
        <v>875</v>
      </c>
      <c r="I32" s="60" t="s">
        <v>876</v>
      </c>
      <c r="J32" s="61">
        <v>17424</v>
      </c>
      <c r="K32" s="61">
        <v>2981</v>
      </c>
      <c r="L32" s="26">
        <f t="shared" si="0"/>
        <v>20405</v>
      </c>
      <c r="M32" s="26">
        <f t="array" ref="M32">MEDIAN(IF($F$3:$F$810=F32,$L$3:$L$810))</f>
        <v>20521</v>
      </c>
      <c r="N32" s="61">
        <v>20405</v>
      </c>
      <c r="O32" s="62">
        <v>0</v>
      </c>
      <c r="P32" s="76">
        <f>IF(N32&lt;INDEX(Sectorwise!E:E,MATCH(F32,Sectorwise!A:A,0)),1,0)</f>
        <v>0</v>
      </c>
      <c r="Q32" s="76">
        <f>IF(AND(N32&gt;=INDEX(Sectorwise!E:E,MATCH(F32,Sectorwise!A:A,0)),N32&lt;=INDEX(Sectorwise!F:F,MATCH(F32,Sectorwise!A:A,0))),1,0)</f>
        <v>1</v>
      </c>
      <c r="R32" s="76">
        <f>IF(N32&gt;INDEX(Sectorwise!F:F,MATCH(F32,Sectorwise!A:A,0)),1,0)</f>
        <v>0</v>
      </c>
      <c r="S32" s="27">
        <f t="shared" si="1"/>
        <v>0</v>
      </c>
      <c r="T32" s="27">
        <f t="shared" si="2"/>
        <v>20405</v>
      </c>
      <c r="U32" s="27">
        <f t="shared" si="3"/>
        <v>0</v>
      </c>
      <c r="V32" s="95">
        <f>IF(R32=1,(N32-INDEX(Sectorwise!F:F,MATCH(F32,Sectorwise!A:A,0))),0)</f>
        <v>0</v>
      </c>
      <c r="W32" s="97">
        <f>POISSON(N32,INDEX(Sectorwise!D:D,MATCH(Travel!F330,Sectorwise!A:A,0)),TRUE)</f>
        <v>1</v>
      </c>
    </row>
    <row r="33" spans="1:23" ht="15.75" hidden="1" customHeight="1" x14ac:dyDescent="0.2">
      <c r="A33" s="63" t="s">
        <v>1473</v>
      </c>
      <c r="B33" s="63" t="s">
        <v>1492</v>
      </c>
      <c r="C33" s="63"/>
      <c r="E33" s="63" t="s">
        <v>2275</v>
      </c>
      <c r="F33" s="60" t="s">
        <v>2158</v>
      </c>
      <c r="G33" s="69" t="s">
        <v>2308</v>
      </c>
      <c r="H33" s="63" t="s">
        <v>1494</v>
      </c>
      <c r="I33" s="63" t="s">
        <v>1495</v>
      </c>
      <c r="J33" s="65">
        <v>17326</v>
      </c>
      <c r="K33" s="65">
        <v>2976</v>
      </c>
      <c r="L33" s="26">
        <f t="shared" si="0"/>
        <v>20302</v>
      </c>
      <c r="M33" s="26">
        <f t="array" ref="M33">MEDIAN(IF($F$3:$F$810=F33,$L$3:$L$810))</f>
        <v>20521</v>
      </c>
      <c r="N33" s="57">
        <f>J33+K33</f>
        <v>20302</v>
      </c>
      <c r="O33" s="62">
        <v>0</v>
      </c>
      <c r="P33" s="76">
        <f>IF(N33&lt;INDEX(Sectorwise!E:E,MATCH(F33,Sectorwise!A:A,0)),1,0)</f>
        <v>0</v>
      </c>
      <c r="Q33" s="76">
        <f>IF(AND(N33&gt;=INDEX(Sectorwise!E:E,MATCH(F33,Sectorwise!A:A,0)),N33&lt;=INDEX(Sectorwise!F:F,MATCH(F33,Sectorwise!A:A,0))),1,0)</f>
        <v>1</v>
      </c>
      <c r="R33" s="76">
        <f>IF(N33&gt;INDEX(Sectorwise!F:F,MATCH(F33,Sectorwise!A:A,0)),1,0)</f>
        <v>0</v>
      </c>
      <c r="S33" s="27">
        <f t="shared" si="1"/>
        <v>0</v>
      </c>
      <c r="T33" s="27">
        <f t="shared" si="2"/>
        <v>20302</v>
      </c>
      <c r="U33" s="27">
        <f t="shared" si="3"/>
        <v>0</v>
      </c>
      <c r="V33" s="95">
        <f>IF(R33=1,(N33-INDEX(Sectorwise!F:F,MATCH(F33,Sectorwise!A:A,0))),0)</f>
        <v>0</v>
      </c>
      <c r="W33" s="97">
        <f>POISSON(N33,INDEX(Sectorwise!D:D,MATCH(Travel!F564,Sectorwise!A:A,0)),TRUE)</f>
        <v>1</v>
      </c>
    </row>
    <row r="34" spans="1:23" ht="15.75" hidden="1" customHeight="1" x14ac:dyDescent="0.2">
      <c r="A34" s="29" t="s">
        <v>2114</v>
      </c>
      <c r="B34" s="29" t="s">
        <v>2117</v>
      </c>
      <c r="C34" s="29"/>
      <c r="E34" s="63" t="s">
        <v>2275</v>
      </c>
      <c r="F34" s="60" t="s">
        <v>2158</v>
      </c>
      <c r="G34" s="69" t="s">
        <v>2308</v>
      </c>
      <c r="H34" s="29" t="s">
        <v>2118</v>
      </c>
      <c r="I34" s="29" t="s">
        <v>2040</v>
      </c>
      <c r="J34" s="65">
        <v>17534</v>
      </c>
      <c r="K34" s="65">
        <v>2987</v>
      </c>
      <c r="L34" s="26">
        <f t="shared" si="0"/>
        <v>20521</v>
      </c>
      <c r="M34" s="26">
        <f t="array" ref="M34">MEDIAN(IF($F$3:$F$810=F34,$L$3:$L$810))</f>
        <v>20521</v>
      </c>
      <c r="N34" s="65">
        <v>41042</v>
      </c>
      <c r="O34" s="65" t="e">
        <f>N34-#REF!</f>
        <v>#REF!</v>
      </c>
      <c r="P34" s="76">
        <f>IF(N34&lt;INDEX(Sectorwise!E:E,MATCH(F34,Sectorwise!A:A,0)),1,0)</f>
        <v>0</v>
      </c>
      <c r="Q34" s="76">
        <f>IF(AND(N34&gt;=INDEX(Sectorwise!E:E,MATCH(F34,Sectorwise!A:A,0)),N34&lt;=INDEX(Sectorwise!F:F,MATCH(F34,Sectorwise!A:A,0))),1,0)</f>
        <v>0</v>
      </c>
      <c r="R34" s="76">
        <f>IF(N34&gt;INDEX(Sectorwise!F:F,MATCH(F34,Sectorwise!A:A,0)),1,0)</f>
        <v>1</v>
      </c>
      <c r="S34" s="27">
        <f t="shared" si="1"/>
        <v>0</v>
      </c>
      <c r="T34" s="27">
        <f t="shared" si="2"/>
        <v>0</v>
      </c>
      <c r="U34" s="27">
        <f t="shared" si="3"/>
        <v>41042</v>
      </c>
      <c r="V34" s="95">
        <f>IF(R34=1,(N34-INDEX(Sectorwise!F:F,MATCH(F34,Sectorwise!A:A,0))),0)</f>
        <v>18442</v>
      </c>
      <c r="W34" s="97">
        <f>POISSON(N34,INDEX(Sectorwise!D:D,MATCH(Travel!F804,Sectorwise!A:A,0)),TRUE)</f>
        <v>1</v>
      </c>
    </row>
    <row r="35" spans="1:23" ht="15.75" hidden="1" customHeight="1" x14ac:dyDescent="0.2">
      <c r="A35" s="63" t="s">
        <v>1209</v>
      </c>
      <c r="B35" s="63" t="s">
        <v>1212</v>
      </c>
      <c r="C35" s="63"/>
      <c r="E35" s="63" t="s">
        <v>2275</v>
      </c>
      <c r="F35" s="63" t="s">
        <v>2139</v>
      </c>
      <c r="G35" s="63" t="s">
        <v>2315</v>
      </c>
      <c r="H35" s="63" t="s">
        <v>1213</v>
      </c>
      <c r="I35" s="63" t="s">
        <v>1214</v>
      </c>
      <c r="J35" s="65">
        <v>21880</v>
      </c>
      <c r="K35" s="65">
        <v>23120</v>
      </c>
      <c r="L35" s="26">
        <f t="shared" si="0"/>
        <v>45000</v>
      </c>
      <c r="M35" s="26">
        <f t="array" ref="M35">MEDIAN(IF($F$3:$F$810=F35,$L$3:$L$810))</f>
        <v>45000</v>
      </c>
      <c r="N35" s="65">
        <v>45000</v>
      </c>
      <c r="O35" s="62">
        <v>0</v>
      </c>
      <c r="P35" s="76">
        <f>IF(N35&lt;INDEX(Sectorwise!E:E,MATCH(F35,Sectorwise!A:A,0)),1,0)</f>
        <v>0</v>
      </c>
      <c r="Q35" s="76">
        <f>IF(AND(N35&gt;=INDEX(Sectorwise!E:E,MATCH(F35,Sectorwise!A:A,0)),N35&lt;=INDEX(Sectorwise!F:F,MATCH(F35,Sectorwise!A:A,0))),1,0)</f>
        <v>1</v>
      </c>
      <c r="R35" s="76">
        <f>IF(N35&gt;INDEX(Sectorwise!F:F,MATCH(F35,Sectorwise!A:A,0)),1,0)</f>
        <v>0</v>
      </c>
      <c r="S35" s="27">
        <f t="shared" si="1"/>
        <v>0</v>
      </c>
      <c r="T35" s="27">
        <f t="shared" si="2"/>
        <v>45000</v>
      </c>
      <c r="U35" s="27">
        <f t="shared" si="3"/>
        <v>0</v>
      </c>
      <c r="V35" s="95">
        <f>IF(R35=1,(N35-INDEX(Sectorwise!F:F,MATCH(F35,Sectorwise!A:A,0))),0)</f>
        <v>0</v>
      </c>
      <c r="W35" s="97">
        <f>POISSON(N35,INDEX(Sectorwise!D:D,MATCH(Travel!F458,Sectorwise!A:A,0)),TRUE)</f>
        <v>1</v>
      </c>
    </row>
    <row r="36" spans="1:23" ht="15.75" hidden="1" customHeight="1" x14ac:dyDescent="0.2">
      <c r="A36" s="56" t="s">
        <v>831</v>
      </c>
      <c r="B36" s="56" t="s">
        <v>840</v>
      </c>
      <c r="C36" s="56"/>
      <c r="E36" s="63" t="s">
        <v>2275</v>
      </c>
      <c r="F36" s="21" t="s">
        <v>2142</v>
      </c>
      <c r="G36" s="69" t="s">
        <v>2308</v>
      </c>
      <c r="H36" s="56" t="s">
        <v>841</v>
      </c>
      <c r="I36" s="56" t="s">
        <v>811</v>
      </c>
      <c r="J36" s="57">
        <v>2967</v>
      </c>
      <c r="K36" s="57">
        <v>777</v>
      </c>
      <c r="L36" s="26">
        <f t="shared" si="0"/>
        <v>3744</v>
      </c>
      <c r="M36" s="26">
        <f t="array" ref="M36">MEDIAN(IF($F$3:$F$810=F36,$L$3:$L$810))</f>
        <v>5161</v>
      </c>
      <c r="N36" s="57">
        <v>3744</v>
      </c>
      <c r="O36" s="58">
        <v>0</v>
      </c>
      <c r="P36" s="76">
        <f>IF(N36&lt;INDEX(Sectorwise!E:E,MATCH(F36,Sectorwise!A:A,0)),1,0)</f>
        <v>1</v>
      </c>
      <c r="Q36" s="76">
        <f>IF(AND(N36&gt;=INDEX(Sectorwise!E:E,MATCH(F36,Sectorwise!A:A,0)),N36&lt;=INDEX(Sectorwise!F:F,MATCH(F36,Sectorwise!A:A,0))),1,0)</f>
        <v>0</v>
      </c>
      <c r="R36" s="76">
        <f>IF(N36&gt;INDEX(Sectorwise!F:F,MATCH(F36,Sectorwise!A:A,0)),1,0)</f>
        <v>0</v>
      </c>
      <c r="S36" s="27">
        <f t="shared" si="1"/>
        <v>3744</v>
      </c>
      <c r="T36" s="27">
        <f t="shared" si="2"/>
        <v>0</v>
      </c>
      <c r="U36" s="27">
        <f t="shared" si="3"/>
        <v>0</v>
      </c>
      <c r="V36" s="95">
        <f>IF(R36=1,(N36-INDEX(Sectorwise!F:F,MATCH(F36,Sectorwise!A:A,0))),0)</f>
        <v>0</v>
      </c>
      <c r="W36" s="97">
        <f>POISSON(N36,INDEX(Sectorwise!D:D,MATCH(Travel!F318,Sectorwise!A:A,0)),TRUE)</f>
        <v>0</v>
      </c>
    </row>
    <row r="37" spans="1:23" ht="15.75" hidden="1" customHeight="1" x14ac:dyDescent="0.2">
      <c r="A37" s="60" t="s">
        <v>866</v>
      </c>
      <c r="B37" s="60" t="s">
        <v>870</v>
      </c>
      <c r="C37" s="60"/>
      <c r="E37" s="63" t="s">
        <v>2275</v>
      </c>
      <c r="F37" s="21" t="s">
        <v>2135</v>
      </c>
      <c r="G37" s="56" t="s">
        <v>2309</v>
      </c>
      <c r="H37" s="60" t="s">
        <v>873</v>
      </c>
      <c r="I37" s="60" t="s">
        <v>860</v>
      </c>
      <c r="J37" s="61">
        <v>5410</v>
      </c>
      <c r="K37" s="61">
        <v>1940</v>
      </c>
      <c r="L37" s="26">
        <f t="shared" si="0"/>
        <v>7350</v>
      </c>
      <c r="M37" s="26">
        <f t="array" ref="M37">MEDIAN(IF($F$3:$F$810=F37,$L$3:$L$810))</f>
        <v>7234</v>
      </c>
      <c r="N37" s="57">
        <f>J37+K37</f>
        <v>7350</v>
      </c>
      <c r="O37" s="62">
        <v>0</v>
      </c>
      <c r="P37" s="76">
        <f>IF(N37&lt;INDEX(Sectorwise!E:E,MATCH(F37,Sectorwise!A:A,0)),1,0)</f>
        <v>0</v>
      </c>
      <c r="Q37" s="76">
        <f>IF(AND(N37&gt;=INDEX(Sectorwise!E:E,MATCH(F37,Sectorwise!A:A,0)),N37&lt;=INDEX(Sectorwise!F:F,MATCH(F37,Sectorwise!A:A,0))),1,0)</f>
        <v>1</v>
      </c>
      <c r="R37" s="76">
        <f>IF(N37&gt;INDEX(Sectorwise!F:F,MATCH(F37,Sectorwise!A:A,0)),1,0)</f>
        <v>0</v>
      </c>
      <c r="S37" s="27">
        <f t="shared" si="1"/>
        <v>0</v>
      </c>
      <c r="T37" s="27">
        <f t="shared" si="2"/>
        <v>7350</v>
      </c>
      <c r="U37" s="27">
        <f t="shared" si="3"/>
        <v>0</v>
      </c>
      <c r="V37" s="95">
        <f>IF(R37=1,(N37-INDEX(Sectorwise!F:F,MATCH(F37,Sectorwise!A:A,0))),0)</f>
        <v>0</v>
      </c>
      <c r="W37" s="97">
        <f>POISSON(N37,INDEX(Sectorwise!D:D,MATCH(Travel!F329,Sectorwise!A:A,0)),TRUE)</f>
        <v>0.23601000868977279</v>
      </c>
    </row>
    <row r="38" spans="1:23" ht="15.75" hidden="1" customHeight="1" x14ac:dyDescent="0.2">
      <c r="A38" s="56" t="s">
        <v>831</v>
      </c>
      <c r="B38" s="56" t="s">
        <v>836</v>
      </c>
      <c r="C38" s="56"/>
      <c r="E38" s="63" t="s">
        <v>2275</v>
      </c>
      <c r="F38" s="21" t="s">
        <v>2152</v>
      </c>
      <c r="G38" s="69" t="s">
        <v>2308</v>
      </c>
      <c r="H38" s="56" t="s">
        <v>837</v>
      </c>
      <c r="I38" s="56" t="s">
        <v>811</v>
      </c>
      <c r="J38" s="57">
        <v>2699</v>
      </c>
      <c r="K38" s="57">
        <v>2615</v>
      </c>
      <c r="L38" s="26">
        <f t="shared" si="0"/>
        <v>5314</v>
      </c>
      <c r="M38" s="26">
        <f t="array" ref="M38">MEDIAN(IF($F$3:$F$810=F38,$L$3:$L$810))</f>
        <v>5438</v>
      </c>
      <c r="N38" s="57">
        <v>5314</v>
      </c>
      <c r="O38" s="58">
        <v>0</v>
      </c>
      <c r="P38" s="76">
        <f>IF(N38&lt;INDEX(Sectorwise!E:E,MATCH(F38,Sectorwise!A:A,0)),1,0)</f>
        <v>0</v>
      </c>
      <c r="Q38" s="76">
        <f>IF(AND(N38&gt;=INDEX(Sectorwise!E:E,MATCH(F38,Sectorwise!A:A,0)),N38&lt;=INDEX(Sectorwise!F:F,MATCH(F38,Sectorwise!A:A,0))),1,0)</f>
        <v>1</v>
      </c>
      <c r="R38" s="76">
        <f>IF(N38&gt;INDEX(Sectorwise!F:F,MATCH(F38,Sectorwise!A:A,0)),1,0)</f>
        <v>0</v>
      </c>
      <c r="S38" s="27">
        <f t="shared" si="1"/>
        <v>0</v>
      </c>
      <c r="T38" s="27">
        <f t="shared" si="2"/>
        <v>5314</v>
      </c>
      <c r="U38" s="27">
        <f t="shared" si="3"/>
        <v>0</v>
      </c>
      <c r="V38" s="95">
        <f>IF(R38=1,(N38-INDEX(Sectorwise!F:F,MATCH(F38,Sectorwise!A:A,0))),0)</f>
        <v>0</v>
      </c>
      <c r="W38" s="97">
        <f>POISSON(N38,INDEX(Sectorwise!D:D,MATCH(Travel!F316,Sectorwise!A:A,0)),TRUE)</f>
        <v>0</v>
      </c>
    </row>
    <row r="39" spans="1:23" ht="15.75" hidden="1" customHeight="1" x14ac:dyDescent="0.2">
      <c r="A39" s="63" t="s">
        <v>1661</v>
      </c>
      <c r="B39" s="63" t="s">
        <v>1662</v>
      </c>
      <c r="C39" s="63"/>
      <c r="E39" s="63" t="s">
        <v>2276</v>
      </c>
      <c r="F39" s="29" t="s">
        <v>2134</v>
      </c>
      <c r="G39" s="56" t="s">
        <v>2309</v>
      </c>
      <c r="H39" s="63" t="s">
        <v>1663</v>
      </c>
      <c r="I39" s="63" t="s">
        <v>1664</v>
      </c>
      <c r="J39" s="65">
        <v>5100</v>
      </c>
      <c r="K39" s="65">
        <v>1840</v>
      </c>
      <c r="L39" s="26">
        <f t="shared" si="0"/>
        <v>6940</v>
      </c>
      <c r="M39" s="26">
        <f t="array" ref="M39">MEDIAN(IF($F$3:$F$810=F39,$L$3:$L$810))</f>
        <v>7412.5</v>
      </c>
      <c r="N39" s="65">
        <v>6940</v>
      </c>
      <c r="O39" s="62">
        <v>0</v>
      </c>
      <c r="P39" s="76">
        <f>IF(N39&lt;INDEX(Sectorwise!E:E,MATCH(F39,Sectorwise!A:A,0)),1,0)</f>
        <v>0</v>
      </c>
      <c r="Q39" s="76">
        <f>IF(AND(N39&gt;=INDEX(Sectorwise!E:E,MATCH(F39,Sectorwise!A:A,0)),N39&lt;=INDEX(Sectorwise!F:F,MATCH(F39,Sectorwise!A:A,0))),1,0)</f>
        <v>1</v>
      </c>
      <c r="R39" s="76">
        <f>IF(N39&gt;INDEX(Sectorwise!F:F,MATCH(F39,Sectorwise!A:A,0)),1,0)</f>
        <v>0</v>
      </c>
      <c r="S39" s="27">
        <f t="shared" si="1"/>
        <v>0</v>
      </c>
      <c r="T39" s="27">
        <f t="shared" si="2"/>
        <v>6940</v>
      </c>
      <c r="U39" s="27">
        <f t="shared" si="3"/>
        <v>0</v>
      </c>
      <c r="V39" s="95">
        <f>IF(R39=1,(N39-INDEX(Sectorwise!F:F,MATCH(F39,Sectorwise!A:A,0))),0)</f>
        <v>0</v>
      </c>
      <c r="W39" s="97">
        <f>POISSON(N39,INDEX(Sectorwise!D:D,MATCH(Travel!F632,Sectorwise!A:A,0)),TRUE)</f>
        <v>0</v>
      </c>
    </row>
    <row r="40" spans="1:23" ht="15.75" hidden="1" customHeight="1" x14ac:dyDescent="0.2">
      <c r="A40" s="63" t="s">
        <v>1753</v>
      </c>
      <c r="B40" s="63" t="s">
        <v>1754</v>
      </c>
      <c r="C40" s="63"/>
      <c r="E40" s="63" t="s">
        <v>2276</v>
      </c>
      <c r="F40" s="29" t="s">
        <v>2134</v>
      </c>
      <c r="G40" s="56" t="s">
        <v>2309</v>
      </c>
      <c r="H40" s="63" t="s">
        <v>1755</v>
      </c>
      <c r="I40" s="63" t="s">
        <v>1740</v>
      </c>
      <c r="J40" s="65">
        <v>5500</v>
      </c>
      <c r="K40" s="65">
        <v>1837</v>
      </c>
      <c r="L40" s="26">
        <f t="shared" si="0"/>
        <v>7337</v>
      </c>
      <c r="M40" s="26">
        <f t="array" ref="M40">MEDIAN(IF($F$3:$F$810=F40,$L$3:$L$810))</f>
        <v>7412.5</v>
      </c>
      <c r="N40" s="65">
        <v>7337</v>
      </c>
      <c r="O40" s="62">
        <v>0</v>
      </c>
      <c r="P40" s="76">
        <f>IF(N40&lt;INDEX(Sectorwise!E:E,MATCH(F40,Sectorwise!A:A,0)),1,0)</f>
        <v>0</v>
      </c>
      <c r="Q40" s="76">
        <f>IF(AND(N40&gt;=INDEX(Sectorwise!E:E,MATCH(F40,Sectorwise!A:A,0)),N40&lt;=INDEX(Sectorwise!F:F,MATCH(F40,Sectorwise!A:A,0))),1,0)</f>
        <v>1</v>
      </c>
      <c r="R40" s="76">
        <f>IF(N40&gt;INDEX(Sectorwise!F:F,MATCH(F40,Sectorwise!A:A,0)),1,0)</f>
        <v>0</v>
      </c>
      <c r="S40" s="27">
        <f t="shared" si="1"/>
        <v>0</v>
      </c>
      <c r="T40" s="27">
        <f t="shared" si="2"/>
        <v>7337</v>
      </c>
      <c r="U40" s="27">
        <f t="shared" si="3"/>
        <v>0</v>
      </c>
      <c r="V40" s="95">
        <f>IF(R40=1,(N40-INDEX(Sectorwise!F:F,MATCH(F40,Sectorwise!A:A,0))),0)</f>
        <v>0</v>
      </c>
      <c r="W40" s="97">
        <f>POISSON(N40,INDEX(Sectorwise!D:D,MATCH(Travel!F664,Sectorwise!A:A,0)),TRUE)</f>
        <v>0.19197047083831198</v>
      </c>
    </row>
    <row r="41" spans="1:23" ht="15.75" hidden="1" customHeight="1" x14ac:dyDescent="0.2">
      <c r="A41" s="63" t="s">
        <v>1837</v>
      </c>
      <c r="B41" s="63" t="s">
        <v>1847</v>
      </c>
      <c r="C41" s="63"/>
      <c r="E41" s="63" t="s">
        <v>2276</v>
      </c>
      <c r="F41" s="29" t="s">
        <v>2134</v>
      </c>
      <c r="G41" s="56" t="s">
        <v>2309</v>
      </c>
      <c r="H41" s="63" t="s">
        <v>1848</v>
      </c>
      <c r="I41" s="63" t="s">
        <v>1827</v>
      </c>
      <c r="J41" s="65">
        <v>6100</v>
      </c>
      <c r="K41" s="65">
        <v>1896</v>
      </c>
      <c r="L41" s="26">
        <f t="shared" si="0"/>
        <v>7996</v>
      </c>
      <c r="M41" s="26">
        <f t="array" ref="M41">MEDIAN(IF($F$3:$F$810=F41,$L$3:$L$810))</f>
        <v>7412.5</v>
      </c>
      <c r="N41" s="65">
        <v>7996</v>
      </c>
      <c r="O41" s="62">
        <v>0</v>
      </c>
      <c r="P41" s="76">
        <f>IF(N41&lt;INDEX(Sectorwise!E:E,MATCH(F41,Sectorwise!A:A,0)),1,0)</f>
        <v>0</v>
      </c>
      <c r="Q41" s="76">
        <f>IF(AND(N41&gt;=INDEX(Sectorwise!E:E,MATCH(F41,Sectorwise!A:A,0)),N41&lt;=INDEX(Sectorwise!F:F,MATCH(F41,Sectorwise!A:A,0))),1,0)</f>
        <v>1</v>
      </c>
      <c r="R41" s="76">
        <f>IF(N41&gt;INDEX(Sectorwise!F:F,MATCH(F41,Sectorwise!A:A,0)),1,0)</f>
        <v>0</v>
      </c>
      <c r="S41" s="27">
        <f t="shared" si="1"/>
        <v>0</v>
      </c>
      <c r="T41" s="27">
        <f t="shared" si="2"/>
        <v>7996</v>
      </c>
      <c r="U41" s="27">
        <f t="shared" si="3"/>
        <v>0</v>
      </c>
      <c r="V41" s="95">
        <f>IF(R41=1,(N41-INDEX(Sectorwise!F:F,MATCH(F41,Sectorwise!A:A,0))),0)</f>
        <v>0</v>
      </c>
      <c r="W41" s="97">
        <f>POISSON(N41,INDEX(Sectorwise!D:D,MATCH(Travel!F701,Sectorwise!A:A,0)),TRUE)</f>
        <v>4.4987824193127411E-103</v>
      </c>
    </row>
    <row r="42" spans="1:23" ht="15.75" hidden="1" customHeight="1" x14ac:dyDescent="0.2">
      <c r="A42" s="69" t="s">
        <v>1955</v>
      </c>
      <c r="B42" s="69" t="s">
        <v>1956</v>
      </c>
      <c r="C42" s="69"/>
      <c r="E42" s="63" t="s">
        <v>2276</v>
      </c>
      <c r="F42" s="29" t="s">
        <v>2134</v>
      </c>
      <c r="G42" s="56" t="s">
        <v>2309</v>
      </c>
      <c r="H42" s="69" t="s">
        <v>1957</v>
      </c>
      <c r="I42" s="69" t="s">
        <v>1958</v>
      </c>
      <c r="J42" s="70">
        <v>6400</v>
      </c>
      <c r="K42" s="70">
        <v>1912</v>
      </c>
      <c r="L42" s="26">
        <f t="shared" si="0"/>
        <v>8312</v>
      </c>
      <c r="M42" s="26">
        <f t="array" ref="M42">MEDIAN(IF($F$3:$F$810=F42,$L$3:$L$810))</f>
        <v>7412.5</v>
      </c>
      <c r="N42" s="70">
        <v>8312</v>
      </c>
      <c r="O42" s="71">
        <v>0</v>
      </c>
      <c r="P42" s="76">
        <f>IF(N42&lt;INDEX(Sectorwise!E:E,MATCH(F42,Sectorwise!A:A,0)),1,0)</f>
        <v>0</v>
      </c>
      <c r="Q42" s="76">
        <f>IF(AND(N42&gt;=INDEX(Sectorwise!E:E,MATCH(F42,Sectorwise!A:A,0)),N42&lt;=INDEX(Sectorwise!F:F,MATCH(F42,Sectorwise!A:A,0))),1,0)</f>
        <v>0</v>
      </c>
      <c r="R42" s="76">
        <f>IF(N42&gt;INDEX(Sectorwise!F:F,MATCH(F42,Sectorwise!A:A,0)),1,0)</f>
        <v>1</v>
      </c>
      <c r="S42" s="27">
        <f t="shared" si="1"/>
        <v>0</v>
      </c>
      <c r="T42" s="27">
        <f t="shared" si="2"/>
        <v>0</v>
      </c>
      <c r="U42" s="27">
        <f t="shared" si="3"/>
        <v>8312</v>
      </c>
      <c r="V42" s="95">
        <f>IF(R42=1,(N42-INDEX(Sectorwise!F:F,MATCH(F42,Sectorwise!A:A,0))),0)</f>
        <v>112</v>
      </c>
      <c r="W42" s="97">
        <f>POISSON(N42,INDEX(Sectorwise!D:D,MATCH(Travel!F747,Sectorwise!A:A,0)),TRUE)</f>
        <v>5.0577540193804374E-16</v>
      </c>
    </row>
    <row r="43" spans="1:23" ht="15.75" hidden="1" customHeight="1" x14ac:dyDescent="0.2">
      <c r="A43" s="63" t="s">
        <v>1447</v>
      </c>
      <c r="B43" s="63" t="s">
        <v>1448</v>
      </c>
      <c r="C43" s="63"/>
      <c r="E43" s="63" t="s">
        <v>2276</v>
      </c>
      <c r="F43" s="63" t="s">
        <v>2160</v>
      </c>
      <c r="G43" s="56" t="s">
        <v>2309</v>
      </c>
      <c r="H43" s="63" t="s">
        <v>1449</v>
      </c>
      <c r="I43" s="63" t="s">
        <v>1450</v>
      </c>
      <c r="J43" s="65">
        <v>13750</v>
      </c>
      <c r="K43" s="65">
        <v>5316</v>
      </c>
      <c r="L43" s="26">
        <f t="shared" si="0"/>
        <v>19066</v>
      </c>
      <c r="M43" s="26">
        <f t="array" ref="M43">MEDIAN(IF($F$3:$F$810=F43,$L$3:$L$810))</f>
        <v>18882</v>
      </c>
      <c r="N43" s="65">
        <v>19066</v>
      </c>
      <c r="O43" s="62">
        <v>0</v>
      </c>
      <c r="P43" s="76">
        <f>IF(N43&lt;INDEX(Sectorwise!E:E,MATCH(F43,Sectorwise!A:A,0)),1,0)</f>
        <v>0</v>
      </c>
      <c r="Q43" s="76">
        <f>IF(AND(N43&gt;=INDEX(Sectorwise!E:E,MATCH(F43,Sectorwise!A:A,0)),N43&lt;=INDEX(Sectorwise!F:F,MATCH(F43,Sectorwise!A:A,0))),1,0)</f>
        <v>1</v>
      </c>
      <c r="R43" s="76">
        <f>IF(N43&gt;INDEX(Sectorwise!F:F,MATCH(F43,Sectorwise!A:A,0)),1,0)</f>
        <v>0</v>
      </c>
      <c r="S43" s="27">
        <f t="shared" si="1"/>
        <v>0</v>
      </c>
      <c r="T43" s="27">
        <f t="shared" si="2"/>
        <v>19066</v>
      </c>
      <c r="U43" s="27">
        <f t="shared" si="3"/>
        <v>0</v>
      </c>
      <c r="V43" s="95">
        <f>IF(R43=1,(N43-INDEX(Sectorwise!F:F,MATCH(F43,Sectorwise!A:A,0))),0)</f>
        <v>0</v>
      </c>
      <c r="W43" s="97">
        <f>POISSON(N43,INDEX(Sectorwise!D:D,MATCH(Travel!F543,Sectorwise!A:A,0)),TRUE)</f>
        <v>0</v>
      </c>
    </row>
    <row r="44" spans="1:23" ht="15.75" hidden="1" customHeight="1" x14ac:dyDescent="0.2">
      <c r="A44" s="63" t="s">
        <v>1569</v>
      </c>
      <c r="B44" s="63" t="s">
        <v>1570</v>
      </c>
      <c r="C44" s="63"/>
      <c r="E44" s="63" t="s">
        <v>2276</v>
      </c>
      <c r="F44" s="63" t="s">
        <v>2147</v>
      </c>
      <c r="G44" s="56" t="s">
        <v>2309</v>
      </c>
      <c r="H44" s="63" t="s">
        <v>1571</v>
      </c>
      <c r="I44" s="63" t="s">
        <v>1516</v>
      </c>
      <c r="J44" s="65">
        <v>6400</v>
      </c>
      <c r="K44" s="65">
        <v>4029</v>
      </c>
      <c r="L44" s="26">
        <f t="shared" si="0"/>
        <v>10429</v>
      </c>
      <c r="M44" s="26">
        <f t="array" ref="M44">MEDIAN(IF($F$3:$F$810=F44,$L$3:$L$810))</f>
        <v>10605</v>
      </c>
      <c r="N44" s="65">
        <v>10429</v>
      </c>
      <c r="O44" s="62">
        <v>0</v>
      </c>
      <c r="P44" s="76">
        <f>IF(N44&lt;INDEX(Sectorwise!E:E,MATCH(F44,Sectorwise!A:A,0)),1,0)</f>
        <v>0</v>
      </c>
      <c r="Q44" s="76">
        <f>IF(AND(N44&gt;=INDEX(Sectorwise!E:E,MATCH(F44,Sectorwise!A:A,0)),N44&lt;=INDEX(Sectorwise!F:F,MATCH(F44,Sectorwise!A:A,0))),1,0)</f>
        <v>1</v>
      </c>
      <c r="R44" s="76">
        <f>IF(N44&gt;INDEX(Sectorwise!F:F,MATCH(F44,Sectorwise!A:A,0)),1,0)</f>
        <v>0</v>
      </c>
      <c r="S44" s="27">
        <f t="shared" si="1"/>
        <v>0</v>
      </c>
      <c r="T44" s="27">
        <f t="shared" si="2"/>
        <v>10429</v>
      </c>
      <c r="U44" s="27">
        <f t="shared" si="3"/>
        <v>0</v>
      </c>
      <c r="V44" s="95">
        <f>IF(R44=1,(N44-INDEX(Sectorwise!F:F,MATCH(F44,Sectorwise!A:A,0))),0)</f>
        <v>0</v>
      </c>
      <c r="W44" s="97">
        <f>POISSON(N44,INDEX(Sectorwise!D:D,MATCH(Travel!F595,Sectorwise!A:A,0)),TRUE)</f>
        <v>1</v>
      </c>
    </row>
    <row r="45" spans="1:23" ht="15.75" hidden="1" customHeight="1" x14ac:dyDescent="0.2">
      <c r="A45" s="29" t="s">
        <v>1626</v>
      </c>
      <c r="B45" s="29" t="s">
        <v>1632</v>
      </c>
      <c r="C45" s="29" t="s">
        <v>1633</v>
      </c>
      <c r="E45" s="63" t="s">
        <v>2276</v>
      </c>
      <c r="F45" s="63" t="s">
        <v>2147</v>
      </c>
      <c r="G45" s="56" t="s">
        <v>2309</v>
      </c>
      <c r="H45" s="29" t="s">
        <v>1634</v>
      </c>
      <c r="I45" s="29" t="s">
        <v>1635</v>
      </c>
      <c r="J45" s="65">
        <v>6400</v>
      </c>
      <c r="K45" s="65">
        <v>4104</v>
      </c>
      <c r="L45" s="26">
        <f t="shared" si="0"/>
        <v>10504</v>
      </c>
      <c r="M45" s="26">
        <f t="array" ref="M45">MEDIAN(IF($F$3:$F$810=F45,$L$3:$L$810))</f>
        <v>10605</v>
      </c>
      <c r="N45" s="65">
        <v>20868</v>
      </c>
      <c r="O45" s="62" t="e">
        <f>N45-#REF!</f>
        <v>#REF!</v>
      </c>
      <c r="P45" s="76">
        <f>IF(N45&lt;INDEX(Sectorwise!E:E,MATCH(F45,Sectorwise!A:A,0)),1,0)</f>
        <v>0</v>
      </c>
      <c r="Q45" s="76">
        <f>IF(AND(N45&gt;=INDEX(Sectorwise!E:E,MATCH(F45,Sectorwise!A:A,0)),N45&lt;=INDEX(Sectorwise!F:F,MATCH(F45,Sectorwise!A:A,0))),1,0)</f>
        <v>0</v>
      </c>
      <c r="R45" s="76">
        <f>IF(N45&gt;INDEX(Sectorwise!F:F,MATCH(F45,Sectorwise!A:A,0)),1,0)</f>
        <v>1</v>
      </c>
      <c r="S45" s="27">
        <f t="shared" si="1"/>
        <v>0</v>
      </c>
      <c r="T45" s="27">
        <f t="shared" si="2"/>
        <v>0</v>
      </c>
      <c r="U45" s="27">
        <f t="shared" si="3"/>
        <v>20868</v>
      </c>
      <c r="V45" s="95">
        <f>IF(R45=1,(N45-INDEX(Sectorwise!F:F,MATCH(F45,Sectorwise!A:A,0))),0)</f>
        <v>9168</v>
      </c>
      <c r="W45" s="97">
        <f>POISSON(N45,INDEX(Sectorwise!D:D,MATCH(Travel!F623,Sectorwise!A:A,0)),TRUE)</f>
        <v>0</v>
      </c>
    </row>
    <row r="46" spans="1:23" ht="15.75" hidden="1" customHeight="1" x14ac:dyDescent="0.2">
      <c r="A46" s="63" t="s">
        <v>1638</v>
      </c>
      <c r="B46" s="63" t="s">
        <v>1639</v>
      </c>
      <c r="C46" s="63"/>
      <c r="E46" s="63" t="s">
        <v>2276</v>
      </c>
      <c r="F46" s="63" t="s">
        <v>2147</v>
      </c>
      <c r="G46" s="56" t="s">
        <v>2309</v>
      </c>
      <c r="H46" s="63" t="s">
        <v>1640</v>
      </c>
      <c r="I46" s="63" t="s">
        <v>1635</v>
      </c>
      <c r="J46" s="65">
        <v>6100</v>
      </c>
      <c r="K46" s="65">
        <v>4013</v>
      </c>
      <c r="L46" s="26">
        <f t="shared" si="0"/>
        <v>10113</v>
      </c>
      <c r="M46" s="26">
        <f t="array" ref="M46">MEDIAN(IF($F$3:$F$810=F46,$L$3:$L$810))</f>
        <v>10605</v>
      </c>
      <c r="N46" s="65">
        <v>10113</v>
      </c>
      <c r="O46" s="62">
        <v>0</v>
      </c>
      <c r="P46" s="76">
        <f>IF(N46&lt;INDEX(Sectorwise!E:E,MATCH(F46,Sectorwise!A:A,0)),1,0)</f>
        <v>0</v>
      </c>
      <c r="Q46" s="76">
        <f>IF(AND(N46&gt;=INDEX(Sectorwise!E:E,MATCH(F46,Sectorwise!A:A,0)),N46&lt;=INDEX(Sectorwise!F:F,MATCH(F46,Sectorwise!A:A,0))),1,0)</f>
        <v>1</v>
      </c>
      <c r="R46" s="76">
        <f>IF(N46&gt;INDEX(Sectorwise!F:F,MATCH(F46,Sectorwise!A:A,0)),1,0)</f>
        <v>0</v>
      </c>
      <c r="S46" s="27">
        <f t="shared" si="1"/>
        <v>0</v>
      </c>
      <c r="T46" s="27">
        <f t="shared" si="2"/>
        <v>10113</v>
      </c>
      <c r="U46" s="27">
        <f t="shared" si="3"/>
        <v>0</v>
      </c>
      <c r="V46" s="95">
        <f>IF(R46=1,(N46-INDEX(Sectorwise!F:F,MATCH(F46,Sectorwise!A:A,0))),0)</f>
        <v>0</v>
      </c>
      <c r="W46" s="97">
        <f>POISSON(N46,INDEX(Sectorwise!D:D,MATCH(Travel!F625,Sectorwise!A:A,0)),TRUE)</f>
        <v>1</v>
      </c>
    </row>
    <row r="47" spans="1:23" ht="15.75" hidden="1" customHeight="1" x14ac:dyDescent="0.2">
      <c r="A47" s="63" t="s">
        <v>1874</v>
      </c>
      <c r="B47" s="63" t="s">
        <v>1875</v>
      </c>
      <c r="C47" s="63"/>
      <c r="E47" s="63" t="s">
        <v>2276</v>
      </c>
      <c r="F47" s="21" t="s">
        <v>2142</v>
      </c>
      <c r="G47" s="56" t="s">
        <v>2309</v>
      </c>
      <c r="H47" s="63" t="s">
        <v>1877</v>
      </c>
      <c r="I47" s="63" t="s">
        <v>1807</v>
      </c>
      <c r="J47" s="65">
        <v>4170</v>
      </c>
      <c r="K47" s="65">
        <v>1474</v>
      </c>
      <c r="L47" s="26">
        <f t="shared" si="0"/>
        <v>5644</v>
      </c>
      <c r="M47" s="26">
        <f t="array" ref="M47">MEDIAN(IF($F$3:$F$810=F47,$L$3:$L$810))</f>
        <v>5161</v>
      </c>
      <c r="N47" s="57">
        <f>J47+K47</f>
        <v>5644</v>
      </c>
      <c r="O47" s="62">
        <v>0</v>
      </c>
      <c r="P47" s="76">
        <f>IF(N47&lt;INDEX(Sectorwise!E:E,MATCH(F47,Sectorwise!A:A,0)),1,0)</f>
        <v>0</v>
      </c>
      <c r="Q47" s="76">
        <f>IF(AND(N47&gt;=INDEX(Sectorwise!E:E,MATCH(F47,Sectorwise!A:A,0)),N47&lt;=INDEX(Sectorwise!F:F,MATCH(F47,Sectorwise!A:A,0))),1,0)</f>
        <v>1</v>
      </c>
      <c r="R47" s="76">
        <f>IF(N47&gt;INDEX(Sectorwise!F:F,MATCH(F47,Sectorwise!A:A,0)),1,0)</f>
        <v>0</v>
      </c>
      <c r="S47" s="27">
        <f t="shared" si="1"/>
        <v>0</v>
      </c>
      <c r="T47" s="27">
        <f t="shared" si="2"/>
        <v>5644</v>
      </c>
      <c r="U47" s="27">
        <f t="shared" si="3"/>
        <v>0</v>
      </c>
      <c r="V47" s="95">
        <f>IF(R47=1,(N47-INDEX(Sectorwise!F:F,MATCH(F47,Sectorwise!A:A,0))),0)</f>
        <v>0</v>
      </c>
      <c r="W47" s="97">
        <f>POISSON(N47,INDEX(Sectorwise!D:D,MATCH(Travel!F713,Sectorwise!A:A,0)),TRUE)</f>
        <v>0</v>
      </c>
    </row>
    <row r="48" spans="1:23" ht="15.75" hidden="1" customHeight="1" x14ac:dyDescent="0.2">
      <c r="A48" s="63" t="s">
        <v>1569</v>
      </c>
      <c r="B48" s="63" t="s">
        <v>1574</v>
      </c>
      <c r="C48" s="63"/>
      <c r="E48" s="63" t="s">
        <v>2276</v>
      </c>
      <c r="F48" s="21" t="s">
        <v>2135</v>
      </c>
      <c r="G48" s="56" t="s">
        <v>2309</v>
      </c>
      <c r="H48" s="63" t="s">
        <v>1575</v>
      </c>
      <c r="I48" s="63" t="s">
        <v>1483</v>
      </c>
      <c r="J48" s="65">
        <v>5500</v>
      </c>
      <c r="K48" s="65">
        <v>1970</v>
      </c>
      <c r="L48" s="26">
        <f t="shared" si="0"/>
        <v>7470</v>
      </c>
      <c r="M48" s="26">
        <f t="array" ref="M48">MEDIAN(IF($F$3:$F$810=F48,$L$3:$L$810))</f>
        <v>7234</v>
      </c>
      <c r="N48" s="65">
        <v>7470</v>
      </c>
      <c r="O48" s="62">
        <v>0</v>
      </c>
      <c r="P48" s="76">
        <f>IF(N48&lt;INDEX(Sectorwise!E:E,MATCH(F48,Sectorwise!A:A,0)),1,0)</f>
        <v>0</v>
      </c>
      <c r="Q48" s="76">
        <f>IF(AND(N48&gt;=INDEX(Sectorwise!E:E,MATCH(F48,Sectorwise!A:A,0)),N48&lt;=INDEX(Sectorwise!F:F,MATCH(F48,Sectorwise!A:A,0))),1,0)</f>
        <v>1</v>
      </c>
      <c r="R48" s="76">
        <f>IF(N48&gt;INDEX(Sectorwise!F:F,MATCH(F48,Sectorwise!A:A,0)),1,0)</f>
        <v>0</v>
      </c>
      <c r="S48" s="27">
        <f t="shared" si="1"/>
        <v>0</v>
      </c>
      <c r="T48" s="27">
        <f t="shared" si="2"/>
        <v>7470</v>
      </c>
      <c r="U48" s="27">
        <f t="shared" si="3"/>
        <v>0</v>
      </c>
      <c r="V48" s="95">
        <f>IF(R48=1,(N48-INDEX(Sectorwise!F:F,MATCH(F48,Sectorwise!A:A,0))),0)</f>
        <v>0</v>
      </c>
      <c r="W48" s="97">
        <f>POISSON(N48,INDEX(Sectorwise!D:D,MATCH(Travel!F597,Sectorwise!A:A,0)),TRUE)</f>
        <v>0.99717665757430662</v>
      </c>
    </row>
    <row r="49" spans="1:23" ht="15.75" hidden="1" customHeight="1" x14ac:dyDescent="0.2">
      <c r="A49" s="69" t="s">
        <v>1955</v>
      </c>
      <c r="B49" s="69" t="s">
        <v>1959</v>
      </c>
      <c r="C49" s="69" t="s">
        <v>1960</v>
      </c>
      <c r="E49" s="63" t="s">
        <v>2276</v>
      </c>
      <c r="F49" s="21" t="s">
        <v>2135</v>
      </c>
      <c r="G49" s="69" t="s">
        <v>2308</v>
      </c>
      <c r="H49" s="69" t="s">
        <v>1961</v>
      </c>
      <c r="I49" s="69" t="s">
        <v>1958</v>
      </c>
      <c r="J49" s="70">
        <v>4292</v>
      </c>
      <c r="K49" s="70">
        <v>933</v>
      </c>
      <c r="L49" s="26">
        <f t="shared" si="0"/>
        <v>5225</v>
      </c>
      <c r="M49" s="26">
        <f t="array" ref="M49">MEDIAN(IF($F$3:$F$810=F49,$L$3:$L$810))</f>
        <v>7234</v>
      </c>
      <c r="N49" s="70">
        <v>5225</v>
      </c>
      <c r="O49" s="71">
        <v>5125</v>
      </c>
      <c r="P49" s="76">
        <f>IF(N49&lt;INDEX(Sectorwise!E:E,MATCH(F49,Sectorwise!A:A,0)),1,0)</f>
        <v>1</v>
      </c>
      <c r="Q49" s="76">
        <f>IF(AND(N49&gt;=INDEX(Sectorwise!E:E,MATCH(F49,Sectorwise!A:A,0)),N49&lt;=INDEX(Sectorwise!F:F,MATCH(F49,Sectorwise!A:A,0))),1,0)</f>
        <v>0</v>
      </c>
      <c r="R49" s="76">
        <f>IF(N49&gt;INDEX(Sectorwise!F:F,MATCH(F49,Sectorwise!A:A,0)),1,0)</f>
        <v>0</v>
      </c>
      <c r="S49" s="27">
        <f t="shared" si="1"/>
        <v>5225</v>
      </c>
      <c r="T49" s="27">
        <f t="shared" si="2"/>
        <v>0</v>
      </c>
      <c r="U49" s="27">
        <f t="shared" si="3"/>
        <v>0</v>
      </c>
      <c r="V49" s="95">
        <f>IF(R49=1,(N49-INDEX(Sectorwise!F:F,MATCH(F49,Sectorwise!A:A,0))),0)</f>
        <v>0</v>
      </c>
      <c r="W49" s="97">
        <f>POISSON(N49,INDEX(Sectorwise!D:D,MATCH(Travel!F748,Sectorwise!A:A,0)),TRUE)</f>
        <v>0</v>
      </c>
    </row>
    <row r="50" spans="1:23" ht="15.75" hidden="1" customHeight="1" x14ac:dyDescent="0.2">
      <c r="A50" s="69" t="s">
        <v>1962</v>
      </c>
      <c r="B50" s="69" t="s">
        <v>1969</v>
      </c>
      <c r="C50" s="69"/>
      <c r="E50" s="63" t="s">
        <v>2276</v>
      </c>
      <c r="F50" s="21" t="s">
        <v>2135</v>
      </c>
      <c r="G50" s="56" t="s">
        <v>2309</v>
      </c>
      <c r="H50" s="69" t="s">
        <v>1970</v>
      </c>
      <c r="I50" s="69" t="s">
        <v>1958</v>
      </c>
      <c r="J50" s="70">
        <v>5920</v>
      </c>
      <c r="K50" s="70">
        <v>1969</v>
      </c>
      <c r="L50" s="26">
        <f t="shared" si="0"/>
        <v>7889</v>
      </c>
      <c r="M50" s="26">
        <f t="array" ref="M50">MEDIAN(IF($F$3:$F$810=F50,$L$3:$L$810))</f>
        <v>7234</v>
      </c>
      <c r="N50" s="70">
        <v>7889</v>
      </c>
      <c r="O50" s="71">
        <v>0</v>
      </c>
      <c r="P50" s="76">
        <f>IF(N50&lt;INDEX(Sectorwise!E:E,MATCH(F50,Sectorwise!A:A,0)),1,0)</f>
        <v>0</v>
      </c>
      <c r="Q50" s="76">
        <f>IF(AND(N50&gt;=INDEX(Sectorwise!E:E,MATCH(F50,Sectorwise!A:A,0)),N50&lt;=INDEX(Sectorwise!F:F,MATCH(F50,Sectorwise!A:A,0))),1,0)</f>
        <v>1</v>
      </c>
      <c r="R50" s="76">
        <f>IF(N50&gt;INDEX(Sectorwise!F:F,MATCH(F50,Sectorwise!A:A,0)),1,0)</f>
        <v>0</v>
      </c>
      <c r="S50" s="27">
        <f t="shared" si="1"/>
        <v>0</v>
      </c>
      <c r="T50" s="27">
        <f t="shared" si="2"/>
        <v>7889</v>
      </c>
      <c r="U50" s="27">
        <f t="shared" si="3"/>
        <v>0</v>
      </c>
      <c r="V50" s="95">
        <f>IF(R50=1,(N50-INDEX(Sectorwise!F:F,MATCH(F50,Sectorwise!A:A,0))),0)</f>
        <v>0</v>
      </c>
      <c r="W50" s="97">
        <f>POISSON(N50,INDEX(Sectorwise!D:D,MATCH(Travel!F751,Sectorwise!A:A,0)),TRUE)</f>
        <v>1</v>
      </c>
    </row>
    <row r="51" spans="1:23" ht="15.75" hidden="1" customHeight="1" x14ac:dyDescent="0.2">
      <c r="A51" s="69" t="s">
        <v>2026</v>
      </c>
      <c r="B51" s="69" t="s">
        <v>2027</v>
      </c>
      <c r="C51" s="69"/>
      <c r="E51" s="63" t="s">
        <v>2276</v>
      </c>
      <c r="F51" s="21" t="s">
        <v>2135</v>
      </c>
      <c r="G51" s="56" t="s">
        <v>2309</v>
      </c>
      <c r="H51" s="69" t="s">
        <v>2028</v>
      </c>
      <c r="I51" s="69" t="s">
        <v>1932</v>
      </c>
      <c r="J51" s="70">
        <v>8200</v>
      </c>
      <c r="K51" s="70">
        <v>2095</v>
      </c>
      <c r="L51" s="26">
        <f t="shared" si="0"/>
        <v>10295</v>
      </c>
      <c r="M51" s="26">
        <f t="array" ref="M51">MEDIAN(IF($F$3:$F$810=F51,$L$3:$L$810))</f>
        <v>7234</v>
      </c>
      <c r="N51" s="70">
        <v>10295</v>
      </c>
      <c r="O51" s="71">
        <v>0</v>
      </c>
      <c r="P51" s="76">
        <f>IF(N51&lt;INDEX(Sectorwise!E:E,MATCH(F51,Sectorwise!A:A,0)),1,0)</f>
        <v>0</v>
      </c>
      <c r="Q51" s="76">
        <f>IF(AND(N51&gt;=INDEX(Sectorwise!E:E,MATCH(F51,Sectorwise!A:A,0)),N51&lt;=INDEX(Sectorwise!F:F,MATCH(F51,Sectorwise!A:A,0))),1,0)</f>
        <v>0</v>
      </c>
      <c r="R51" s="76">
        <f>IF(N51&gt;INDEX(Sectorwise!F:F,MATCH(F51,Sectorwise!A:A,0)),1,0)</f>
        <v>1</v>
      </c>
      <c r="S51" s="27">
        <f t="shared" si="1"/>
        <v>0</v>
      </c>
      <c r="T51" s="27">
        <f t="shared" si="2"/>
        <v>0</v>
      </c>
      <c r="U51" s="27">
        <f t="shared" si="3"/>
        <v>10295</v>
      </c>
      <c r="V51" s="95">
        <f>IF(R51=1,(N51-INDEX(Sectorwise!F:F,MATCH(F51,Sectorwise!A:A,0))),0)</f>
        <v>2295</v>
      </c>
      <c r="W51" s="97">
        <f>POISSON(N51,INDEX(Sectorwise!D:D,MATCH(Travel!F771,Sectorwise!A:A,0)),TRUE)</f>
        <v>1.6343468425450162E-3</v>
      </c>
    </row>
    <row r="52" spans="1:23" ht="15.75" hidden="1" customHeight="1" x14ac:dyDescent="0.2">
      <c r="A52" s="63" t="s">
        <v>1496</v>
      </c>
      <c r="B52" s="63" t="s">
        <v>1497</v>
      </c>
      <c r="C52" s="63"/>
      <c r="E52" s="63" t="s">
        <v>2276</v>
      </c>
      <c r="F52" s="21" t="s">
        <v>2151</v>
      </c>
      <c r="G52" s="56" t="s">
        <v>2309</v>
      </c>
      <c r="H52" s="63" t="s">
        <v>1498</v>
      </c>
      <c r="I52" s="63" t="s">
        <v>1463</v>
      </c>
      <c r="J52" s="65">
        <v>7650</v>
      </c>
      <c r="K52" s="65">
        <v>3422</v>
      </c>
      <c r="L52" s="26">
        <f t="shared" si="0"/>
        <v>11072</v>
      </c>
      <c r="M52" s="26">
        <f t="array" ref="M52">MEDIAN(IF($F$3:$F$810=F52,$L$3:$L$810))</f>
        <v>10079</v>
      </c>
      <c r="N52" s="65">
        <v>11072</v>
      </c>
      <c r="O52" s="62">
        <v>0</v>
      </c>
      <c r="P52" s="76">
        <f>IF(N52&lt;INDEX(Sectorwise!E:E,MATCH(F52,Sectorwise!A:A,0)),1,0)</f>
        <v>0</v>
      </c>
      <c r="Q52" s="76">
        <f>IF(AND(N52&gt;=INDEX(Sectorwise!E:E,MATCH(F52,Sectorwise!A:A,0)),N52&lt;=INDEX(Sectorwise!F:F,MATCH(F52,Sectorwise!A:A,0))),1,0)</f>
        <v>1</v>
      </c>
      <c r="R52" s="76">
        <f>IF(N52&gt;INDEX(Sectorwise!F:F,MATCH(F52,Sectorwise!A:A,0)),1,0)</f>
        <v>0</v>
      </c>
      <c r="S52" s="27">
        <f t="shared" si="1"/>
        <v>0</v>
      </c>
      <c r="T52" s="27">
        <f t="shared" si="2"/>
        <v>11072</v>
      </c>
      <c r="U52" s="27">
        <f t="shared" si="3"/>
        <v>0</v>
      </c>
      <c r="V52" s="95">
        <f>IF(R52=1,(N52-INDEX(Sectorwise!F:F,MATCH(F52,Sectorwise!A:A,0))),0)</f>
        <v>0</v>
      </c>
      <c r="W52" s="97">
        <f>POISSON(N52,INDEX(Sectorwise!D:D,MATCH(Travel!F565,Sectorwise!A:A,0)),TRUE)</f>
        <v>1</v>
      </c>
    </row>
    <row r="53" spans="1:23" ht="15.75" hidden="1" customHeight="1" x14ac:dyDescent="0.2">
      <c r="A53" s="63" t="s">
        <v>1771</v>
      </c>
      <c r="B53" s="63" t="s">
        <v>1778</v>
      </c>
      <c r="C53" s="63"/>
      <c r="E53" s="63" t="s">
        <v>2276</v>
      </c>
      <c r="F53" s="21" t="s">
        <v>2151</v>
      </c>
      <c r="G53" s="56" t="s">
        <v>2309</v>
      </c>
      <c r="H53" s="63" t="s">
        <v>1779</v>
      </c>
      <c r="I53" s="63" t="s">
        <v>1777</v>
      </c>
      <c r="J53" s="65">
        <v>7650</v>
      </c>
      <c r="K53" s="65">
        <v>3422</v>
      </c>
      <c r="L53" s="26">
        <f t="shared" si="0"/>
        <v>11072</v>
      </c>
      <c r="M53" s="26">
        <f t="array" ref="M53">MEDIAN(IF($F$3:$F$810=F53,$L$3:$L$810))</f>
        <v>10079</v>
      </c>
      <c r="N53" s="65">
        <v>11072</v>
      </c>
      <c r="O53" s="62">
        <v>0</v>
      </c>
      <c r="P53" s="76">
        <f>IF(N53&lt;INDEX(Sectorwise!E:E,MATCH(F53,Sectorwise!A:A,0)),1,0)</f>
        <v>0</v>
      </c>
      <c r="Q53" s="76">
        <f>IF(AND(N53&gt;=INDEX(Sectorwise!E:E,MATCH(F53,Sectorwise!A:A,0)),N53&lt;=INDEX(Sectorwise!F:F,MATCH(F53,Sectorwise!A:A,0))),1,0)</f>
        <v>1</v>
      </c>
      <c r="R53" s="76">
        <f>IF(N53&gt;INDEX(Sectorwise!F:F,MATCH(F53,Sectorwise!A:A,0)),1,0)</f>
        <v>0</v>
      </c>
      <c r="S53" s="27">
        <f t="shared" si="1"/>
        <v>0</v>
      </c>
      <c r="T53" s="27">
        <f t="shared" si="2"/>
        <v>11072</v>
      </c>
      <c r="U53" s="27">
        <f t="shared" si="3"/>
        <v>0</v>
      </c>
      <c r="V53" s="95">
        <f>IF(R53=1,(N53-INDEX(Sectorwise!F:F,MATCH(F53,Sectorwise!A:A,0))),0)</f>
        <v>0</v>
      </c>
      <c r="W53" s="97">
        <f>POISSON(N53,INDEX(Sectorwise!D:D,MATCH(Travel!F675,Sectorwise!A:A,0)),TRUE)</f>
        <v>1</v>
      </c>
    </row>
    <row r="54" spans="1:23" ht="15.75" hidden="1" customHeight="1" x14ac:dyDescent="0.2">
      <c r="A54" s="63" t="s">
        <v>1837</v>
      </c>
      <c r="B54" s="63" t="s">
        <v>1849</v>
      </c>
      <c r="C54" s="63"/>
      <c r="E54" s="63" t="s">
        <v>2276</v>
      </c>
      <c r="F54" s="21" t="s">
        <v>2151</v>
      </c>
      <c r="G54" s="56" t="s">
        <v>2309</v>
      </c>
      <c r="H54" s="63" t="s">
        <v>1850</v>
      </c>
      <c r="I54" s="63" t="s">
        <v>1819</v>
      </c>
      <c r="J54" s="65">
        <v>7650</v>
      </c>
      <c r="K54" s="65">
        <v>3422</v>
      </c>
      <c r="L54" s="26">
        <f t="shared" si="0"/>
        <v>11072</v>
      </c>
      <c r="M54" s="26">
        <f t="array" ref="M54">MEDIAN(IF($F$3:$F$810=F54,$L$3:$L$810))</f>
        <v>10079</v>
      </c>
      <c r="N54" s="65">
        <v>11072</v>
      </c>
      <c r="O54" s="62">
        <v>0</v>
      </c>
      <c r="P54" s="76">
        <f>IF(N54&lt;INDEX(Sectorwise!E:E,MATCH(F54,Sectorwise!A:A,0)),1,0)</f>
        <v>0</v>
      </c>
      <c r="Q54" s="76">
        <f>IF(AND(N54&gt;=INDEX(Sectorwise!E:E,MATCH(F54,Sectorwise!A:A,0)),N54&lt;=INDEX(Sectorwise!F:F,MATCH(F54,Sectorwise!A:A,0))),1,0)</f>
        <v>1</v>
      </c>
      <c r="R54" s="76">
        <f>IF(N54&gt;INDEX(Sectorwise!F:F,MATCH(F54,Sectorwise!A:A,0)),1,0)</f>
        <v>0</v>
      </c>
      <c r="S54" s="27">
        <f t="shared" si="1"/>
        <v>0</v>
      </c>
      <c r="T54" s="27">
        <f t="shared" si="2"/>
        <v>11072</v>
      </c>
      <c r="U54" s="27">
        <f t="shared" si="3"/>
        <v>0</v>
      </c>
      <c r="V54" s="95">
        <f>IF(R54=1,(N54-INDEX(Sectorwise!F:F,MATCH(F54,Sectorwise!A:A,0))),0)</f>
        <v>0</v>
      </c>
      <c r="W54" s="97">
        <f>POISSON(N54,INDEX(Sectorwise!D:D,MATCH(Travel!F702,Sectorwise!A:A,0)),TRUE)</f>
        <v>1</v>
      </c>
    </row>
    <row r="55" spans="1:23" ht="15.75" hidden="1" customHeight="1" x14ac:dyDescent="0.2">
      <c r="A55" s="69" t="s">
        <v>1971</v>
      </c>
      <c r="B55" s="69" t="s">
        <v>1972</v>
      </c>
      <c r="C55" s="69"/>
      <c r="E55" s="63" t="s">
        <v>2276</v>
      </c>
      <c r="F55" s="21" t="s">
        <v>2151</v>
      </c>
      <c r="G55" s="56" t="s">
        <v>2309</v>
      </c>
      <c r="H55" s="69" t="s">
        <v>1973</v>
      </c>
      <c r="I55" s="69" t="s">
        <v>1974</v>
      </c>
      <c r="J55" s="70">
        <v>7650</v>
      </c>
      <c r="K55" s="70">
        <v>3422</v>
      </c>
      <c r="L55" s="26">
        <f t="shared" si="0"/>
        <v>11072</v>
      </c>
      <c r="M55" s="26">
        <f t="array" ref="M55">MEDIAN(IF($F$3:$F$810=F55,$L$3:$L$810))</f>
        <v>10079</v>
      </c>
      <c r="N55" s="70">
        <v>11072</v>
      </c>
      <c r="O55" s="71">
        <v>0</v>
      </c>
      <c r="P55" s="76">
        <f>IF(N55&lt;INDEX(Sectorwise!E:E,MATCH(F55,Sectorwise!A:A,0)),1,0)</f>
        <v>0</v>
      </c>
      <c r="Q55" s="76">
        <f>IF(AND(N55&gt;=INDEX(Sectorwise!E:E,MATCH(F55,Sectorwise!A:A,0)),N55&lt;=INDEX(Sectorwise!F:F,MATCH(F55,Sectorwise!A:A,0))),1,0)</f>
        <v>1</v>
      </c>
      <c r="R55" s="76">
        <f>IF(N55&gt;INDEX(Sectorwise!F:F,MATCH(F55,Sectorwise!A:A,0)),1,0)</f>
        <v>0</v>
      </c>
      <c r="S55" s="27">
        <f t="shared" si="1"/>
        <v>0</v>
      </c>
      <c r="T55" s="27">
        <f t="shared" si="2"/>
        <v>11072</v>
      </c>
      <c r="U55" s="27">
        <f t="shared" si="3"/>
        <v>0</v>
      </c>
      <c r="V55" s="95">
        <f>IF(R55=1,(N55-INDEX(Sectorwise!F:F,MATCH(F55,Sectorwise!A:A,0))),0)</f>
        <v>0</v>
      </c>
      <c r="W55" s="97">
        <f>POISSON(N55,INDEX(Sectorwise!D:D,MATCH(Travel!F752,Sectorwise!A:A,0)),TRUE)</f>
        <v>0</v>
      </c>
    </row>
    <row r="56" spans="1:23" ht="15.75" hidden="1" customHeight="1" x14ac:dyDescent="0.2">
      <c r="A56" s="63" t="s">
        <v>1916</v>
      </c>
      <c r="B56" s="63" t="s">
        <v>1936</v>
      </c>
      <c r="C56" s="63"/>
      <c r="E56" s="63" t="s">
        <v>2276</v>
      </c>
      <c r="F56" s="63" t="s">
        <v>1934</v>
      </c>
      <c r="G56" s="63" t="s">
        <v>2333</v>
      </c>
      <c r="H56" s="63" t="s">
        <v>1723</v>
      </c>
      <c r="I56" s="63" t="s">
        <v>41</v>
      </c>
      <c r="J56" s="65">
        <v>14565</v>
      </c>
      <c r="K56" s="65">
        <v>435</v>
      </c>
      <c r="L56" s="26">
        <f t="shared" si="0"/>
        <v>15000</v>
      </c>
      <c r="M56" s="26">
        <f t="array" ref="M56">MEDIAN(IF($F$3:$F$810=F56,$L$3:$L$810))</f>
        <v>15000</v>
      </c>
      <c r="N56" s="65">
        <v>15000</v>
      </c>
      <c r="O56" s="62">
        <v>0</v>
      </c>
      <c r="P56" s="76">
        <f>IF(N56&lt;INDEX(Sectorwise!E:E,MATCH(F56,Sectorwise!A:A,0)),1,0)</f>
        <v>0</v>
      </c>
      <c r="Q56" s="76">
        <f>IF(AND(N56&gt;=INDEX(Sectorwise!E:E,MATCH(F56,Sectorwise!A:A,0)),N56&lt;=INDEX(Sectorwise!F:F,MATCH(F56,Sectorwise!A:A,0))),1,0)</f>
        <v>1</v>
      </c>
      <c r="R56" s="76">
        <f>IF(N56&gt;INDEX(Sectorwise!F:F,MATCH(F56,Sectorwise!A:A,0)),1,0)</f>
        <v>0</v>
      </c>
      <c r="S56" s="27">
        <f t="shared" si="1"/>
        <v>0</v>
      </c>
      <c r="T56" s="27">
        <f t="shared" si="2"/>
        <v>15000</v>
      </c>
      <c r="U56" s="27">
        <f t="shared" si="3"/>
        <v>0</v>
      </c>
      <c r="V56" s="95">
        <f>IF(R56=1,(N56-INDEX(Sectorwise!F:F,MATCH(F56,Sectorwise!A:A,0))),0)</f>
        <v>0</v>
      </c>
      <c r="W56" s="97">
        <f>POISSON(N56,INDEX(Sectorwise!D:D,MATCH(Travel!F739,Sectorwise!A:A,0)),TRUE)</f>
        <v>1</v>
      </c>
    </row>
    <row r="57" spans="1:23" ht="15.75" hidden="1" customHeight="1" x14ac:dyDescent="0.2">
      <c r="A57" s="63" t="s">
        <v>1511</v>
      </c>
      <c r="B57" s="63" t="s">
        <v>1512</v>
      </c>
      <c r="C57" s="63"/>
      <c r="E57" s="63" t="s">
        <v>2276</v>
      </c>
      <c r="F57" s="21" t="s">
        <v>2149</v>
      </c>
      <c r="G57" s="33" t="s">
        <v>2321</v>
      </c>
      <c r="H57" s="63" t="s">
        <v>1513</v>
      </c>
      <c r="I57" s="63" t="s">
        <v>1495</v>
      </c>
      <c r="J57" s="65">
        <v>8451</v>
      </c>
      <c r="K57" s="65">
        <v>1406</v>
      </c>
      <c r="L57" s="26">
        <f t="shared" si="0"/>
        <v>9857</v>
      </c>
      <c r="M57" s="26">
        <f t="array" ref="M57">MEDIAN(IF($F$3:$F$810=F57,$L$3:$L$810))</f>
        <v>10332</v>
      </c>
      <c r="N57" s="65">
        <v>19714</v>
      </c>
      <c r="O57" s="62">
        <v>0</v>
      </c>
      <c r="P57" s="76">
        <f>IF(N57&lt;INDEX(Sectorwise!E:E,MATCH(F57,Sectorwise!A:A,0)),1,0)</f>
        <v>0</v>
      </c>
      <c r="Q57" s="76">
        <f>IF(AND(N57&gt;=INDEX(Sectorwise!E:E,MATCH(F57,Sectorwise!A:A,0)),N57&lt;=INDEX(Sectorwise!F:F,MATCH(F57,Sectorwise!A:A,0))),1,0)</f>
        <v>0</v>
      </c>
      <c r="R57" s="76">
        <f>IF(N57&gt;INDEX(Sectorwise!F:F,MATCH(F57,Sectorwise!A:A,0)),1,0)</f>
        <v>1</v>
      </c>
      <c r="S57" s="27">
        <f t="shared" si="1"/>
        <v>0</v>
      </c>
      <c r="T57" s="27">
        <f t="shared" si="2"/>
        <v>0</v>
      </c>
      <c r="U57" s="27">
        <f t="shared" si="3"/>
        <v>19714</v>
      </c>
      <c r="V57" s="95">
        <f>IF(R57=1,(N57-INDEX(Sectorwise!F:F,MATCH(F57,Sectorwise!A:A,0))),0)</f>
        <v>8314</v>
      </c>
      <c r="W57" s="97">
        <f>POISSON(N57,INDEX(Sectorwise!D:D,MATCH(Travel!F571,Sectorwise!A:A,0)),TRUE)</f>
        <v>1</v>
      </c>
    </row>
    <row r="58" spans="1:23" ht="15.75" hidden="1" customHeight="1" x14ac:dyDescent="0.2">
      <c r="A58" s="63" t="s">
        <v>1626</v>
      </c>
      <c r="B58" s="63" t="s">
        <v>1632</v>
      </c>
      <c r="C58" s="63"/>
      <c r="E58" s="63" t="s">
        <v>2276</v>
      </c>
      <c r="F58" s="21" t="s">
        <v>2149</v>
      </c>
      <c r="G58" s="56" t="s">
        <v>2309</v>
      </c>
      <c r="H58" s="63" t="s">
        <v>1636</v>
      </c>
      <c r="I58" s="63" t="s">
        <v>1637</v>
      </c>
      <c r="J58" s="65">
        <v>6400</v>
      </c>
      <c r="K58" s="65">
        <v>3964</v>
      </c>
      <c r="L58" s="26">
        <f t="shared" si="0"/>
        <v>10364</v>
      </c>
      <c r="M58" s="26">
        <f t="array" ref="M58">MEDIAN(IF($F$3:$F$810=F58,$L$3:$L$810))</f>
        <v>10332</v>
      </c>
      <c r="N58" s="57">
        <f>J58+K58</f>
        <v>10364</v>
      </c>
      <c r="O58" s="62">
        <v>0</v>
      </c>
      <c r="P58" s="76">
        <f>IF(N58&lt;INDEX(Sectorwise!E:E,MATCH(F58,Sectorwise!A:A,0)),1,0)</f>
        <v>0</v>
      </c>
      <c r="Q58" s="76">
        <f>IF(AND(N58&gt;=INDEX(Sectorwise!E:E,MATCH(F58,Sectorwise!A:A,0)),N58&lt;=INDEX(Sectorwise!F:F,MATCH(F58,Sectorwise!A:A,0))),1,0)</f>
        <v>1</v>
      </c>
      <c r="R58" s="76">
        <f>IF(N58&gt;INDEX(Sectorwise!F:F,MATCH(F58,Sectorwise!A:A,0)),1,0)</f>
        <v>0</v>
      </c>
      <c r="S58" s="27">
        <f t="shared" si="1"/>
        <v>0</v>
      </c>
      <c r="T58" s="27">
        <f t="shared" si="2"/>
        <v>10364</v>
      </c>
      <c r="U58" s="27">
        <f t="shared" si="3"/>
        <v>0</v>
      </c>
      <c r="V58" s="95">
        <f>IF(R58=1,(N58-INDEX(Sectorwise!F:F,MATCH(F58,Sectorwise!A:A,0))),0)</f>
        <v>0</v>
      </c>
      <c r="W58" s="97">
        <f>POISSON(N58,INDEX(Sectorwise!D:D,MATCH(Travel!F624,Sectorwise!A:A,0)),TRUE)</f>
        <v>1</v>
      </c>
    </row>
    <row r="59" spans="1:23" ht="15.75" hidden="1" customHeight="1" x14ac:dyDescent="0.2">
      <c r="A59" s="63" t="s">
        <v>1771</v>
      </c>
      <c r="B59" s="63" t="s">
        <v>1780</v>
      </c>
      <c r="C59" s="63"/>
      <c r="E59" s="63" t="s">
        <v>2276</v>
      </c>
      <c r="F59" s="21" t="s">
        <v>2149</v>
      </c>
      <c r="G59" s="56" t="s">
        <v>2309</v>
      </c>
      <c r="H59" s="63" t="s">
        <v>1781</v>
      </c>
      <c r="I59" s="63" t="s">
        <v>1782</v>
      </c>
      <c r="J59" s="65">
        <v>7950</v>
      </c>
      <c r="K59" s="65">
        <v>3951</v>
      </c>
      <c r="L59" s="26">
        <f t="shared" si="0"/>
        <v>11901</v>
      </c>
      <c r="M59" s="26">
        <f t="array" ref="M59">MEDIAN(IF($F$3:$F$810=F59,$L$3:$L$810))</f>
        <v>10332</v>
      </c>
      <c r="N59" s="65">
        <v>11901</v>
      </c>
      <c r="O59" s="62">
        <v>0</v>
      </c>
      <c r="P59" s="76">
        <f>IF(N59&lt;INDEX(Sectorwise!E:E,MATCH(F59,Sectorwise!A:A,0)),1,0)</f>
        <v>0</v>
      </c>
      <c r="Q59" s="76">
        <f>IF(AND(N59&gt;=INDEX(Sectorwise!E:E,MATCH(F59,Sectorwise!A:A,0)),N59&lt;=INDEX(Sectorwise!F:F,MATCH(F59,Sectorwise!A:A,0))),1,0)</f>
        <v>0</v>
      </c>
      <c r="R59" s="76">
        <f>IF(N59&gt;INDEX(Sectorwise!F:F,MATCH(F59,Sectorwise!A:A,0)),1,0)</f>
        <v>1</v>
      </c>
      <c r="S59" s="27">
        <f t="shared" si="1"/>
        <v>0</v>
      </c>
      <c r="T59" s="27">
        <f t="shared" si="2"/>
        <v>0</v>
      </c>
      <c r="U59" s="27">
        <f t="shared" si="3"/>
        <v>11901</v>
      </c>
      <c r="V59" s="95">
        <f>IF(R59=1,(N59-INDEX(Sectorwise!F:F,MATCH(F59,Sectorwise!A:A,0))),0)</f>
        <v>501</v>
      </c>
      <c r="W59" s="97">
        <f>POISSON(N59,INDEX(Sectorwise!D:D,MATCH(Travel!F676,Sectorwise!A:A,0)),TRUE)</f>
        <v>1</v>
      </c>
    </row>
    <row r="60" spans="1:23" ht="15.75" hidden="1" customHeight="1" x14ac:dyDescent="0.2">
      <c r="A60" s="63" t="s">
        <v>1837</v>
      </c>
      <c r="B60" s="63" t="s">
        <v>1853</v>
      </c>
      <c r="C60" s="63"/>
      <c r="E60" s="63" t="s">
        <v>2276</v>
      </c>
      <c r="F60" s="21" t="s">
        <v>2149</v>
      </c>
      <c r="G60" s="69" t="s">
        <v>2308</v>
      </c>
      <c r="H60" s="63" t="s">
        <v>1854</v>
      </c>
      <c r="I60" s="63" t="s">
        <v>1842</v>
      </c>
      <c r="J60" s="65">
        <v>8688</v>
      </c>
      <c r="K60" s="65">
        <v>1601</v>
      </c>
      <c r="L60" s="26">
        <f t="shared" si="0"/>
        <v>10289</v>
      </c>
      <c r="M60" s="26">
        <f t="array" ref="M60">MEDIAN(IF($F$3:$F$810=F60,$L$3:$L$810))</f>
        <v>10332</v>
      </c>
      <c r="N60" s="65">
        <v>10289</v>
      </c>
      <c r="O60" s="62">
        <v>0</v>
      </c>
      <c r="P60" s="76">
        <f>IF(N60&lt;INDEX(Sectorwise!E:E,MATCH(F60,Sectorwise!A:A,0)),1,0)</f>
        <v>0</v>
      </c>
      <c r="Q60" s="76">
        <f>IF(AND(N60&gt;=INDEX(Sectorwise!E:E,MATCH(F60,Sectorwise!A:A,0)),N60&lt;=INDEX(Sectorwise!F:F,MATCH(F60,Sectorwise!A:A,0))),1,0)</f>
        <v>1</v>
      </c>
      <c r="R60" s="76">
        <f>IF(N60&gt;INDEX(Sectorwise!F:F,MATCH(F60,Sectorwise!A:A,0)),1,0)</f>
        <v>0</v>
      </c>
      <c r="S60" s="27">
        <f t="shared" si="1"/>
        <v>0</v>
      </c>
      <c r="T60" s="27">
        <f t="shared" si="2"/>
        <v>10289</v>
      </c>
      <c r="U60" s="27">
        <f t="shared" si="3"/>
        <v>0</v>
      </c>
      <c r="V60" s="95">
        <f>IF(R60=1,(N60-INDEX(Sectorwise!F:F,MATCH(F60,Sectorwise!A:A,0))),0)</f>
        <v>0</v>
      </c>
      <c r="W60" s="97">
        <f>POISSON(N60,INDEX(Sectorwise!D:D,MATCH(Travel!F704,Sectorwise!A:A,0)),TRUE)</f>
        <v>0.98174282493774379</v>
      </c>
    </row>
    <row r="61" spans="1:23" ht="15.75" hidden="1" customHeight="1" x14ac:dyDescent="0.2">
      <c r="A61" s="69" t="s">
        <v>1950</v>
      </c>
      <c r="B61" s="69" t="s">
        <v>1951</v>
      </c>
      <c r="C61" s="69"/>
      <c r="E61" s="63" t="s">
        <v>2276</v>
      </c>
      <c r="F61" s="21" t="s">
        <v>2149</v>
      </c>
      <c r="G61" s="56" t="s">
        <v>2309</v>
      </c>
      <c r="H61" s="69" t="s">
        <v>1952</v>
      </c>
      <c r="I61" s="69" t="s">
        <v>1822</v>
      </c>
      <c r="J61" s="70">
        <v>7400</v>
      </c>
      <c r="K61" s="70">
        <v>3920</v>
      </c>
      <c r="L61" s="26">
        <f t="shared" si="0"/>
        <v>11320</v>
      </c>
      <c r="M61" s="26">
        <f t="array" ref="M61">MEDIAN(IF($F$3:$F$810=F61,$L$3:$L$810))</f>
        <v>10332</v>
      </c>
      <c r="N61" s="70">
        <v>11320</v>
      </c>
      <c r="O61" s="71">
        <v>0</v>
      </c>
      <c r="P61" s="76">
        <f>IF(N61&lt;INDEX(Sectorwise!E:E,MATCH(F61,Sectorwise!A:A,0)),1,0)</f>
        <v>0</v>
      </c>
      <c r="Q61" s="76">
        <f>IF(AND(N61&gt;=INDEX(Sectorwise!E:E,MATCH(F61,Sectorwise!A:A,0)),N61&lt;=INDEX(Sectorwise!F:F,MATCH(F61,Sectorwise!A:A,0))),1,0)</f>
        <v>1</v>
      </c>
      <c r="R61" s="76">
        <f>IF(N61&gt;INDEX(Sectorwise!F:F,MATCH(F61,Sectorwise!A:A,0)),1,0)</f>
        <v>0</v>
      </c>
      <c r="S61" s="27">
        <f t="shared" si="1"/>
        <v>0</v>
      </c>
      <c r="T61" s="27">
        <f t="shared" si="2"/>
        <v>11320</v>
      </c>
      <c r="U61" s="27">
        <f t="shared" si="3"/>
        <v>0</v>
      </c>
      <c r="V61" s="95">
        <f>IF(R61=1,(N61-INDEX(Sectorwise!F:F,MATCH(F61,Sectorwise!A:A,0))),0)</f>
        <v>0</v>
      </c>
      <c r="W61" s="97">
        <f>POISSON(N61,INDEX(Sectorwise!D:D,MATCH(Travel!F745,Sectorwise!A:A,0)),TRUE)</f>
        <v>1</v>
      </c>
    </row>
    <row r="62" spans="1:23" ht="15.75" hidden="1" customHeight="1" x14ac:dyDescent="0.2">
      <c r="A62" s="63" t="s">
        <v>1569</v>
      </c>
      <c r="B62" s="63" t="s">
        <v>1572</v>
      </c>
      <c r="C62" s="63"/>
      <c r="E62" s="63" t="s">
        <v>2276</v>
      </c>
      <c r="F62" s="63" t="s">
        <v>2153</v>
      </c>
      <c r="G62" s="56" t="s">
        <v>2309</v>
      </c>
      <c r="H62" s="63" t="s">
        <v>1573</v>
      </c>
      <c r="I62" s="63" t="s">
        <v>1563</v>
      </c>
      <c r="J62" s="65">
        <v>7330</v>
      </c>
      <c r="K62" s="65">
        <v>3206</v>
      </c>
      <c r="L62" s="26">
        <f t="shared" si="0"/>
        <v>10536</v>
      </c>
      <c r="M62" s="26">
        <f t="array" ref="M62">MEDIAN(IF($F$3:$F$810=F62,$L$3:$L$810))</f>
        <v>9855</v>
      </c>
      <c r="N62" s="65">
        <v>10536</v>
      </c>
      <c r="O62" s="62">
        <v>0</v>
      </c>
      <c r="P62" s="76">
        <f>IF(N62&lt;INDEX(Sectorwise!E:E,MATCH(F62,Sectorwise!A:A,0)),1,0)</f>
        <v>0</v>
      </c>
      <c r="Q62" s="76">
        <f>IF(AND(N62&gt;=INDEX(Sectorwise!E:E,MATCH(F62,Sectorwise!A:A,0)),N62&lt;=INDEX(Sectorwise!F:F,MATCH(F62,Sectorwise!A:A,0))),1,0)</f>
        <v>1</v>
      </c>
      <c r="R62" s="76">
        <f>IF(N62&gt;INDEX(Sectorwise!F:F,MATCH(F62,Sectorwise!A:A,0)),1,0)</f>
        <v>0</v>
      </c>
      <c r="S62" s="27">
        <f t="shared" si="1"/>
        <v>0</v>
      </c>
      <c r="T62" s="27">
        <f t="shared" si="2"/>
        <v>10536</v>
      </c>
      <c r="U62" s="27">
        <f t="shared" si="3"/>
        <v>0</v>
      </c>
      <c r="V62" s="95">
        <f>IF(R62=1,(N62-INDEX(Sectorwise!F:F,MATCH(F62,Sectorwise!A:A,0))),0)</f>
        <v>0</v>
      </c>
      <c r="W62" s="97">
        <f>POISSON(N62,INDEX(Sectorwise!D:D,MATCH(Travel!F596,Sectorwise!A:A,0)),TRUE)</f>
        <v>1</v>
      </c>
    </row>
    <row r="63" spans="1:23" ht="15.75" hidden="1" customHeight="1" x14ac:dyDescent="0.2">
      <c r="A63" s="69" t="s">
        <v>1971</v>
      </c>
      <c r="B63" s="69" t="s">
        <v>1975</v>
      </c>
      <c r="C63" s="69"/>
      <c r="E63" s="63" t="s">
        <v>2276</v>
      </c>
      <c r="F63" s="21" t="s">
        <v>2153</v>
      </c>
      <c r="G63" s="56" t="s">
        <v>2309</v>
      </c>
      <c r="H63" s="69" t="s">
        <v>1976</v>
      </c>
      <c r="I63" s="69" t="s">
        <v>1977</v>
      </c>
      <c r="J63" s="70">
        <v>7650</v>
      </c>
      <c r="K63" s="70">
        <v>3199</v>
      </c>
      <c r="L63" s="26">
        <f t="shared" si="0"/>
        <v>10849</v>
      </c>
      <c r="M63" s="26">
        <f t="array" ref="M63">MEDIAN(IF($F$3:$F$810=F63,$L$3:$L$810))</f>
        <v>9855</v>
      </c>
      <c r="N63" s="70">
        <v>10849</v>
      </c>
      <c r="O63" s="71">
        <v>0</v>
      </c>
      <c r="P63" s="76">
        <f>IF(N63&lt;INDEX(Sectorwise!E:E,MATCH(F63,Sectorwise!A:A,0)),1,0)</f>
        <v>0</v>
      </c>
      <c r="Q63" s="76">
        <f>IF(AND(N63&gt;=INDEX(Sectorwise!E:E,MATCH(F63,Sectorwise!A:A,0)),N63&lt;=INDEX(Sectorwise!F:F,MATCH(F63,Sectorwise!A:A,0))),1,0)</f>
        <v>1</v>
      </c>
      <c r="R63" s="76">
        <f>IF(N63&gt;INDEX(Sectorwise!F:F,MATCH(F63,Sectorwise!A:A,0)),1,0)</f>
        <v>0</v>
      </c>
      <c r="S63" s="27">
        <f t="shared" si="1"/>
        <v>0</v>
      </c>
      <c r="T63" s="27">
        <f t="shared" si="2"/>
        <v>10849</v>
      </c>
      <c r="U63" s="27">
        <f t="shared" si="3"/>
        <v>0</v>
      </c>
      <c r="V63" s="95">
        <f>IF(R63=1,(N63-INDEX(Sectorwise!F:F,MATCH(F63,Sectorwise!A:A,0))),0)</f>
        <v>0</v>
      </c>
      <c r="W63" s="97">
        <f>POISSON(N63,INDEX(Sectorwise!D:D,MATCH(Travel!F753,Sectorwise!A:A,0)),TRUE)</f>
        <v>0</v>
      </c>
    </row>
    <row r="64" spans="1:23" ht="15.75" hidden="1" customHeight="1" x14ac:dyDescent="0.2">
      <c r="A64" s="63" t="s">
        <v>1874</v>
      </c>
      <c r="B64" s="63" t="s">
        <v>1875</v>
      </c>
      <c r="C64" s="63"/>
      <c r="E64" s="63" t="s">
        <v>2276</v>
      </c>
      <c r="F64" s="21" t="s">
        <v>2152</v>
      </c>
      <c r="G64" s="56" t="s">
        <v>2309</v>
      </c>
      <c r="H64" s="63" t="s">
        <v>1876</v>
      </c>
      <c r="I64" s="63" t="s">
        <v>1807</v>
      </c>
      <c r="J64" s="65">
        <v>4170</v>
      </c>
      <c r="K64" s="65">
        <v>1698</v>
      </c>
      <c r="L64" s="26">
        <f t="shared" si="0"/>
        <v>5868</v>
      </c>
      <c r="M64" s="26">
        <f t="array" ref="M64">MEDIAN(IF($F$3:$F$810=F64,$L$3:$L$810))</f>
        <v>5438</v>
      </c>
      <c r="N64" s="65">
        <v>11512</v>
      </c>
      <c r="O64" s="62">
        <v>0</v>
      </c>
      <c r="P64" s="76">
        <f>IF(N64&lt;INDEX(Sectorwise!E:E,MATCH(F64,Sectorwise!A:A,0)),1,0)</f>
        <v>0</v>
      </c>
      <c r="Q64" s="76">
        <f>IF(AND(N64&gt;=INDEX(Sectorwise!E:E,MATCH(F64,Sectorwise!A:A,0)),N64&lt;=INDEX(Sectorwise!F:F,MATCH(F64,Sectorwise!A:A,0))),1,0)</f>
        <v>0</v>
      </c>
      <c r="R64" s="76">
        <f>IF(N64&gt;INDEX(Sectorwise!F:F,MATCH(F64,Sectorwise!A:A,0)),1,0)</f>
        <v>1</v>
      </c>
      <c r="S64" s="27">
        <f t="shared" si="1"/>
        <v>0</v>
      </c>
      <c r="T64" s="27">
        <f t="shared" si="2"/>
        <v>0</v>
      </c>
      <c r="U64" s="27">
        <f t="shared" si="3"/>
        <v>11512</v>
      </c>
      <c r="V64" s="95">
        <f>IF(R64=1,(N64-INDEX(Sectorwise!F:F,MATCH(F64,Sectorwise!A:A,0))),0)</f>
        <v>5512</v>
      </c>
      <c r="W64" s="97">
        <f>POISSON(N64,INDEX(Sectorwise!D:D,MATCH(Travel!F712,Sectorwise!A:A,0)),TRUE)</f>
        <v>1</v>
      </c>
    </row>
    <row r="65" spans="1:24" ht="15.75" hidden="1" customHeight="1" x14ac:dyDescent="0.2">
      <c r="A65" s="69" t="s">
        <v>1937</v>
      </c>
      <c r="B65" s="69" t="s">
        <v>1940</v>
      </c>
      <c r="C65" s="69"/>
      <c r="E65" s="63" t="s">
        <v>2276</v>
      </c>
      <c r="F65" s="69" t="s">
        <v>2195</v>
      </c>
      <c r="G65" s="69" t="s">
        <v>2308</v>
      </c>
      <c r="H65" s="69" t="s">
        <v>1941</v>
      </c>
      <c r="I65" s="69" t="s">
        <v>1807</v>
      </c>
      <c r="J65" s="70">
        <v>8449</v>
      </c>
      <c r="K65" s="70">
        <v>1948</v>
      </c>
      <c r="L65" s="26">
        <f t="shared" si="0"/>
        <v>10397</v>
      </c>
      <c r="M65" s="26">
        <f t="array" ref="M65">MEDIAN(IF($F$3:$F$810=F65,$L$3:$L$810))</f>
        <v>7911</v>
      </c>
      <c r="N65" s="70">
        <v>10397</v>
      </c>
      <c r="O65" s="71">
        <v>0</v>
      </c>
      <c r="P65" s="76">
        <f>IF(N65&lt;INDEX(Sectorwise!E:E,MATCH(F65,Sectorwise!A:A,0)),1,0)</f>
        <v>0</v>
      </c>
      <c r="Q65" s="76">
        <f>IF(AND(N65&gt;=INDEX(Sectorwise!E:E,MATCH(F65,Sectorwise!A:A,0)),N65&lt;=INDEX(Sectorwise!F:F,MATCH(F65,Sectorwise!A:A,0))),1,0)</f>
        <v>0</v>
      </c>
      <c r="R65" s="76">
        <f>IF(N65&gt;INDEX(Sectorwise!F:F,MATCH(F65,Sectorwise!A:A,0)),1,0)</f>
        <v>1</v>
      </c>
      <c r="S65" s="27">
        <f t="shared" si="1"/>
        <v>0</v>
      </c>
      <c r="T65" s="27">
        <f t="shared" si="2"/>
        <v>0</v>
      </c>
      <c r="U65" s="27">
        <f t="shared" si="3"/>
        <v>10397</v>
      </c>
      <c r="V65" s="95">
        <f>IF(R65=1,(N65-INDEX(Sectorwise!F:F,MATCH(F65,Sectorwise!A:A,0))),0)</f>
        <v>1597</v>
      </c>
      <c r="W65" s="97">
        <f>POISSON(N65,INDEX(Sectorwise!D:D,MATCH(Travel!F741,Sectorwise!A:A,0)),TRUE)</f>
        <v>1</v>
      </c>
    </row>
    <row r="66" spans="1:24" ht="15.75" hidden="1" customHeight="1" x14ac:dyDescent="0.2">
      <c r="A66" s="63" t="s">
        <v>1713</v>
      </c>
      <c r="B66" s="63" t="s">
        <v>1720</v>
      </c>
      <c r="C66" s="63"/>
      <c r="E66" s="63" t="s">
        <v>1721</v>
      </c>
      <c r="F66" s="63" t="s">
        <v>1722</v>
      </c>
      <c r="G66" s="63" t="s">
        <v>2333</v>
      </c>
      <c r="H66" s="63" t="s">
        <v>1723</v>
      </c>
      <c r="I66" s="63" t="s">
        <v>41</v>
      </c>
      <c r="J66" s="65">
        <v>5114</v>
      </c>
      <c r="K66" s="65">
        <v>500</v>
      </c>
      <c r="L66" s="26">
        <f t="shared" si="0"/>
        <v>5614</v>
      </c>
      <c r="M66" s="26">
        <f t="array" ref="M66">MEDIAN(IF($F$3:$F$810=F66,$L$3:$L$810))</f>
        <v>6580.5</v>
      </c>
      <c r="N66" s="65">
        <v>5614</v>
      </c>
      <c r="O66" s="62">
        <v>0</v>
      </c>
      <c r="P66" s="76">
        <f>IF(N66&lt;INDEX(Sectorwise!E:E,MATCH(F66,Sectorwise!A:A,0)),1,0)</f>
        <v>1</v>
      </c>
      <c r="Q66" s="76">
        <f>IF(AND(N66&gt;=INDEX(Sectorwise!E:E,MATCH(F66,Sectorwise!A:A,0)),N66&lt;=INDEX(Sectorwise!F:F,MATCH(F66,Sectorwise!A:A,0))),1,0)</f>
        <v>0</v>
      </c>
      <c r="R66" s="76">
        <f>IF(N66&gt;INDEX(Sectorwise!F:F,MATCH(F66,Sectorwise!A:A,0)),1,0)</f>
        <v>0</v>
      </c>
      <c r="S66" s="27">
        <f t="shared" si="1"/>
        <v>5614</v>
      </c>
      <c r="T66" s="27">
        <f t="shared" si="2"/>
        <v>0</v>
      </c>
      <c r="U66" s="27">
        <f t="shared" si="3"/>
        <v>0</v>
      </c>
      <c r="V66" s="95">
        <f>IF(R66=1,(N66-INDEX(Sectorwise!F:F,MATCH(F66,Sectorwise!A:A,0))),0)</f>
        <v>0</v>
      </c>
      <c r="W66" s="97">
        <f>POISSON(N66,INDEX(Sectorwise!D:D,MATCH(Travel!F651,Sectorwise!A:A,0)),TRUE)</f>
        <v>0</v>
      </c>
    </row>
    <row r="67" spans="1:24" ht="15.75" hidden="1" customHeight="1" x14ac:dyDescent="0.2">
      <c r="A67" s="69" t="s">
        <v>2026</v>
      </c>
      <c r="B67" s="69" t="s">
        <v>2033</v>
      </c>
      <c r="C67" s="69"/>
      <c r="E67" s="69" t="s">
        <v>372</v>
      </c>
      <c r="F67" s="69" t="s">
        <v>2144</v>
      </c>
      <c r="G67" s="69" t="s">
        <v>2308</v>
      </c>
      <c r="H67" s="69" t="s">
        <v>2034</v>
      </c>
      <c r="I67" s="69" t="s">
        <v>2035</v>
      </c>
      <c r="J67" s="70">
        <v>8617</v>
      </c>
      <c r="K67" s="70">
        <v>963</v>
      </c>
      <c r="L67" s="26">
        <f t="shared" ref="L67:L130" si="4">J67+K67</f>
        <v>9580</v>
      </c>
      <c r="M67" s="26">
        <f t="array" ref="M67">MEDIAN(IF($F$3:$F$810=F67,$L$3:$L$810))</f>
        <v>9066</v>
      </c>
      <c r="N67" s="70">
        <v>19160</v>
      </c>
      <c r="O67" s="71">
        <v>0</v>
      </c>
      <c r="P67" s="76">
        <f>IF(N67&lt;INDEX(Sectorwise!E:E,MATCH(F67,Sectorwise!A:A,0)),1,0)</f>
        <v>0</v>
      </c>
      <c r="Q67" s="76">
        <f>IF(AND(N67&gt;=INDEX(Sectorwise!E:E,MATCH(F67,Sectorwise!A:A,0)),N67&lt;=INDEX(Sectorwise!F:F,MATCH(F67,Sectorwise!A:A,0))),1,0)</f>
        <v>0</v>
      </c>
      <c r="R67" s="76">
        <f>IF(N67&gt;INDEX(Sectorwise!F:F,MATCH(F67,Sectorwise!A:A,0)),1,0)</f>
        <v>1</v>
      </c>
      <c r="S67" s="27">
        <f t="shared" ref="S67:S130" si="5">IF(P67=0,0,N67)</f>
        <v>0</v>
      </c>
      <c r="T67" s="27">
        <f t="shared" ref="T67:T130" si="6">IF(Q67=0,0,N67)</f>
        <v>0</v>
      </c>
      <c r="U67" s="27">
        <f t="shared" ref="U67:U130" si="7">IF(R67=0,0,N67)</f>
        <v>19160</v>
      </c>
      <c r="V67" s="95">
        <f>IF(R67=1,(N67-INDEX(Sectorwise!F:F,MATCH(F67,Sectorwise!A:A,0))),0)</f>
        <v>9160</v>
      </c>
      <c r="W67" s="97">
        <f>POISSON(N67,INDEX(Sectorwise!D:D,MATCH(Travel!F775,Sectorwise!A:A,0)),TRUE)</f>
        <v>1</v>
      </c>
    </row>
    <row r="68" spans="1:24" ht="15.75" hidden="1" customHeight="1" x14ac:dyDescent="0.2">
      <c r="A68" s="21" t="s">
        <v>748</v>
      </c>
      <c r="B68" s="24" t="s">
        <v>749</v>
      </c>
      <c r="C68" s="52" t="s">
        <v>750</v>
      </c>
      <c r="D68" s="32"/>
      <c r="E68" s="21" t="s">
        <v>372</v>
      </c>
      <c r="F68" s="21" t="s">
        <v>2136</v>
      </c>
      <c r="G68" s="69" t="s">
        <v>2308</v>
      </c>
      <c r="H68" s="21" t="s">
        <v>751</v>
      </c>
      <c r="I68" s="21" t="s">
        <v>680</v>
      </c>
      <c r="J68" s="25">
        <v>7956</v>
      </c>
      <c r="K68" s="25">
        <v>1747</v>
      </c>
      <c r="L68" s="26">
        <f t="shared" si="4"/>
        <v>9703</v>
      </c>
      <c r="M68" s="26">
        <f t="array" ref="M68">MEDIAN(IF($F$3:$F$810=F68,$L$3:$L$810))</f>
        <v>14406</v>
      </c>
      <c r="N68" s="47">
        <v>9703</v>
      </c>
      <c r="O68" s="55">
        <v>4695</v>
      </c>
      <c r="P68" s="76">
        <f>IF(N68&lt;INDEX(Sectorwise!E:E,MATCH(F68,Sectorwise!A:A,0)),1,0)</f>
        <v>1</v>
      </c>
      <c r="Q68" s="76">
        <f>IF(AND(N68&gt;=INDEX(Sectorwise!E:E,MATCH(F68,Sectorwise!A:A,0)),N68&lt;=INDEX(Sectorwise!F:F,MATCH(F68,Sectorwise!A:A,0))),1,0)</f>
        <v>0</v>
      </c>
      <c r="R68" s="76">
        <f>IF(N68&gt;INDEX(Sectorwise!F:F,MATCH(F68,Sectorwise!A:A,0)),1,0)</f>
        <v>0</v>
      </c>
      <c r="S68" s="27">
        <f t="shared" si="5"/>
        <v>9703</v>
      </c>
      <c r="T68" s="27">
        <f t="shared" si="6"/>
        <v>0</v>
      </c>
      <c r="U68" s="27">
        <f t="shared" si="7"/>
        <v>0</v>
      </c>
      <c r="V68" s="95">
        <f>IF(R68=1,(N68-INDEX(Sectorwise!F:F,MATCH(F68,Sectorwise!A:A,0))),0)</f>
        <v>0</v>
      </c>
      <c r="W68" s="97">
        <f>POISSON(N68,INDEX(Sectorwise!D:D,MATCH(Travel!F284,Sectorwise!A:A,0)),TRUE)</f>
        <v>1</v>
      </c>
    </row>
    <row r="69" spans="1:24" ht="15.75" hidden="1" customHeight="1" x14ac:dyDescent="0.2">
      <c r="A69" s="60" t="s">
        <v>1015</v>
      </c>
      <c r="B69" s="60" t="s">
        <v>1023</v>
      </c>
      <c r="C69" s="64" t="s">
        <v>1024</v>
      </c>
      <c r="E69" s="60" t="s">
        <v>372</v>
      </c>
      <c r="F69" s="21" t="s">
        <v>2147</v>
      </c>
      <c r="G69" s="69" t="s">
        <v>2308</v>
      </c>
      <c r="H69" s="60" t="s">
        <v>1025</v>
      </c>
      <c r="I69" s="60" t="s">
        <v>1026</v>
      </c>
      <c r="J69" s="61">
        <v>9128</v>
      </c>
      <c r="K69" s="61">
        <v>1585</v>
      </c>
      <c r="L69" s="26">
        <f t="shared" si="4"/>
        <v>10713</v>
      </c>
      <c r="M69" s="26">
        <f t="array" ref="M69">MEDIAN(IF($F$3:$F$810=F69,$L$3:$L$810))</f>
        <v>10605</v>
      </c>
      <c r="N69" s="61">
        <v>21426</v>
      </c>
      <c r="O69" s="62">
        <v>21226</v>
      </c>
      <c r="P69" s="76">
        <f>IF(N69&lt;INDEX(Sectorwise!E:E,MATCH(F69,Sectorwise!A:A,0)),1,0)</f>
        <v>0</v>
      </c>
      <c r="Q69" s="76">
        <f>IF(AND(N69&gt;=INDEX(Sectorwise!E:E,MATCH(F69,Sectorwise!A:A,0)),N69&lt;=INDEX(Sectorwise!F:F,MATCH(F69,Sectorwise!A:A,0))),1,0)</f>
        <v>0</v>
      </c>
      <c r="R69" s="76">
        <f>IF(N69&gt;INDEX(Sectorwise!F:F,MATCH(F69,Sectorwise!A:A,0)),1,0)</f>
        <v>1</v>
      </c>
      <c r="S69" s="27">
        <f t="shared" si="5"/>
        <v>0</v>
      </c>
      <c r="T69" s="27">
        <f t="shared" si="6"/>
        <v>0</v>
      </c>
      <c r="U69" s="27">
        <f t="shared" si="7"/>
        <v>21426</v>
      </c>
      <c r="V69" s="95">
        <f>IF(R69=1,(N69-INDEX(Sectorwise!F:F,MATCH(F69,Sectorwise!A:A,0))),0)</f>
        <v>9726</v>
      </c>
      <c r="W69" s="97">
        <f>POISSON(N69,INDEX(Sectorwise!D:D,MATCH(Travel!F384,Sectorwise!A:A,0)),TRUE)</f>
        <v>1</v>
      </c>
    </row>
    <row r="70" spans="1:24" ht="15.75" hidden="1" customHeight="1" x14ac:dyDescent="0.2">
      <c r="A70" s="60" t="s">
        <v>985</v>
      </c>
      <c r="B70" s="60" t="s">
        <v>992</v>
      </c>
      <c r="C70" s="64" t="s">
        <v>993</v>
      </c>
      <c r="E70" s="60" t="s">
        <v>372</v>
      </c>
      <c r="F70" s="60" t="s">
        <v>2158</v>
      </c>
      <c r="G70" s="69" t="s">
        <v>2308</v>
      </c>
      <c r="H70" s="60" t="s">
        <v>994</v>
      </c>
      <c r="I70" s="60" t="s">
        <v>991</v>
      </c>
      <c r="J70" s="61">
        <v>18306</v>
      </c>
      <c r="K70" s="61">
        <v>3030</v>
      </c>
      <c r="L70" s="26">
        <f t="shared" si="4"/>
        <v>21336</v>
      </c>
      <c r="M70" s="26">
        <f t="array" ref="M70">MEDIAN(IF($F$3:$F$810=F70,$L$3:$L$810))</f>
        <v>20521</v>
      </c>
      <c r="N70" s="61">
        <v>21336</v>
      </c>
      <c r="O70" s="62">
        <v>10488</v>
      </c>
      <c r="P70" s="76">
        <f>IF(N70&lt;INDEX(Sectorwise!E:E,MATCH(F70,Sectorwise!A:A,0)),1,0)</f>
        <v>0</v>
      </c>
      <c r="Q70" s="76">
        <f>IF(AND(N70&gt;=INDEX(Sectorwise!E:E,MATCH(F70,Sectorwise!A:A,0)),N70&lt;=INDEX(Sectorwise!F:F,MATCH(F70,Sectorwise!A:A,0))),1,0)</f>
        <v>1</v>
      </c>
      <c r="R70" s="76">
        <f>IF(N70&gt;INDEX(Sectorwise!F:F,MATCH(F70,Sectorwise!A:A,0)),1,0)</f>
        <v>0</v>
      </c>
      <c r="S70" s="27">
        <f t="shared" si="5"/>
        <v>0</v>
      </c>
      <c r="T70" s="27">
        <f t="shared" si="6"/>
        <v>21336</v>
      </c>
      <c r="U70" s="27">
        <f t="shared" si="7"/>
        <v>0</v>
      </c>
      <c r="V70" s="95">
        <f>IF(R70=1,(N70-INDEX(Sectorwise!F:F,MATCH(F70,Sectorwise!A:A,0))),0)</f>
        <v>0</v>
      </c>
      <c r="W70" s="97">
        <f>POISSON(N70,INDEX(Sectorwise!D:D,MATCH(Travel!F372,Sectorwise!A:A,0)),TRUE)</f>
        <v>1</v>
      </c>
    </row>
    <row r="71" spans="1:24" ht="15.75" hidden="1" customHeight="1" x14ac:dyDescent="0.2">
      <c r="A71" s="63" t="s">
        <v>1473</v>
      </c>
      <c r="B71" s="63" t="s">
        <v>1487</v>
      </c>
      <c r="C71" s="63" t="s">
        <v>1488</v>
      </c>
      <c r="E71" s="63" t="s">
        <v>372</v>
      </c>
      <c r="F71" s="21" t="s">
        <v>2142</v>
      </c>
      <c r="G71" s="69" t="s">
        <v>2308</v>
      </c>
      <c r="H71" s="63" t="s">
        <v>1489</v>
      </c>
      <c r="I71" s="63" t="s">
        <v>1483</v>
      </c>
      <c r="J71" s="65">
        <v>4310</v>
      </c>
      <c r="K71" s="65">
        <v>851</v>
      </c>
      <c r="L71" s="26">
        <f t="shared" si="4"/>
        <v>5161</v>
      </c>
      <c r="M71" s="26">
        <f t="array" ref="M71">MEDIAN(IF($F$3:$F$810=F71,$L$3:$L$810))</f>
        <v>5161</v>
      </c>
      <c r="N71" s="65">
        <v>10322</v>
      </c>
      <c r="O71" s="62">
        <v>10122</v>
      </c>
      <c r="P71" s="76">
        <f>IF(N71&lt;INDEX(Sectorwise!E:E,MATCH(F71,Sectorwise!A:A,0)),1,0)</f>
        <v>0</v>
      </c>
      <c r="Q71" s="76">
        <f>IF(AND(N71&gt;=INDEX(Sectorwise!E:E,MATCH(F71,Sectorwise!A:A,0)),N71&lt;=INDEX(Sectorwise!F:F,MATCH(F71,Sectorwise!A:A,0))),1,0)</f>
        <v>0</v>
      </c>
      <c r="R71" s="76">
        <f>IF(N71&gt;INDEX(Sectorwise!F:F,MATCH(F71,Sectorwise!A:A,0)),1,0)</f>
        <v>1</v>
      </c>
      <c r="S71" s="27">
        <f t="shared" si="5"/>
        <v>0</v>
      </c>
      <c r="T71" s="27">
        <f t="shared" si="6"/>
        <v>0</v>
      </c>
      <c r="U71" s="27">
        <f t="shared" si="7"/>
        <v>10322</v>
      </c>
      <c r="V71" s="95">
        <f>IF(R71=1,(N71-INDEX(Sectorwise!F:F,MATCH(F71,Sectorwise!A:A,0))),0)</f>
        <v>4622</v>
      </c>
      <c r="W71" s="97">
        <f>POISSON(N71,INDEX(Sectorwise!D:D,MATCH(Travel!F560,Sectorwise!A:A,0)),TRUE)</f>
        <v>1</v>
      </c>
    </row>
    <row r="72" spans="1:24" ht="15.75" hidden="1" customHeight="1" x14ac:dyDescent="0.2">
      <c r="A72" s="63" t="s">
        <v>1600</v>
      </c>
      <c r="B72" s="63" t="s">
        <v>1604</v>
      </c>
      <c r="C72" s="63" t="s">
        <v>1605</v>
      </c>
      <c r="E72" s="63" t="s">
        <v>372</v>
      </c>
      <c r="F72" s="21" t="s">
        <v>2142</v>
      </c>
      <c r="G72" s="69" t="s">
        <v>2308</v>
      </c>
      <c r="H72" s="63" t="s">
        <v>1606</v>
      </c>
      <c r="I72" s="63" t="s">
        <v>1486</v>
      </c>
      <c r="J72" s="65">
        <v>4310</v>
      </c>
      <c r="K72" s="65">
        <v>851</v>
      </c>
      <c r="L72" s="26">
        <f t="shared" si="4"/>
        <v>5161</v>
      </c>
      <c r="M72" s="26">
        <f t="array" ref="M72">MEDIAN(IF($F$3:$F$810=F72,$L$3:$L$810))</f>
        <v>5161</v>
      </c>
      <c r="N72" s="65">
        <v>10322</v>
      </c>
      <c r="O72" s="62">
        <v>5061</v>
      </c>
      <c r="P72" s="76">
        <f>IF(N72&lt;INDEX(Sectorwise!E:E,MATCH(F72,Sectorwise!A:A,0)),1,0)</f>
        <v>0</v>
      </c>
      <c r="Q72" s="76">
        <f>IF(AND(N72&gt;=INDEX(Sectorwise!E:E,MATCH(F72,Sectorwise!A:A,0)),N72&lt;=INDEX(Sectorwise!F:F,MATCH(F72,Sectorwise!A:A,0))),1,0)</f>
        <v>0</v>
      </c>
      <c r="R72" s="76">
        <f>IF(N72&gt;INDEX(Sectorwise!F:F,MATCH(F72,Sectorwise!A:A,0)),1,0)</f>
        <v>1</v>
      </c>
      <c r="S72" s="27">
        <f t="shared" si="5"/>
        <v>0</v>
      </c>
      <c r="T72" s="27">
        <f t="shared" si="6"/>
        <v>0</v>
      </c>
      <c r="U72" s="27">
        <f t="shared" si="7"/>
        <v>10322</v>
      </c>
      <c r="V72" s="95">
        <f>IF(R72=1,(N72-INDEX(Sectorwise!F:F,MATCH(F72,Sectorwise!A:A,0))),0)</f>
        <v>4622</v>
      </c>
      <c r="W72" s="97">
        <f>POISSON(N72,INDEX(Sectorwise!D:D,MATCH(Travel!F611,Sectorwise!A:A,0)),TRUE)</f>
        <v>1</v>
      </c>
    </row>
    <row r="73" spans="1:24" ht="15.75" hidden="1" customHeight="1" x14ac:dyDescent="0.2">
      <c r="A73" s="63" t="s">
        <v>1874</v>
      </c>
      <c r="B73" s="63" t="s">
        <v>1884</v>
      </c>
      <c r="C73" s="63"/>
      <c r="E73" s="63" t="s">
        <v>372</v>
      </c>
      <c r="F73" s="63" t="s">
        <v>2159</v>
      </c>
      <c r="G73" s="69" t="s">
        <v>2308</v>
      </c>
      <c r="H73" s="63" t="s">
        <v>1885</v>
      </c>
      <c r="I73" s="63" t="s">
        <v>1807</v>
      </c>
      <c r="J73" s="65">
        <v>9128</v>
      </c>
      <c r="K73" s="65">
        <v>1311</v>
      </c>
      <c r="L73" s="26">
        <f t="shared" si="4"/>
        <v>10439</v>
      </c>
      <c r="M73" s="26">
        <f t="array" ref="M73">MEDIAN(IF($F$3:$F$810=F73,$L$3:$L$810))</f>
        <v>10439</v>
      </c>
      <c r="N73" s="65">
        <v>10439</v>
      </c>
      <c r="O73" s="62">
        <v>0</v>
      </c>
      <c r="P73" s="76">
        <f>IF(N73&lt;INDEX(Sectorwise!E:E,MATCH(F73,Sectorwise!A:A,0)),1,0)</f>
        <v>0</v>
      </c>
      <c r="Q73" s="76">
        <f>IF(AND(N73&gt;=INDEX(Sectorwise!E:E,MATCH(F73,Sectorwise!A:A,0)),N73&lt;=INDEX(Sectorwise!F:F,MATCH(F73,Sectorwise!A:A,0))),1,0)</f>
        <v>1</v>
      </c>
      <c r="R73" s="76">
        <f>IF(N73&gt;INDEX(Sectorwise!F:F,MATCH(F73,Sectorwise!A:A,0)),1,0)</f>
        <v>0</v>
      </c>
      <c r="S73" s="27">
        <f t="shared" si="5"/>
        <v>0</v>
      </c>
      <c r="T73" s="27">
        <f t="shared" si="6"/>
        <v>10439</v>
      </c>
      <c r="U73" s="27">
        <f t="shared" si="7"/>
        <v>0</v>
      </c>
      <c r="V73" s="95">
        <f>IF(R73=1,(N73-INDEX(Sectorwise!F:F,MATCH(F73,Sectorwise!A:A,0))),0)</f>
        <v>0</v>
      </c>
      <c r="W73" s="97">
        <f>POISSON(N73,INDEX(Sectorwise!D:D,MATCH(Travel!F718,Sectorwise!A:A,0)),TRUE)</f>
        <v>0</v>
      </c>
    </row>
    <row r="74" spans="1:24" ht="15.75" hidden="1" customHeight="1" x14ac:dyDescent="0.2">
      <c r="A74" s="33" t="s">
        <v>358</v>
      </c>
      <c r="B74" s="33" t="s">
        <v>370</v>
      </c>
      <c r="C74" s="14" t="s">
        <v>371</v>
      </c>
      <c r="D74" s="35"/>
      <c r="E74" s="33" t="s">
        <v>372</v>
      </c>
      <c r="F74" s="21" t="s">
        <v>2135</v>
      </c>
      <c r="G74" s="69" t="s">
        <v>2308</v>
      </c>
      <c r="H74" s="33" t="s">
        <v>373</v>
      </c>
      <c r="I74" s="33" t="s">
        <v>363</v>
      </c>
      <c r="J74" s="42">
        <v>5924</v>
      </c>
      <c r="K74" s="45">
        <v>1024</v>
      </c>
      <c r="L74" s="26">
        <f t="shared" si="4"/>
        <v>6948</v>
      </c>
      <c r="M74" s="26">
        <f t="array" ref="M74">MEDIAN(IF($F$3:$F$810=F74,$L$3:$L$810))</f>
        <v>7234</v>
      </c>
      <c r="N74" s="43">
        <f>+J74+K74</f>
        <v>6948</v>
      </c>
      <c r="O74" s="38">
        <v>6848</v>
      </c>
      <c r="P74" s="76">
        <f>IF(N74&lt;INDEX(Sectorwise!E:E,MATCH(F74,Sectorwise!A:A,0)),1,0)</f>
        <v>0</v>
      </c>
      <c r="Q74" s="76">
        <f>IF(AND(N74&gt;=INDEX(Sectorwise!E:E,MATCH(F74,Sectorwise!A:A,0)),N74&lt;=INDEX(Sectorwise!F:F,MATCH(F74,Sectorwise!A:A,0))),1,0)</f>
        <v>1</v>
      </c>
      <c r="R74" s="76">
        <f>IF(N74&gt;INDEX(Sectorwise!F:F,MATCH(F74,Sectorwise!A:A,0)),1,0)</f>
        <v>0</v>
      </c>
      <c r="S74" s="27">
        <f t="shared" si="5"/>
        <v>0</v>
      </c>
      <c r="T74" s="27">
        <f t="shared" si="6"/>
        <v>6948</v>
      </c>
      <c r="U74" s="27">
        <f t="shared" si="7"/>
        <v>0</v>
      </c>
      <c r="V74" s="95">
        <f>IF(R74=1,(N74-INDEX(Sectorwise!F:F,MATCH(F74,Sectorwise!A:A,0))),0)</f>
        <v>0</v>
      </c>
      <c r="W74" s="97">
        <f>POISSON(N74,INDEX(Sectorwise!D:D,MATCH(Travel!F138,Sectorwise!A:A,0)),TRUE)</f>
        <v>0</v>
      </c>
      <c r="X74" s="44">
        <f>+N74-O74</f>
        <v>100</v>
      </c>
    </row>
    <row r="75" spans="1:24" ht="15.75" hidden="1" customHeight="1" x14ac:dyDescent="0.2">
      <c r="A75" s="33" t="s">
        <v>358</v>
      </c>
      <c r="B75" s="33" t="s">
        <v>376</v>
      </c>
      <c r="C75" s="40"/>
      <c r="D75" s="35"/>
      <c r="E75" s="33" t="s">
        <v>372</v>
      </c>
      <c r="F75" s="21" t="s">
        <v>2135</v>
      </c>
      <c r="G75" s="69" t="s">
        <v>2308</v>
      </c>
      <c r="H75" s="33" t="s">
        <v>377</v>
      </c>
      <c r="I75" s="33" t="s">
        <v>363</v>
      </c>
      <c r="J75" s="42">
        <v>5924</v>
      </c>
      <c r="K75" s="45">
        <v>1024</v>
      </c>
      <c r="L75" s="26">
        <f t="shared" si="4"/>
        <v>6948</v>
      </c>
      <c r="M75" s="26">
        <f t="array" ref="M75">MEDIAN(IF($F$3:$F$810=F75,$L$3:$L$810))</f>
        <v>7234</v>
      </c>
      <c r="N75" s="43">
        <f>+J75+K75</f>
        <v>6948</v>
      </c>
      <c r="O75" s="38"/>
      <c r="P75" s="76">
        <f>IF(N75&lt;INDEX(Sectorwise!E:E,MATCH(F75,Sectorwise!A:A,0)),1,0)</f>
        <v>0</v>
      </c>
      <c r="Q75" s="76">
        <f>IF(AND(N75&gt;=INDEX(Sectorwise!E:E,MATCH(F75,Sectorwise!A:A,0)),N75&lt;=INDEX(Sectorwise!F:F,MATCH(F75,Sectorwise!A:A,0))),1,0)</f>
        <v>1</v>
      </c>
      <c r="R75" s="76">
        <f>IF(N75&gt;INDEX(Sectorwise!F:F,MATCH(F75,Sectorwise!A:A,0)),1,0)</f>
        <v>0</v>
      </c>
      <c r="S75" s="27">
        <f t="shared" si="5"/>
        <v>0</v>
      </c>
      <c r="T75" s="27">
        <f t="shared" si="6"/>
        <v>6948</v>
      </c>
      <c r="U75" s="27">
        <f t="shared" si="7"/>
        <v>0</v>
      </c>
      <c r="V75" s="95">
        <f>IF(R75=1,(N75-INDEX(Sectorwise!F:F,MATCH(F75,Sectorwise!A:A,0))),0)</f>
        <v>0</v>
      </c>
      <c r="W75" s="97">
        <f>POISSON(N75,INDEX(Sectorwise!D:D,MATCH(Travel!F140,Sectorwise!A:A,0)),TRUE)</f>
        <v>0</v>
      </c>
      <c r="X75" s="44">
        <f>+N75-O75</f>
        <v>6948</v>
      </c>
    </row>
    <row r="76" spans="1:24" ht="15.75" hidden="1" customHeight="1" x14ac:dyDescent="0.2">
      <c r="A76" s="60" t="s">
        <v>964</v>
      </c>
      <c r="B76" s="60" t="s">
        <v>967</v>
      </c>
      <c r="C76" s="60"/>
      <c r="E76" s="60" t="s">
        <v>372</v>
      </c>
      <c r="F76" s="21" t="s">
        <v>2135</v>
      </c>
      <c r="G76" s="69" t="s">
        <v>2308</v>
      </c>
      <c r="H76" s="60" t="s">
        <v>968</v>
      </c>
      <c r="I76" s="60" t="s">
        <v>938</v>
      </c>
      <c r="J76" s="61">
        <v>6306</v>
      </c>
      <c r="K76" s="61">
        <v>1045</v>
      </c>
      <c r="L76" s="26">
        <f t="shared" si="4"/>
        <v>7351</v>
      </c>
      <c r="M76" s="26">
        <f t="array" ref="M76">MEDIAN(IF($F$3:$F$810=F76,$L$3:$L$810))</f>
        <v>7234</v>
      </c>
      <c r="N76" s="61">
        <v>7351</v>
      </c>
      <c r="O76" s="62">
        <v>0</v>
      </c>
      <c r="P76" s="76">
        <f>IF(N76&lt;INDEX(Sectorwise!E:E,MATCH(F76,Sectorwise!A:A,0)),1,0)</f>
        <v>0</v>
      </c>
      <c r="Q76" s="76">
        <f>IF(AND(N76&gt;=INDEX(Sectorwise!E:E,MATCH(F76,Sectorwise!A:A,0)),N76&lt;=INDEX(Sectorwise!F:F,MATCH(F76,Sectorwise!A:A,0))),1,0)</f>
        <v>1</v>
      </c>
      <c r="R76" s="76">
        <f>IF(N76&gt;INDEX(Sectorwise!F:F,MATCH(F76,Sectorwise!A:A,0)),1,0)</f>
        <v>0</v>
      </c>
      <c r="S76" s="27">
        <f t="shared" si="5"/>
        <v>0</v>
      </c>
      <c r="T76" s="27">
        <f t="shared" si="6"/>
        <v>7351</v>
      </c>
      <c r="U76" s="27">
        <f t="shared" si="7"/>
        <v>0</v>
      </c>
      <c r="V76" s="95">
        <f>IF(R76=1,(N76-INDEX(Sectorwise!F:F,MATCH(F76,Sectorwise!A:A,0))),0)</f>
        <v>0</v>
      </c>
      <c r="W76" s="97">
        <f>POISSON(N76,INDEX(Sectorwise!D:D,MATCH(Travel!F361,Sectorwise!A:A,0)),TRUE)</f>
        <v>0.91616545889155065</v>
      </c>
    </row>
    <row r="77" spans="1:24" ht="15.75" hidden="1" customHeight="1" x14ac:dyDescent="0.2">
      <c r="A77" s="63" t="s">
        <v>1837</v>
      </c>
      <c r="B77" s="63" t="s">
        <v>1863</v>
      </c>
      <c r="C77" s="63"/>
      <c r="E77" s="63" t="s">
        <v>372</v>
      </c>
      <c r="F77" s="21" t="s">
        <v>2135</v>
      </c>
      <c r="G77" s="69" t="s">
        <v>2308</v>
      </c>
      <c r="H77" s="63" t="s">
        <v>1864</v>
      </c>
      <c r="I77" s="63" t="s">
        <v>1827</v>
      </c>
      <c r="J77" s="65">
        <v>5816</v>
      </c>
      <c r="K77" s="65">
        <v>1139</v>
      </c>
      <c r="L77" s="26">
        <f t="shared" si="4"/>
        <v>6955</v>
      </c>
      <c r="M77" s="26">
        <f t="array" ref="M77">MEDIAN(IF($F$3:$F$810=F77,$L$3:$L$810))</f>
        <v>7234</v>
      </c>
      <c r="N77" s="65">
        <v>6955</v>
      </c>
      <c r="O77" s="62">
        <v>0</v>
      </c>
      <c r="P77" s="76">
        <f>IF(N77&lt;INDEX(Sectorwise!E:E,MATCH(F77,Sectorwise!A:A,0)),1,0)</f>
        <v>0</v>
      </c>
      <c r="Q77" s="76">
        <f>IF(AND(N77&gt;=INDEX(Sectorwise!E:E,MATCH(F77,Sectorwise!A:A,0)),N77&lt;=INDEX(Sectorwise!F:F,MATCH(F77,Sectorwise!A:A,0))),1,0)</f>
        <v>1</v>
      </c>
      <c r="R77" s="76">
        <f>IF(N77&gt;INDEX(Sectorwise!F:F,MATCH(F77,Sectorwise!A:A,0)),1,0)</f>
        <v>0</v>
      </c>
      <c r="S77" s="27">
        <f t="shared" si="5"/>
        <v>0</v>
      </c>
      <c r="T77" s="27">
        <f t="shared" si="6"/>
        <v>6955</v>
      </c>
      <c r="U77" s="27">
        <f t="shared" si="7"/>
        <v>0</v>
      </c>
      <c r="V77" s="95">
        <f>IF(R77=1,(N77-INDEX(Sectorwise!F:F,MATCH(F77,Sectorwise!A:A,0))),0)</f>
        <v>0</v>
      </c>
      <c r="W77" s="97">
        <f>POISSON(N77,INDEX(Sectorwise!D:D,MATCH(Travel!F708,Sectorwise!A:A,0)),TRUE)</f>
        <v>0</v>
      </c>
    </row>
    <row r="78" spans="1:24" ht="15.75" hidden="1" customHeight="1" x14ac:dyDescent="0.2">
      <c r="A78" s="63" t="s">
        <v>1771</v>
      </c>
      <c r="B78" s="63" t="s">
        <v>1783</v>
      </c>
      <c r="C78" s="63"/>
      <c r="E78" s="63" t="s">
        <v>372</v>
      </c>
      <c r="F78" s="63" t="s">
        <v>2239</v>
      </c>
      <c r="G78" s="69" t="s">
        <v>2308</v>
      </c>
      <c r="H78" s="63" t="s">
        <v>1784</v>
      </c>
      <c r="I78" s="63" t="s">
        <v>1785</v>
      </c>
      <c r="J78" s="65">
        <v>2150</v>
      </c>
      <c r="K78" s="65">
        <v>4717</v>
      </c>
      <c r="L78" s="26">
        <f t="shared" si="4"/>
        <v>6867</v>
      </c>
      <c r="M78" s="26">
        <f t="array" ref="M78">MEDIAN(IF($F$3:$F$810=F78,$L$3:$L$810))</f>
        <v>6867</v>
      </c>
      <c r="N78" s="65">
        <v>6867</v>
      </c>
      <c r="O78" s="62">
        <v>0</v>
      </c>
      <c r="P78" s="76">
        <f>IF(N78&lt;INDEX(Sectorwise!E:E,MATCH(F78,Sectorwise!A:A,0)),1,0)</f>
        <v>0</v>
      </c>
      <c r="Q78" s="76">
        <f>IF(AND(N78&gt;=INDEX(Sectorwise!E:E,MATCH(F78,Sectorwise!A:A,0)),N78&lt;=INDEX(Sectorwise!F:F,MATCH(F78,Sectorwise!A:A,0))),1,0)</f>
        <v>1</v>
      </c>
      <c r="R78" s="76">
        <f>IF(N78&gt;INDEX(Sectorwise!F:F,MATCH(F78,Sectorwise!A:A,0)),1,0)</f>
        <v>0</v>
      </c>
      <c r="S78" s="27">
        <f t="shared" si="5"/>
        <v>0</v>
      </c>
      <c r="T78" s="27">
        <f t="shared" si="6"/>
        <v>6867</v>
      </c>
      <c r="U78" s="27">
        <f t="shared" si="7"/>
        <v>0</v>
      </c>
      <c r="V78" s="95">
        <f>IF(R78=1,(N78-INDEX(Sectorwise!F:F,MATCH(F78,Sectorwise!A:A,0))),0)</f>
        <v>0</v>
      </c>
      <c r="W78" s="97">
        <f>POISSON(N78,INDEX(Sectorwise!D:D,MATCH(Travel!F677,Sectorwise!A:A,0)),TRUE)</f>
        <v>6.9866262564034322E-6</v>
      </c>
    </row>
    <row r="79" spans="1:24" ht="15.75" hidden="1" customHeight="1" x14ac:dyDescent="0.2">
      <c r="A79" s="63" t="s">
        <v>1473</v>
      </c>
      <c r="B79" s="63" t="s">
        <v>1480</v>
      </c>
      <c r="C79" s="63" t="s">
        <v>1481</v>
      </c>
      <c r="E79" s="63" t="s">
        <v>372</v>
      </c>
      <c r="F79" s="21" t="s">
        <v>2152</v>
      </c>
      <c r="G79" s="69" t="s">
        <v>2308</v>
      </c>
      <c r="H79" s="63" t="s">
        <v>1482</v>
      </c>
      <c r="I79" s="63" t="s">
        <v>1483</v>
      </c>
      <c r="J79" s="65">
        <v>4360</v>
      </c>
      <c r="K79" s="65">
        <v>1078</v>
      </c>
      <c r="L79" s="26">
        <f t="shared" si="4"/>
        <v>5438</v>
      </c>
      <c r="M79" s="26">
        <f t="array" ref="M79">MEDIAN(IF($F$3:$F$810=F79,$L$3:$L$810))</f>
        <v>5438</v>
      </c>
      <c r="N79" s="65">
        <v>21752</v>
      </c>
      <c r="O79" s="62">
        <v>21352</v>
      </c>
      <c r="P79" s="76">
        <f>IF(N79&lt;INDEX(Sectorwise!E:E,MATCH(F79,Sectorwise!A:A,0)),1,0)</f>
        <v>0</v>
      </c>
      <c r="Q79" s="76">
        <f>IF(AND(N79&gt;=INDEX(Sectorwise!E:E,MATCH(F79,Sectorwise!A:A,0)),N79&lt;=INDEX(Sectorwise!F:F,MATCH(F79,Sectorwise!A:A,0))),1,0)</f>
        <v>0</v>
      </c>
      <c r="R79" s="76">
        <f>IF(N79&gt;INDEX(Sectorwise!F:F,MATCH(F79,Sectorwise!A:A,0)),1,0)</f>
        <v>1</v>
      </c>
      <c r="S79" s="27">
        <f t="shared" si="5"/>
        <v>0</v>
      </c>
      <c r="T79" s="27">
        <f t="shared" si="6"/>
        <v>0</v>
      </c>
      <c r="U79" s="27">
        <f t="shared" si="7"/>
        <v>21752</v>
      </c>
      <c r="V79" s="95">
        <f>IF(R79=1,(N79-INDEX(Sectorwise!F:F,MATCH(F79,Sectorwise!A:A,0))),0)</f>
        <v>15752</v>
      </c>
      <c r="W79" s="97">
        <f>POISSON(N79,INDEX(Sectorwise!D:D,MATCH(Travel!F554,Sectorwise!A:A,0)),TRUE)</f>
        <v>0</v>
      </c>
    </row>
    <row r="80" spans="1:24" ht="15.75" hidden="1" customHeight="1" x14ac:dyDescent="0.2">
      <c r="A80" s="63" t="s">
        <v>1600</v>
      </c>
      <c r="B80" s="63" t="s">
        <v>1601</v>
      </c>
      <c r="C80" s="63" t="s">
        <v>1602</v>
      </c>
      <c r="E80" s="63" t="s">
        <v>372</v>
      </c>
      <c r="F80" s="21" t="s">
        <v>2152</v>
      </c>
      <c r="G80" s="69" t="s">
        <v>2308</v>
      </c>
      <c r="H80" s="63" t="s">
        <v>1603</v>
      </c>
      <c r="I80" s="63" t="s">
        <v>1483</v>
      </c>
      <c r="J80" s="65">
        <v>4360</v>
      </c>
      <c r="K80" s="65">
        <v>1078</v>
      </c>
      <c r="L80" s="26">
        <f t="shared" si="4"/>
        <v>5438</v>
      </c>
      <c r="M80" s="26">
        <f t="array" ref="M80">MEDIAN(IF($F$3:$F$810=F80,$L$3:$L$810))</f>
        <v>5438</v>
      </c>
      <c r="N80" s="65">
        <v>21752</v>
      </c>
      <c r="O80" s="62">
        <v>5338</v>
      </c>
      <c r="P80" s="76">
        <f>IF(N80&lt;INDEX(Sectorwise!E:E,MATCH(F80,Sectorwise!A:A,0)),1,0)</f>
        <v>0</v>
      </c>
      <c r="Q80" s="76">
        <f>IF(AND(N80&gt;=INDEX(Sectorwise!E:E,MATCH(F80,Sectorwise!A:A,0)),N80&lt;=INDEX(Sectorwise!F:F,MATCH(F80,Sectorwise!A:A,0))),1,0)</f>
        <v>0</v>
      </c>
      <c r="R80" s="76">
        <f>IF(N80&gt;INDEX(Sectorwise!F:F,MATCH(F80,Sectorwise!A:A,0)),1,0)</f>
        <v>1</v>
      </c>
      <c r="S80" s="27">
        <f t="shared" si="5"/>
        <v>0</v>
      </c>
      <c r="T80" s="27">
        <f t="shared" si="6"/>
        <v>0</v>
      </c>
      <c r="U80" s="27">
        <f t="shared" si="7"/>
        <v>21752</v>
      </c>
      <c r="V80" s="95">
        <f>IF(R80=1,(N80-INDEX(Sectorwise!F:F,MATCH(F80,Sectorwise!A:A,0))),0)</f>
        <v>15752</v>
      </c>
      <c r="W80" s="97">
        <f>POISSON(N80,INDEX(Sectorwise!D:D,MATCH(Travel!F607,Sectorwise!A:A,0)),TRUE)</f>
        <v>1</v>
      </c>
    </row>
    <row r="81" spans="1:24" ht="15.75" hidden="1" customHeight="1" x14ac:dyDescent="0.2">
      <c r="A81" s="63" t="s">
        <v>1837</v>
      </c>
      <c r="B81" s="63" t="s">
        <v>1855</v>
      </c>
      <c r="C81" s="63" t="s">
        <v>1856</v>
      </c>
      <c r="E81" s="63" t="s">
        <v>372</v>
      </c>
      <c r="F81" s="63" t="s">
        <v>2232</v>
      </c>
      <c r="G81" s="69" t="s">
        <v>2308</v>
      </c>
      <c r="H81" s="63" t="s">
        <v>1857</v>
      </c>
      <c r="I81" s="63" t="s">
        <v>1807</v>
      </c>
      <c r="J81" s="65">
        <v>4360</v>
      </c>
      <c r="K81" s="65">
        <v>925</v>
      </c>
      <c r="L81" s="26">
        <f t="shared" si="4"/>
        <v>5285</v>
      </c>
      <c r="M81" s="26">
        <f t="array" ref="M81">MEDIAN(IF($F$3:$F$810=F81,$L$3:$L$810))</f>
        <v>5455</v>
      </c>
      <c r="N81" s="65">
        <v>5285</v>
      </c>
      <c r="O81" s="62">
        <v>5185</v>
      </c>
      <c r="P81" s="76">
        <f>IF(N81&lt;INDEX(Sectorwise!E:E,MATCH(F81,Sectorwise!A:A,0)),1,0)</f>
        <v>0</v>
      </c>
      <c r="Q81" s="76">
        <f>IF(AND(N81&gt;=INDEX(Sectorwise!E:E,MATCH(F81,Sectorwise!A:A,0)),N81&lt;=INDEX(Sectorwise!F:F,MATCH(F81,Sectorwise!A:A,0))),1,0)</f>
        <v>1</v>
      </c>
      <c r="R81" s="76">
        <f>IF(N81&gt;INDEX(Sectorwise!F:F,MATCH(F81,Sectorwise!A:A,0)),1,0)</f>
        <v>0</v>
      </c>
      <c r="S81" s="27">
        <f t="shared" si="5"/>
        <v>0</v>
      </c>
      <c r="T81" s="27">
        <f t="shared" si="6"/>
        <v>5285</v>
      </c>
      <c r="U81" s="27">
        <f t="shared" si="7"/>
        <v>0</v>
      </c>
      <c r="V81" s="95">
        <f>IF(R81=1,(N81-INDEX(Sectorwise!F:F,MATCH(F81,Sectorwise!A:A,0))),0)</f>
        <v>0</v>
      </c>
      <c r="W81" s="97">
        <f>POISSON(N81,INDEX(Sectorwise!D:D,MATCH(Travel!F705,Sectorwise!A:A,0)),TRUE)</f>
        <v>0</v>
      </c>
    </row>
    <row r="82" spans="1:24" ht="15.75" hidden="1" customHeight="1" x14ac:dyDescent="0.2">
      <c r="A82" s="63" t="s">
        <v>1837</v>
      </c>
      <c r="B82" s="63" t="s">
        <v>1865</v>
      </c>
      <c r="C82" s="63"/>
      <c r="E82" s="63" t="s">
        <v>1866</v>
      </c>
      <c r="F82" s="63" t="s">
        <v>1867</v>
      </c>
      <c r="G82" s="63" t="s">
        <v>2333</v>
      </c>
      <c r="H82" s="63" t="s">
        <v>715</v>
      </c>
      <c r="I82" s="63" t="s">
        <v>41</v>
      </c>
      <c r="J82" s="65">
        <v>6492</v>
      </c>
      <c r="K82" s="65">
        <v>1008</v>
      </c>
      <c r="L82" s="26">
        <f t="shared" si="4"/>
        <v>7500</v>
      </c>
      <c r="M82" s="26">
        <f t="array" ref="M82">MEDIAN(IF($F$3:$F$810=F82,$L$3:$L$810))</f>
        <v>7500</v>
      </c>
      <c r="N82" s="65">
        <v>7500</v>
      </c>
      <c r="O82" s="62">
        <v>0</v>
      </c>
      <c r="P82" s="76">
        <f>IF(N82&lt;INDEX(Sectorwise!E:E,MATCH(F82,Sectorwise!A:A,0)),1,0)</f>
        <v>0</v>
      </c>
      <c r="Q82" s="76">
        <f>IF(AND(N82&gt;=INDEX(Sectorwise!E:E,MATCH(F82,Sectorwise!A:A,0)),N82&lt;=INDEX(Sectorwise!F:F,MATCH(F82,Sectorwise!A:A,0))),1,0)</f>
        <v>1</v>
      </c>
      <c r="R82" s="76">
        <f>IF(N82&gt;INDEX(Sectorwise!F:F,MATCH(F82,Sectorwise!A:A,0)),1,0)</f>
        <v>0</v>
      </c>
      <c r="S82" s="27">
        <f t="shared" si="5"/>
        <v>0</v>
      </c>
      <c r="T82" s="27">
        <f t="shared" si="6"/>
        <v>7500</v>
      </c>
      <c r="U82" s="27">
        <f t="shared" si="7"/>
        <v>0</v>
      </c>
      <c r="V82" s="95">
        <f>IF(R82=1,(N82-INDEX(Sectorwise!F:F,MATCH(F82,Sectorwise!A:A,0))),0)</f>
        <v>0</v>
      </c>
      <c r="W82" s="97">
        <f>POISSON(N82,INDEX(Sectorwise!D:D,MATCH(Travel!F709,Sectorwise!A:A,0)),TRUE)</f>
        <v>0</v>
      </c>
    </row>
    <row r="83" spans="1:24" ht="15.75" hidden="1" customHeight="1" x14ac:dyDescent="0.2">
      <c r="A83" s="60" t="s">
        <v>1060</v>
      </c>
      <c r="B83" s="60" t="s">
        <v>1063</v>
      </c>
      <c r="C83" s="60"/>
      <c r="E83" s="60" t="s">
        <v>1066</v>
      </c>
      <c r="F83" s="29" t="s">
        <v>2134</v>
      </c>
      <c r="G83" s="69" t="s">
        <v>2308</v>
      </c>
      <c r="H83" s="60" t="s">
        <v>1065</v>
      </c>
      <c r="I83" s="60" t="s">
        <v>1026</v>
      </c>
      <c r="J83" s="61">
        <v>6256</v>
      </c>
      <c r="K83" s="61">
        <v>960</v>
      </c>
      <c r="L83" s="26">
        <f t="shared" si="4"/>
        <v>7216</v>
      </c>
      <c r="M83" s="26">
        <f t="array" ref="M83">MEDIAN(IF($F$3:$F$810=F83,$L$3:$L$810))</f>
        <v>7412.5</v>
      </c>
      <c r="N83" s="57">
        <f>J83+K83</f>
        <v>7216</v>
      </c>
      <c r="O83" s="62">
        <v>0</v>
      </c>
      <c r="P83" s="76">
        <f>IF(N83&lt;INDEX(Sectorwise!E:E,MATCH(F83,Sectorwise!A:A,0)),1,0)</f>
        <v>0</v>
      </c>
      <c r="Q83" s="76">
        <f>IF(AND(N83&gt;=INDEX(Sectorwise!E:E,MATCH(F83,Sectorwise!A:A,0)),N83&lt;=INDEX(Sectorwise!F:F,MATCH(F83,Sectorwise!A:A,0))),1,0)</f>
        <v>1</v>
      </c>
      <c r="R83" s="76">
        <f>IF(N83&gt;INDEX(Sectorwise!F:F,MATCH(F83,Sectorwise!A:A,0)),1,0)</f>
        <v>0</v>
      </c>
      <c r="S83" s="27">
        <f t="shared" si="5"/>
        <v>0</v>
      </c>
      <c r="T83" s="27">
        <f t="shared" si="6"/>
        <v>7216</v>
      </c>
      <c r="U83" s="27">
        <f t="shared" si="7"/>
        <v>0</v>
      </c>
      <c r="V83" s="95">
        <f>IF(R83=1,(N83-INDEX(Sectorwise!F:F,MATCH(F83,Sectorwise!A:A,0))),0)</f>
        <v>0</v>
      </c>
      <c r="W83" s="97">
        <f>POISSON(N83,INDEX(Sectorwise!D:D,MATCH(Travel!F400,Sectorwise!A:A,0)),TRUE)</f>
        <v>0.41922485026225359</v>
      </c>
    </row>
    <row r="84" spans="1:24" ht="15.75" hidden="1" customHeight="1" x14ac:dyDescent="0.2">
      <c r="A84" s="60" t="s">
        <v>1060</v>
      </c>
      <c r="B84" s="60" t="s">
        <v>1067</v>
      </c>
      <c r="C84" s="60"/>
      <c r="E84" s="60" t="s">
        <v>1066</v>
      </c>
      <c r="F84" s="21" t="s">
        <v>2135</v>
      </c>
      <c r="G84" s="69" t="s">
        <v>2308</v>
      </c>
      <c r="H84" s="60" t="s">
        <v>1068</v>
      </c>
      <c r="I84" s="60" t="s">
        <v>1026</v>
      </c>
      <c r="J84" s="61">
        <v>6306</v>
      </c>
      <c r="K84" s="61">
        <v>1045</v>
      </c>
      <c r="L84" s="26">
        <f t="shared" si="4"/>
        <v>7351</v>
      </c>
      <c r="M84" s="26">
        <f t="array" ref="M84">MEDIAN(IF($F$3:$F$810=F84,$L$3:$L$810))</f>
        <v>7234</v>
      </c>
      <c r="N84" s="57">
        <f>J84+K84</f>
        <v>7351</v>
      </c>
      <c r="O84" s="62">
        <v>0</v>
      </c>
      <c r="P84" s="76">
        <f>IF(N84&lt;INDEX(Sectorwise!E:E,MATCH(F84,Sectorwise!A:A,0)),1,0)</f>
        <v>0</v>
      </c>
      <c r="Q84" s="76">
        <f>IF(AND(N84&gt;=INDEX(Sectorwise!E:E,MATCH(F84,Sectorwise!A:A,0)),N84&lt;=INDEX(Sectorwise!F:F,MATCH(F84,Sectorwise!A:A,0))),1,0)</f>
        <v>1</v>
      </c>
      <c r="R84" s="76">
        <f>IF(N84&gt;INDEX(Sectorwise!F:F,MATCH(F84,Sectorwise!A:A,0)),1,0)</f>
        <v>0</v>
      </c>
      <c r="S84" s="27">
        <f t="shared" si="5"/>
        <v>0</v>
      </c>
      <c r="T84" s="27">
        <f t="shared" si="6"/>
        <v>7351</v>
      </c>
      <c r="U84" s="27">
        <f t="shared" si="7"/>
        <v>0</v>
      </c>
      <c r="V84" s="95">
        <f>IF(R84=1,(N84-INDEX(Sectorwise!F:F,MATCH(F84,Sectorwise!A:A,0))),0)</f>
        <v>0</v>
      </c>
      <c r="W84" s="97">
        <f>POISSON(N84,INDEX(Sectorwise!D:D,MATCH(Travel!F402,Sectorwise!A:A,0)),TRUE)</f>
        <v>1.2263566997172628E-179</v>
      </c>
    </row>
    <row r="85" spans="1:24" ht="15.75" hidden="1" customHeight="1" x14ac:dyDescent="0.2">
      <c r="A85" s="63" t="s">
        <v>1713</v>
      </c>
      <c r="B85" s="63" t="s">
        <v>1730</v>
      </c>
      <c r="C85" s="63"/>
      <c r="E85" s="63" t="s">
        <v>1731</v>
      </c>
      <c r="F85" s="33" t="s">
        <v>2208</v>
      </c>
      <c r="G85" s="69" t="s">
        <v>2308</v>
      </c>
      <c r="H85" s="63" t="s">
        <v>1732</v>
      </c>
      <c r="I85" s="63" t="s">
        <v>1716</v>
      </c>
      <c r="J85" s="65">
        <v>8670</v>
      </c>
      <c r="K85" s="65">
        <v>2108</v>
      </c>
      <c r="L85" s="26">
        <f t="shared" si="4"/>
        <v>10778</v>
      </c>
      <c r="M85" s="26">
        <f t="array" ref="M85">MEDIAN(IF($F$3:$F$810=F85,$L$3:$L$810))</f>
        <v>10597</v>
      </c>
      <c r="N85" s="65">
        <v>10778</v>
      </c>
      <c r="O85" s="62">
        <v>0</v>
      </c>
      <c r="P85" s="76">
        <f>IF(N85&lt;INDEX(Sectorwise!E:E,MATCH(F85,Sectorwise!A:A,0)),1,0)</f>
        <v>0</v>
      </c>
      <c r="Q85" s="76">
        <f>IF(AND(N85&gt;=INDEX(Sectorwise!E:E,MATCH(F85,Sectorwise!A:A,0)),N85&lt;=INDEX(Sectorwise!F:F,MATCH(F85,Sectorwise!A:A,0))),1,0)</f>
        <v>1</v>
      </c>
      <c r="R85" s="76">
        <f>IF(N85&gt;INDEX(Sectorwise!F:F,MATCH(F85,Sectorwise!A:A,0)),1,0)</f>
        <v>0</v>
      </c>
      <c r="S85" s="27">
        <f t="shared" si="5"/>
        <v>0</v>
      </c>
      <c r="T85" s="27">
        <f t="shared" si="6"/>
        <v>10778</v>
      </c>
      <c r="U85" s="27">
        <f t="shared" si="7"/>
        <v>0</v>
      </c>
      <c r="V85" s="95">
        <f>IF(R85=1,(N85-INDEX(Sectorwise!F:F,MATCH(F85,Sectorwise!A:A,0))),0)</f>
        <v>0</v>
      </c>
      <c r="W85" s="97">
        <f>POISSON(N85,INDEX(Sectorwise!D:D,MATCH(Travel!F655,Sectorwise!A:A,0)),TRUE)</f>
        <v>0</v>
      </c>
    </row>
    <row r="86" spans="1:24" ht="15.75" hidden="1" customHeight="1" x14ac:dyDescent="0.2">
      <c r="A86" s="53" t="s">
        <v>542</v>
      </c>
      <c r="B86" s="54" t="s">
        <v>547</v>
      </c>
      <c r="C86" s="22"/>
      <c r="D86" s="32"/>
      <c r="E86" s="21" t="s">
        <v>2277</v>
      </c>
      <c r="F86" s="29" t="s">
        <v>2134</v>
      </c>
      <c r="G86" s="69" t="s">
        <v>2308</v>
      </c>
      <c r="H86" s="21" t="s">
        <v>548</v>
      </c>
      <c r="I86" s="21" t="s">
        <v>542</v>
      </c>
      <c r="J86" s="25">
        <v>5864</v>
      </c>
      <c r="K86" s="25">
        <v>937</v>
      </c>
      <c r="L86" s="26">
        <f t="shared" si="4"/>
        <v>6801</v>
      </c>
      <c r="M86" s="26">
        <f t="array" ref="M86">MEDIAN(IF($F$3:$F$810=F86,$L$3:$L$810))</f>
        <v>7412.5</v>
      </c>
      <c r="N86" s="47">
        <v>6801</v>
      </c>
      <c r="O86" s="27"/>
      <c r="P86" s="76">
        <f>IF(N86&lt;INDEX(Sectorwise!E:E,MATCH(F86,Sectorwise!A:A,0)),1,0)</f>
        <v>0</v>
      </c>
      <c r="Q86" s="76">
        <f>IF(AND(N86&gt;=INDEX(Sectorwise!E:E,MATCH(F86,Sectorwise!A:A,0)),N86&lt;=INDEX(Sectorwise!F:F,MATCH(F86,Sectorwise!A:A,0))),1,0)</f>
        <v>1</v>
      </c>
      <c r="R86" s="76">
        <f>IF(N86&gt;INDEX(Sectorwise!F:F,MATCH(F86,Sectorwise!A:A,0)),1,0)</f>
        <v>0</v>
      </c>
      <c r="S86" s="27">
        <f t="shared" si="5"/>
        <v>0</v>
      </c>
      <c r="T86" s="27">
        <f t="shared" si="6"/>
        <v>6801</v>
      </c>
      <c r="U86" s="27">
        <f t="shared" si="7"/>
        <v>0</v>
      </c>
      <c r="V86" s="95">
        <f>IF(R86=1,(N86-INDEX(Sectorwise!F:F,MATCH(F86,Sectorwise!A:A,0))),0)</f>
        <v>0</v>
      </c>
      <c r="W86" s="97">
        <f>POISSON(N86,INDEX(Sectorwise!D:D,MATCH(Travel!F204,Sectorwise!A:A,0)),TRUE)</f>
        <v>2.4492426161416989E-233</v>
      </c>
    </row>
    <row r="87" spans="1:24" ht="15.75" hidden="1" customHeight="1" x14ac:dyDescent="0.2">
      <c r="A87" s="33" t="s">
        <v>315</v>
      </c>
      <c r="B87" s="33" t="s">
        <v>316</v>
      </c>
      <c r="C87" s="40"/>
      <c r="D87" s="35"/>
      <c r="E87" s="21" t="s">
        <v>2277</v>
      </c>
      <c r="F87" s="33" t="s">
        <v>2136</v>
      </c>
      <c r="G87" s="69" t="s">
        <v>2308</v>
      </c>
      <c r="H87" s="33" t="s">
        <v>317</v>
      </c>
      <c r="I87" s="33" t="s">
        <v>318</v>
      </c>
      <c r="J87" s="42">
        <v>11798</v>
      </c>
      <c r="K87" s="45">
        <v>1960</v>
      </c>
      <c r="L87" s="26">
        <f t="shared" si="4"/>
        <v>13758</v>
      </c>
      <c r="M87" s="26">
        <f t="array" ref="M87">MEDIAN(IF($F$3:$F$810=F87,$L$3:$L$810))</f>
        <v>14406</v>
      </c>
      <c r="N87" s="43">
        <f>+J87+K87</f>
        <v>13758</v>
      </c>
      <c r="O87" s="38"/>
      <c r="P87" s="76">
        <f>IF(N87&lt;INDEX(Sectorwise!E:E,MATCH(F87,Sectorwise!A:A,0)),1,0)</f>
        <v>0</v>
      </c>
      <c r="Q87" s="76">
        <f>IF(AND(N87&gt;=INDEX(Sectorwise!E:E,MATCH(F87,Sectorwise!A:A,0)),N87&lt;=INDEX(Sectorwise!F:F,MATCH(F87,Sectorwise!A:A,0))),1,0)</f>
        <v>1</v>
      </c>
      <c r="R87" s="76">
        <f>IF(N87&gt;INDEX(Sectorwise!F:F,MATCH(F87,Sectorwise!A:A,0)),1,0)</f>
        <v>0</v>
      </c>
      <c r="S87" s="27">
        <f t="shared" si="5"/>
        <v>0</v>
      </c>
      <c r="T87" s="27">
        <f t="shared" si="6"/>
        <v>13758</v>
      </c>
      <c r="U87" s="27">
        <f t="shared" si="7"/>
        <v>0</v>
      </c>
      <c r="V87" s="95">
        <f>IF(R87=1,(N87-INDEX(Sectorwise!F:F,MATCH(F87,Sectorwise!A:A,0))),0)</f>
        <v>0</v>
      </c>
      <c r="W87" s="97">
        <f>POISSON(N87,INDEX(Sectorwise!D:D,MATCH(Travel!F119,Sectorwise!A:A,0)),TRUE)</f>
        <v>1</v>
      </c>
      <c r="X87" s="44">
        <f>+N87-O87</f>
        <v>13758</v>
      </c>
    </row>
    <row r="88" spans="1:24" ht="15.75" hidden="1" customHeight="1" x14ac:dyDescent="0.2">
      <c r="A88" s="63" t="s">
        <v>1533</v>
      </c>
      <c r="B88" s="63" t="s">
        <v>1538</v>
      </c>
      <c r="C88" s="63"/>
      <c r="E88" s="21" t="s">
        <v>2277</v>
      </c>
      <c r="F88" s="63" t="s">
        <v>2155</v>
      </c>
      <c r="G88" s="63" t="s">
        <v>2319</v>
      </c>
      <c r="H88" s="63" t="s">
        <v>1539</v>
      </c>
      <c r="I88" s="63" t="s">
        <v>1540</v>
      </c>
      <c r="J88" s="65">
        <v>22665</v>
      </c>
      <c r="K88" s="65">
        <v>4835</v>
      </c>
      <c r="L88" s="26">
        <f t="shared" si="4"/>
        <v>27500</v>
      </c>
      <c r="M88" s="26">
        <f t="array" ref="M88">MEDIAN(IF($F$3:$F$810=F88,$L$3:$L$810))</f>
        <v>33500</v>
      </c>
      <c r="N88" s="65">
        <v>27500</v>
      </c>
      <c r="O88" s="62">
        <v>0</v>
      </c>
      <c r="P88" s="76">
        <f>IF(N88&lt;INDEX(Sectorwise!E:E,MATCH(F88,Sectorwise!A:A,0)),1,0)</f>
        <v>1</v>
      </c>
      <c r="Q88" s="76">
        <f>IF(AND(N88&gt;=INDEX(Sectorwise!E:E,MATCH(F88,Sectorwise!A:A,0)),N88&lt;=INDEX(Sectorwise!F:F,MATCH(F88,Sectorwise!A:A,0))),1,0)</f>
        <v>0</v>
      </c>
      <c r="R88" s="76">
        <f>IF(N88&gt;INDEX(Sectorwise!F:F,MATCH(F88,Sectorwise!A:A,0)),1,0)</f>
        <v>0</v>
      </c>
      <c r="S88" s="27">
        <f t="shared" si="5"/>
        <v>27500</v>
      </c>
      <c r="T88" s="27">
        <f t="shared" si="6"/>
        <v>0</v>
      </c>
      <c r="U88" s="27">
        <f t="shared" si="7"/>
        <v>0</v>
      </c>
      <c r="V88" s="95">
        <f>IF(R88=1,(N88-INDEX(Sectorwise!F:F,MATCH(F88,Sectorwise!A:A,0))),0)</f>
        <v>0</v>
      </c>
      <c r="W88" s="97">
        <f>POISSON(N88,INDEX(Sectorwise!D:D,MATCH(Travel!F583,Sectorwise!A:A,0)),TRUE)</f>
        <v>0</v>
      </c>
    </row>
    <row r="89" spans="1:24" ht="15.75" hidden="1" customHeight="1" x14ac:dyDescent="0.2">
      <c r="A89" s="63" t="s">
        <v>1560</v>
      </c>
      <c r="B89" s="63" t="s">
        <v>1561</v>
      </c>
      <c r="C89" s="63"/>
      <c r="E89" s="21" t="s">
        <v>2277</v>
      </c>
      <c r="F89" s="63" t="s">
        <v>2178</v>
      </c>
      <c r="G89" s="63" t="s">
        <v>2324</v>
      </c>
      <c r="H89" s="63" t="s">
        <v>1562</v>
      </c>
      <c r="I89" s="63" t="s">
        <v>1563</v>
      </c>
      <c r="J89" s="65">
        <v>24500</v>
      </c>
      <c r="K89" s="65">
        <v>23000</v>
      </c>
      <c r="L89" s="26">
        <f t="shared" si="4"/>
        <v>47500</v>
      </c>
      <c r="M89" s="26">
        <f t="array" ref="M89">MEDIAN(IF($F$3:$F$810=F89,$L$3:$L$810))</f>
        <v>37293</v>
      </c>
      <c r="N89" s="65">
        <v>47500</v>
      </c>
      <c r="O89" s="62">
        <v>0</v>
      </c>
      <c r="P89" s="76">
        <f>IF(N89&lt;INDEX(Sectorwise!E:E,MATCH(F89,Sectorwise!A:A,0)),1,0)</f>
        <v>0</v>
      </c>
      <c r="Q89" s="76">
        <f>IF(AND(N89&gt;=INDEX(Sectorwise!E:E,MATCH(F89,Sectorwise!A:A,0)),N89&lt;=INDEX(Sectorwise!F:F,MATCH(F89,Sectorwise!A:A,0))),1,0)</f>
        <v>0</v>
      </c>
      <c r="R89" s="76">
        <f>IF(N89&gt;INDEX(Sectorwise!F:F,MATCH(F89,Sectorwise!A:A,0)),1,0)</f>
        <v>1</v>
      </c>
      <c r="S89" s="27">
        <f t="shared" si="5"/>
        <v>0</v>
      </c>
      <c r="T89" s="27">
        <f t="shared" si="6"/>
        <v>0</v>
      </c>
      <c r="U89" s="27">
        <f t="shared" si="7"/>
        <v>47500</v>
      </c>
      <c r="V89" s="95">
        <f>IF(R89=1,(N89-INDEX(Sectorwise!F:F,MATCH(F89,Sectorwise!A:A,0))),0)</f>
        <v>6400</v>
      </c>
      <c r="W89" s="97">
        <f>POISSON(N89,INDEX(Sectorwise!D:D,MATCH(Travel!F591,Sectorwise!A:A,0)),TRUE)</f>
        <v>1</v>
      </c>
    </row>
    <row r="90" spans="1:24" ht="15.75" hidden="1" customHeight="1" x14ac:dyDescent="0.2">
      <c r="A90" s="53" t="s">
        <v>542</v>
      </c>
      <c r="B90" s="54" t="s">
        <v>545</v>
      </c>
      <c r="C90" s="22"/>
      <c r="D90" s="32"/>
      <c r="E90" s="21" t="s">
        <v>2277</v>
      </c>
      <c r="F90" s="21" t="s">
        <v>2135</v>
      </c>
      <c r="G90" s="69" t="s">
        <v>2308</v>
      </c>
      <c r="H90" s="21" t="s">
        <v>546</v>
      </c>
      <c r="I90" s="21" t="s">
        <v>542</v>
      </c>
      <c r="J90" s="25">
        <v>744</v>
      </c>
      <c r="K90" s="25">
        <v>2572</v>
      </c>
      <c r="L90" s="26">
        <f t="shared" si="4"/>
        <v>3316</v>
      </c>
      <c r="M90" s="26">
        <f t="array" ref="M90">MEDIAN(IF($F$3:$F$810=F90,$L$3:$L$810))</f>
        <v>7234</v>
      </c>
      <c r="N90" s="47">
        <v>3316</v>
      </c>
      <c r="O90" s="27"/>
      <c r="P90" s="76">
        <f>IF(N90&lt;INDEX(Sectorwise!E:E,MATCH(F90,Sectorwise!A:A,0)),1,0)</f>
        <v>1</v>
      </c>
      <c r="Q90" s="76">
        <f>IF(AND(N90&gt;=INDEX(Sectorwise!E:E,MATCH(F90,Sectorwise!A:A,0)),N90&lt;=INDEX(Sectorwise!F:F,MATCH(F90,Sectorwise!A:A,0))),1,0)</f>
        <v>0</v>
      </c>
      <c r="R90" s="76">
        <f>IF(N90&gt;INDEX(Sectorwise!F:F,MATCH(F90,Sectorwise!A:A,0)),1,0)</f>
        <v>0</v>
      </c>
      <c r="S90" s="27">
        <f t="shared" si="5"/>
        <v>3316</v>
      </c>
      <c r="T90" s="27">
        <f t="shared" si="6"/>
        <v>0</v>
      </c>
      <c r="U90" s="27">
        <f t="shared" si="7"/>
        <v>0</v>
      </c>
      <c r="V90" s="95">
        <f>IF(R90=1,(N90-INDEX(Sectorwise!F:F,MATCH(F90,Sectorwise!A:A,0))),0)</f>
        <v>0</v>
      </c>
      <c r="W90" s="97">
        <f>POISSON(N90,INDEX(Sectorwise!D:D,MATCH(Travel!F203,Sectorwise!A:A,0)),TRUE)</f>
        <v>0</v>
      </c>
    </row>
    <row r="91" spans="1:24" ht="15.75" hidden="1" customHeight="1" x14ac:dyDescent="0.2">
      <c r="A91" s="21" t="s">
        <v>127</v>
      </c>
      <c r="B91" s="21" t="s">
        <v>130</v>
      </c>
      <c r="C91" s="22"/>
      <c r="D91" s="32"/>
      <c r="E91" s="21" t="s">
        <v>67</v>
      </c>
      <c r="F91" s="29" t="s">
        <v>2134</v>
      </c>
      <c r="G91" s="69" t="s">
        <v>2308</v>
      </c>
      <c r="H91" s="21" t="s">
        <v>131</v>
      </c>
      <c r="I91" s="21" t="s">
        <v>132</v>
      </c>
      <c r="J91" s="25">
        <v>5482</v>
      </c>
      <c r="K91" s="25">
        <v>916</v>
      </c>
      <c r="L91" s="26">
        <f t="shared" si="4"/>
        <v>6398</v>
      </c>
      <c r="M91" s="26">
        <f t="array" ref="M91">MEDIAN(IF($F$3:$F$810=F91,$L$3:$L$810))</f>
        <v>7412.5</v>
      </c>
      <c r="N91" s="26">
        <v>6398</v>
      </c>
      <c r="O91" s="27"/>
      <c r="P91" s="76">
        <f>IF(N91&lt;INDEX(Sectorwise!E:E,MATCH(F91,Sectorwise!A:A,0)),1,0)</f>
        <v>1</v>
      </c>
      <c r="Q91" s="76">
        <f>IF(AND(N91&gt;=INDEX(Sectorwise!E:E,MATCH(F91,Sectorwise!A:A,0)),N91&lt;=INDEX(Sectorwise!F:F,MATCH(F91,Sectorwise!A:A,0))),1,0)</f>
        <v>0</v>
      </c>
      <c r="R91" s="76">
        <f>IF(N91&gt;INDEX(Sectorwise!F:F,MATCH(F91,Sectorwise!A:A,0)),1,0)</f>
        <v>0</v>
      </c>
      <c r="S91" s="27">
        <f t="shared" si="5"/>
        <v>6398</v>
      </c>
      <c r="T91" s="27">
        <f t="shared" si="6"/>
        <v>0</v>
      </c>
      <c r="U91" s="27">
        <f t="shared" si="7"/>
        <v>0</v>
      </c>
      <c r="V91" s="95">
        <f>IF(R91=1,(N91-INDEX(Sectorwise!F:F,MATCH(F91,Sectorwise!A:A,0))),0)</f>
        <v>0</v>
      </c>
      <c r="W91" s="97">
        <f>POISSON(N91,INDEX(Sectorwise!D:D,MATCH(Travel!F45,Sectorwise!A:A,0)),TRUE)</f>
        <v>0</v>
      </c>
      <c r="X91" s="28">
        <v>6398</v>
      </c>
    </row>
    <row r="92" spans="1:24" ht="15.75" hidden="1" customHeight="1" x14ac:dyDescent="0.2">
      <c r="A92" s="21" t="s">
        <v>59</v>
      </c>
      <c r="B92" s="21" t="s">
        <v>66</v>
      </c>
      <c r="C92" s="22"/>
      <c r="D92" s="23" t="s">
        <v>16</v>
      </c>
      <c r="E92" s="21" t="s">
        <v>67</v>
      </c>
      <c r="F92" s="21" t="s">
        <v>2136</v>
      </c>
      <c r="G92" s="69" t="s">
        <v>2308</v>
      </c>
      <c r="H92" s="21" t="s">
        <v>68</v>
      </c>
      <c r="I92" s="21" t="s">
        <v>62</v>
      </c>
      <c r="J92" s="25">
        <v>10814</v>
      </c>
      <c r="K92" s="26">
        <v>1905</v>
      </c>
      <c r="L92" s="26">
        <f t="shared" si="4"/>
        <v>12719</v>
      </c>
      <c r="M92" s="26">
        <f t="array" ref="M92">MEDIAN(IF($F$3:$F$810=F92,$L$3:$L$810))</f>
        <v>14406</v>
      </c>
      <c r="N92" s="26">
        <v>12719</v>
      </c>
      <c r="O92" s="27"/>
      <c r="P92" s="76">
        <f>IF(N92&lt;INDEX(Sectorwise!E:E,MATCH(F92,Sectorwise!A:A,0)),1,0)</f>
        <v>1</v>
      </c>
      <c r="Q92" s="76">
        <f>IF(AND(N92&gt;=INDEX(Sectorwise!E:E,MATCH(F92,Sectorwise!A:A,0)),N92&lt;=INDEX(Sectorwise!F:F,MATCH(F92,Sectorwise!A:A,0))),1,0)</f>
        <v>0</v>
      </c>
      <c r="R92" s="76">
        <f>IF(N92&gt;INDEX(Sectorwise!F:F,MATCH(F92,Sectorwise!A:A,0)),1,0)</f>
        <v>0</v>
      </c>
      <c r="S92" s="27">
        <f t="shared" si="5"/>
        <v>12719</v>
      </c>
      <c r="T92" s="27">
        <f t="shared" si="6"/>
        <v>0</v>
      </c>
      <c r="U92" s="27">
        <f t="shared" si="7"/>
        <v>0</v>
      </c>
      <c r="V92" s="95">
        <f>IF(R92=1,(N92-INDEX(Sectorwise!F:F,MATCH(F92,Sectorwise!A:A,0))),0)</f>
        <v>0</v>
      </c>
      <c r="W92" s="97">
        <f>POISSON(N92,INDEX(Sectorwise!D:D,MATCH(Travel!F20,Sectorwise!A:A,0)),TRUE)</f>
        <v>1</v>
      </c>
      <c r="X92" s="28">
        <v>12719</v>
      </c>
    </row>
    <row r="93" spans="1:24" ht="15.75" hidden="1" customHeight="1" x14ac:dyDescent="0.2">
      <c r="A93" s="33" t="s">
        <v>404</v>
      </c>
      <c r="B93" s="33" t="s">
        <v>411</v>
      </c>
      <c r="C93" s="40"/>
      <c r="D93" s="35"/>
      <c r="E93" s="33" t="s">
        <v>67</v>
      </c>
      <c r="F93" s="21" t="s">
        <v>2135</v>
      </c>
      <c r="G93" s="69" t="s">
        <v>2308</v>
      </c>
      <c r="H93" s="33" t="s">
        <v>412</v>
      </c>
      <c r="I93" s="33" t="s">
        <v>413</v>
      </c>
      <c r="J93" s="36">
        <v>5924</v>
      </c>
      <c r="K93" s="36">
        <v>1024</v>
      </c>
      <c r="L93" s="26">
        <f t="shared" si="4"/>
        <v>6948</v>
      </c>
      <c r="M93" s="26">
        <f t="array" ref="M93">MEDIAN(IF($F$3:$F$810=F93,$L$3:$L$810))</f>
        <v>7234</v>
      </c>
      <c r="N93" s="47">
        <f>+J93+K93</f>
        <v>6948</v>
      </c>
      <c r="O93" s="27"/>
      <c r="P93" s="76">
        <f>IF(N93&lt;INDEX(Sectorwise!E:E,MATCH(F93,Sectorwise!A:A,0)),1,0)</f>
        <v>0</v>
      </c>
      <c r="Q93" s="76">
        <f>IF(AND(N93&gt;=INDEX(Sectorwise!E:E,MATCH(F93,Sectorwise!A:A,0)),N93&lt;=INDEX(Sectorwise!F:F,MATCH(F93,Sectorwise!A:A,0))),1,0)</f>
        <v>1</v>
      </c>
      <c r="R93" s="76">
        <f>IF(N93&gt;INDEX(Sectorwise!F:F,MATCH(F93,Sectorwise!A:A,0)),1,0)</f>
        <v>0</v>
      </c>
      <c r="S93" s="27">
        <f t="shared" si="5"/>
        <v>0</v>
      </c>
      <c r="T93" s="27">
        <f t="shared" si="6"/>
        <v>6948</v>
      </c>
      <c r="U93" s="27">
        <f t="shared" si="7"/>
        <v>0</v>
      </c>
      <c r="V93" s="95">
        <f>IF(R93=1,(N93-INDEX(Sectorwise!F:F,MATCH(F93,Sectorwise!A:A,0))),0)</f>
        <v>0</v>
      </c>
      <c r="W93" s="97">
        <f>POISSON(N93,INDEX(Sectorwise!D:D,MATCH(Travel!F156,Sectorwise!A:A,0)),TRUE)</f>
        <v>2.5883871083449409E-8</v>
      </c>
    </row>
    <row r="94" spans="1:24" ht="15.75" hidden="1" customHeight="1" x14ac:dyDescent="0.2">
      <c r="A94" s="21" t="s">
        <v>471</v>
      </c>
      <c r="B94" s="21" t="s">
        <v>475</v>
      </c>
      <c r="C94" s="22"/>
      <c r="D94" s="32"/>
      <c r="E94" s="21" t="s">
        <v>67</v>
      </c>
      <c r="F94" s="21" t="s">
        <v>2135</v>
      </c>
      <c r="G94" s="69" t="s">
        <v>2308</v>
      </c>
      <c r="H94" s="21" t="s">
        <v>476</v>
      </c>
      <c r="I94" s="21" t="s">
        <v>477</v>
      </c>
      <c r="J94" s="25">
        <v>5914</v>
      </c>
      <c r="K94" s="25">
        <v>1023</v>
      </c>
      <c r="L94" s="26">
        <f t="shared" si="4"/>
        <v>6937</v>
      </c>
      <c r="M94" s="26">
        <f t="array" ref="M94">MEDIAN(IF($F$3:$F$810=F94,$L$3:$L$810))</f>
        <v>7234</v>
      </c>
      <c r="N94" s="47">
        <f>J94+K94</f>
        <v>6937</v>
      </c>
      <c r="O94" s="27"/>
      <c r="P94" s="76">
        <f>IF(N94&lt;INDEX(Sectorwise!E:E,MATCH(F94,Sectorwise!A:A,0)),1,0)</f>
        <v>0</v>
      </c>
      <c r="Q94" s="76">
        <f>IF(AND(N94&gt;=INDEX(Sectorwise!E:E,MATCH(F94,Sectorwise!A:A,0)),N94&lt;=INDEX(Sectorwise!F:F,MATCH(F94,Sectorwise!A:A,0))),1,0)</f>
        <v>1</v>
      </c>
      <c r="R94" s="76">
        <f>IF(N94&gt;INDEX(Sectorwise!F:F,MATCH(F94,Sectorwise!A:A,0)),1,0)</f>
        <v>0</v>
      </c>
      <c r="S94" s="27">
        <f t="shared" si="5"/>
        <v>0</v>
      </c>
      <c r="T94" s="27">
        <f t="shared" si="6"/>
        <v>6937</v>
      </c>
      <c r="U94" s="27">
        <f t="shared" si="7"/>
        <v>0</v>
      </c>
      <c r="V94" s="95">
        <f>IF(R94=1,(N94-INDEX(Sectorwise!F:F,MATCH(F94,Sectorwise!A:A,0))),0)</f>
        <v>0</v>
      </c>
      <c r="W94" s="97">
        <f>POISSON(N94,INDEX(Sectorwise!D:D,MATCH(Travel!F177,Sectorwise!A:A,0)),TRUE)</f>
        <v>1.232661452523214E-8</v>
      </c>
    </row>
    <row r="95" spans="1:24" ht="15.75" hidden="1" customHeight="1" x14ac:dyDescent="0.2">
      <c r="A95" s="21" t="s">
        <v>133</v>
      </c>
      <c r="B95" s="21" t="s">
        <v>139</v>
      </c>
      <c r="C95" s="22"/>
      <c r="D95" s="32"/>
      <c r="E95" s="21" t="s">
        <v>67</v>
      </c>
      <c r="F95" s="21" t="s">
        <v>2152</v>
      </c>
      <c r="G95" s="33" t="s">
        <v>2321</v>
      </c>
      <c r="H95" s="21" t="s">
        <v>140</v>
      </c>
      <c r="I95" s="21" t="s">
        <v>56</v>
      </c>
      <c r="J95" s="25">
        <v>2140</v>
      </c>
      <c r="K95" s="25">
        <v>2949</v>
      </c>
      <c r="L95" s="26">
        <f t="shared" si="4"/>
        <v>5089</v>
      </c>
      <c r="M95" s="26">
        <f t="array" ref="M95">MEDIAN(IF($F$3:$F$810=F95,$L$3:$L$810))</f>
        <v>5438</v>
      </c>
      <c r="N95" s="26">
        <v>5089</v>
      </c>
      <c r="O95" s="27"/>
      <c r="P95" s="76">
        <f>IF(N95&lt;INDEX(Sectorwise!E:E,MATCH(F95,Sectorwise!A:A,0)),1,0)</f>
        <v>0</v>
      </c>
      <c r="Q95" s="76">
        <f>IF(AND(N95&gt;=INDEX(Sectorwise!E:E,MATCH(F95,Sectorwise!A:A,0)),N95&lt;=INDEX(Sectorwise!F:F,MATCH(F95,Sectorwise!A:A,0))),1,0)</f>
        <v>1</v>
      </c>
      <c r="R95" s="76">
        <f>IF(N95&gt;INDEX(Sectorwise!F:F,MATCH(F95,Sectorwise!A:A,0)),1,0)</f>
        <v>0</v>
      </c>
      <c r="S95" s="27">
        <f t="shared" si="5"/>
        <v>0</v>
      </c>
      <c r="T95" s="27">
        <f t="shared" si="6"/>
        <v>5089</v>
      </c>
      <c r="U95" s="27">
        <f t="shared" si="7"/>
        <v>0</v>
      </c>
      <c r="V95" s="95">
        <f>IF(R95=1,(N95-INDEX(Sectorwise!F:F,MATCH(F95,Sectorwise!A:A,0))),0)</f>
        <v>0</v>
      </c>
      <c r="W95" s="97">
        <f>POISSON(N95,INDEX(Sectorwise!D:D,MATCH(Travel!F48,Sectorwise!A:A,0)),TRUE)</f>
        <v>1.0915966418013656E-156</v>
      </c>
      <c r="X95" s="28">
        <v>5089</v>
      </c>
    </row>
    <row r="96" spans="1:24" ht="15.75" hidden="1" customHeight="1" x14ac:dyDescent="0.2">
      <c r="A96" s="63" t="s">
        <v>1791</v>
      </c>
      <c r="B96" s="63" t="s">
        <v>1796</v>
      </c>
      <c r="C96" s="63"/>
      <c r="E96" s="63" t="s">
        <v>1797</v>
      </c>
      <c r="F96" s="63" t="s">
        <v>2173</v>
      </c>
      <c r="G96" s="56" t="s">
        <v>2309</v>
      </c>
      <c r="H96" s="63" t="s">
        <v>1798</v>
      </c>
      <c r="I96" s="63" t="s">
        <v>1799</v>
      </c>
      <c r="J96" s="65">
        <v>7400</v>
      </c>
      <c r="K96" s="65">
        <v>3480</v>
      </c>
      <c r="L96" s="26">
        <f t="shared" si="4"/>
        <v>10880</v>
      </c>
      <c r="M96" s="26">
        <f t="array" ref="M96">MEDIAN(IF($F$3:$F$810=F96,$L$3:$L$810))</f>
        <v>11722</v>
      </c>
      <c r="N96" s="65">
        <v>21760</v>
      </c>
      <c r="O96" s="62">
        <v>0</v>
      </c>
      <c r="P96" s="76">
        <f>IF(N96&lt;INDEX(Sectorwise!E:E,MATCH(F96,Sectorwise!A:A,0)),1,0)</f>
        <v>0</v>
      </c>
      <c r="Q96" s="76">
        <f>IF(AND(N96&gt;=INDEX(Sectorwise!E:E,MATCH(F96,Sectorwise!A:A,0)),N96&lt;=INDEX(Sectorwise!F:F,MATCH(F96,Sectorwise!A:A,0))),1,0)</f>
        <v>0</v>
      </c>
      <c r="R96" s="76">
        <f>IF(N96&gt;INDEX(Sectorwise!F:F,MATCH(F96,Sectorwise!A:A,0)),1,0)</f>
        <v>1</v>
      </c>
      <c r="S96" s="27">
        <f t="shared" si="5"/>
        <v>0</v>
      </c>
      <c r="T96" s="27">
        <f t="shared" si="6"/>
        <v>0</v>
      </c>
      <c r="U96" s="27">
        <f t="shared" si="7"/>
        <v>21760</v>
      </c>
      <c r="V96" s="95">
        <f>IF(R96=1,(N96-INDEX(Sectorwise!F:F,MATCH(F96,Sectorwise!A:A,0))),0)</f>
        <v>8860</v>
      </c>
      <c r="W96" s="97">
        <f>POISSON(N96,INDEX(Sectorwise!D:D,MATCH(Travel!F681,Sectorwise!A:A,0)),TRUE)</f>
        <v>1</v>
      </c>
    </row>
    <row r="97" spans="1:23" ht="15.75" hidden="1" customHeight="1" x14ac:dyDescent="0.2">
      <c r="A97" s="63" t="s">
        <v>1713</v>
      </c>
      <c r="B97" s="63" t="s">
        <v>1717</v>
      </c>
      <c r="C97" s="63"/>
      <c r="E97" s="63" t="s">
        <v>1718</v>
      </c>
      <c r="F97" s="21" t="s">
        <v>2136</v>
      </c>
      <c r="G97" s="56" t="s">
        <v>2309</v>
      </c>
      <c r="H97" s="63" t="s">
        <v>1719</v>
      </c>
      <c r="I97" s="63" t="s">
        <v>1712</v>
      </c>
      <c r="J97" s="65">
        <v>10800</v>
      </c>
      <c r="K97" s="65">
        <v>3669</v>
      </c>
      <c r="L97" s="26">
        <f t="shared" si="4"/>
        <v>14469</v>
      </c>
      <c r="M97" s="26">
        <f t="array" ref="M97">MEDIAN(IF($F$3:$F$810=F97,$L$3:$L$810))</f>
        <v>14406</v>
      </c>
      <c r="N97" s="65">
        <v>14469</v>
      </c>
      <c r="O97" s="62">
        <v>0</v>
      </c>
      <c r="P97" s="76">
        <f>IF(N97&lt;INDEX(Sectorwise!E:E,MATCH(F97,Sectorwise!A:A,0)),1,0)</f>
        <v>0</v>
      </c>
      <c r="Q97" s="76">
        <f>IF(AND(N97&gt;=INDEX(Sectorwise!E:E,MATCH(F97,Sectorwise!A:A,0)),N97&lt;=INDEX(Sectorwise!F:F,MATCH(F97,Sectorwise!A:A,0))),1,0)</f>
        <v>1</v>
      </c>
      <c r="R97" s="76">
        <f>IF(N97&gt;INDEX(Sectorwise!F:F,MATCH(F97,Sectorwise!A:A,0)),1,0)</f>
        <v>0</v>
      </c>
      <c r="S97" s="27">
        <f t="shared" si="5"/>
        <v>0</v>
      </c>
      <c r="T97" s="27">
        <f t="shared" si="6"/>
        <v>14469</v>
      </c>
      <c r="U97" s="27">
        <f t="shared" si="7"/>
        <v>0</v>
      </c>
      <c r="V97" s="95">
        <f>IF(R97=1,(N97-INDEX(Sectorwise!F:F,MATCH(F97,Sectorwise!A:A,0))),0)</f>
        <v>0</v>
      </c>
      <c r="W97" s="97">
        <f>POISSON(N97,INDEX(Sectorwise!D:D,MATCH(Travel!F650,Sectorwise!A:A,0)),TRUE)</f>
        <v>1</v>
      </c>
    </row>
    <row r="98" spans="1:23" ht="15.75" hidden="1" customHeight="1" x14ac:dyDescent="0.2">
      <c r="A98" s="69" t="s">
        <v>1991</v>
      </c>
      <c r="B98" s="69" t="s">
        <v>1992</v>
      </c>
      <c r="C98" s="69"/>
      <c r="E98" s="69" t="s">
        <v>1718</v>
      </c>
      <c r="F98" s="21" t="s">
        <v>2136</v>
      </c>
      <c r="G98" s="56" t="s">
        <v>2309</v>
      </c>
      <c r="H98" s="69" t="s">
        <v>1993</v>
      </c>
      <c r="I98" s="69" t="s">
        <v>1974</v>
      </c>
      <c r="J98" s="70">
        <v>10800</v>
      </c>
      <c r="K98" s="70">
        <v>3669</v>
      </c>
      <c r="L98" s="26">
        <f t="shared" si="4"/>
        <v>14469</v>
      </c>
      <c r="M98" s="26">
        <f t="array" ref="M98">MEDIAN(IF($F$3:$F$810=F98,$L$3:$L$810))</f>
        <v>14406</v>
      </c>
      <c r="N98" s="70">
        <v>14469</v>
      </c>
      <c r="O98" s="71">
        <v>0</v>
      </c>
      <c r="P98" s="76">
        <f>IF(N98&lt;INDEX(Sectorwise!E:E,MATCH(F98,Sectorwise!A:A,0)),1,0)</f>
        <v>0</v>
      </c>
      <c r="Q98" s="76">
        <f>IF(AND(N98&gt;=INDEX(Sectorwise!E:E,MATCH(F98,Sectorwise!A:A,0)),N98&lt;=INDEX(Sectorwise!F:F,MATCH(F98,Sectorwise!A:A,0))),1,0)</f>
        <v>1</v>
      </c>
      <c r="R98" s="76">
        <f>IF(N98&gt;INDEX(Sectorwise!F:F,MATCH(F98,Sectorwise!A:A,0)),1,0)</f>
        <v>0</v>
      </c>
      <c r="S98" s="27">
        <f t="shared" si="5"/>
        <v>0</v>
      </c>
      <c r="T98" s="27">
        <f t="shared" si="6"/>
        <v>14469</v>
      </c>
      <c r="U98" s="27">
        <f t="shared" si="7"/>
        <v>0</v>
      </c>
      <c r="V98" s="95">
        <f>IF(R98=1,(N98-INDEX(Sectorwise!F:F,MATCH(F98,Sectorwise!A:A,0))),0)</f>
        <v>0</v>
      </c>
      <c r="W98" s="97">
        <f>POISSON(N98,INDEX(Sectorwise!D:D,MATCH(Travel!F758,Sectorwise!A:A,0)),TRUE)</f>
        <v>1</v>
      </c>
    </row>
    <row r="99" spans="1:23" ht="15.75" hidden="1" customHeight="1" x14ac:dyDescent="0.2">
      <c r="A99" s="53" t="s">
        <v>528</v>
      </c>
      <c r="B99" s="54" t="s">
        <v>531</v>
      </c>
      <c r="C99" s="22"/>
      <c r="D99" s="32"/>
      <c r="E99" s="21" t="s">
        <v>2278</v>
      </c>
      <c r="F99" s="29" t="s">
        <v>2134</v>
      </c>
      <c r="G99" s="56" t="s">
        <v>2309</v>
      </c>
      <c r="H99" s="21" t="s">
        <v>532</v>
      </c>
      <c r="I99" s="21" t="s">
        <v>528</v>
      </c>
      <c r="J99" s="25">
        <v>3010</v>
      </c>
      <c r="K99" s="25">
        <v>2983</v>
      </c>
      <c r="L99" s="26">
        <f t="shared" si="4"/>
        <v>5993</v>
      </c>
      <c r="M99" s="26">
        <f t="array" ref="M99">MEDIAN(IF($F$3:$F$810=F99,$L$3:$L$810))</f>
        <v>7412.5</v>
      </c>
      <c r="N99" s="47">
        <v>5993</v>
      </c>
      <c r="O99" s="27"/>
      <c r="P99" s="76">
        <f>IF(N99&lt;INDEX(Sectorwise!E:E,MATCH(F99,Sectorwise!A:A,0)),1,0)</f>
        <v>1</v>
      </c>
      <c r="Q99" s="76">
        <f>IF(AND(N99&gt;=INDEX(Sectorwise!E:E,MATCH(F99,Sectorwise!A:A,0)),N99&lt;=INDEX(Sectorwise!F:F,MATCH(F99,Sectorwise!A:A,0))),1,0)</f>
        <v>0</v>
      </c>
      <c r="R99" s="76">
        <f>IF(N99&gt;INDEX(Sectorwise!F:F,MATCH(F99,Sectorwise!A:A,0)),1,0)</f>
        <v>0</v>
      </c>
      <c r="S99" s="27">
        <f t="shared" si="5"/>
        <v>5993</v>
      </c>
      <c r="T99" s="27">
        <f t="shared" si="6"/>
        <v>0</v>
      </c>
      <c r="U99" s="27">
        <f t="shared" si="7"/>
        <v>0</v>
      </c>
      <c r="V99" s="95">
        <f>IF(R99=1,(N99-INDEX(Sectorwise!F:F,MATCH(F99,Sectorwise!A:A,0))),0)</f>
        <v>0</v>
      </c>
      <c r="W99" s="97">
        <f>POISSON(N99,INDEX(Sectorwise!D:D,MATCH(Travel!F197,Sectorwise!A:A,0)),TRUE)</f>
        <v>8.0072174243833173E-32</v>
      </c>
    </row>
    <row r="100" spans="1:23" ht="15.75" hidden="1" customHeight="1" x14ac:dyDescent="0.2">
      <c r="A100" s="63" t="s">
        <v>1114</v>
      </c>
      <c r="B100" s="63" t="s">
        <v>1115</v>
      </c>
      <c r="C100" s="63"/>
      <c r="E100" s="21" t="s">
        <v>2278</v>
      </c>
      <c r="F100" s="29" t="s">
        <v>2134</v>
      </c>
      <c r="G100" s="63" t="s">
        <v>2312</v>
      </c>
      <c r="H100" s="63" t="s">
        <v>1116</v>
      </c>
      <c r="I100" s="63" t="s">
        <v>1104</v>
      </c>
      <c r="J100" s="65">
        <v>4820</v>
      </c>
      <c r="K100" s="65">
        <v>3136</v>
      </c>
      <c r="L100" s="26">
        <f t="shared" si="4"/>
        <v>7956</v>
      </c>
      <c r="M100" s="26">
        <f t="array" ref="M100">MEDIAN(IF($F$3:$F$810=F100,$L$3:$L$810))</f>
        <v>7412.5</v>
      </c>
      <c r="N100" s="65">
        <v>15982</v>
      </c>
      <c r="O100" s="62">
        <v>0</v>
      </c>
      <c r="P100" s="76">
        <f>IF(N100&lt;INDEX(Sectorwise!E:E,MATCH(F100,Sectorwise!A:A,0)),1,0)</f>
        <v>0</v>
      </c>
      <c r="Q100" s="76">
        <f>IF(AND(N100&gt;=INDEX(Sectorwise!E:E,MATCH(F100,Sectorwise!A:A,0)),N100&lt;=INDEX(Sectorwise!F:F,MATCH(F100,Sectorwise!A:A,0))),1,0)</f>
        <v>0</v>
      </c>
      <c r="R100" s="76">
        <f>IF(N100&gt;INDEX(Sectorwise!F:F,MATCH(F100,Sectorwise!A:A,0)),1,0)</f>
        <v>1</v>
      </c>
      <c r="S100" s="27">
        <f t="shared" si="5"/>
        <v>0</v>
      </c>
      <c r="T100" s="27">
        <f t="shared" si="6"/>
        <v>0</v>
      </c>
      <c r="U100" s="27">
        <f t="shared" si="7"/>
        <v>15982</v>
      </c>
      <c r="V100" s="95">
        <f>IF(R100=1,(N100-INDEX(Sectorwise!F:F,MATCH(F100,Sectorwise!A:A,0))),0)</f>
        <v>7782</v>
      </c>
      <c r="W100" s="97">
        <f>POISSON(N100,INDEX(Sectorwise!D:D,MATCH(Travel!F419,Sectorwise!A:A,0)),TRUE)</f>
        <v>1</v>
      </c>
    </row>
    <row r="101" spans="1:23" ht="15.75" hidden="1" customHeight="1" x14ac:dyDescent="0.2">
      <c r="A101" s="60" t="s">
        <v>1337</v>
      </c>
      <c r="B101" s="60" t="s">
        <v>1338</v>
      </c>
      <c r="C101" s="60"/>
      <c r="E101" s="21" t="s">
        <v>2278</v>
      </c>
      <c r="F101" s="29" t="s">
        <v>2134</v>
      </c>
      <c r="G101" s="56" t="s">
        <v>2309</v>
      </c>
      <c r="H101" s="60" t="s">
        <v>1339</v>
      </c>
      <c r="I101" s="60" t="s">
        <v>1336</v>
      </c>
      <c r="J101" s="61">
        <v>6100</v>
      </c>
      <c r="K101" s="61">
        <v>1896</v>
      </c>
      <c r="L101" s="26">
        <f t="shared" si="4"/>
        <v>7996</v>
      </c>
      <c r="M101" s="26">
        <f t="array" ref="M101">MEDIAN(IF($F$3:$F$810=F101,$L$3:$L$810))</f>
        <v>7412.5</v>
      </c>
      <c r="N101" s="61">
        <v>15992</v>
      </c>
      <c r="O101" s="62">
        <v>0</v>
      </c>
      <c r="P101" s="76">
        <f>IF(N101&lt;INDEX(Sectorwise!E:E,MATCH(F101,Sectorwise!A:A,0)),1,0)</f>
        <v>0</v>
      </c>
      <c r="Q101" s="76">
        <f>IF(AND(N101&gt;=INDEX(Sectorwise!E:E,MATCH(F101,Sectorwise!A:A,0)),N101&lt;=INDEX(Sectorwise!F:F,MATCH(F101,Sectorwise!A:A,0))),1,0)</f>
        <v>0</v>
      </c>
      <c r="R101" s="76">
        <f>IF(N101&gt;INDEX(Sectorwise!F:F,MATCH(F101,Sectorwise!A:A,0)),1,0)</f>
        <v>1</v>
      </c>
      <c r="S101" s="27">
        <f t="shared" si="5"/>
        <v>0</v>
      </c>
      <c r="T101" s="27">
        <f t="shared" si="6"/>
        <v>0</v>
      </c>
      <c r="U101" s="27">
        <f t="shared" si="7"/>
        <v>15992</v>
      </c>
      <c r="V101" s="95">
        <f>IF(R101=1,(N101-INDEX(Sectorwise!F:F,MATCH(F101,Sectorwise!A:A,0))),0)</f>
        <v>7792</v>
      </c>
      <c r="W101" s="97">
        <f>POISSON(N101,INDEX(Sectorwise!D:D,MATCH(Travel!F500,Sectorwise!A:A,0)),TRUE)</f>
        <v>0</v>
      </c>
    </row>
    <row r="102" spans="1:23" ht="15.75" hidden="1" customHeight="1" x14ac:dyDescent="0.2">
      <c r="A102" s="29" t="s">
        <v>1676</v>
      </c>
      <c r="B102" s="29" t="s">
        <v>1677</v>
      </c>
      <c r="C102" s="29"/>
      <c r="E102" s="21" t="s">
        <v>2278</v>
      </c>
      <c r="F102" s="29" t="s">
        <v>2134</v>
      </c>
      <c r="G102" s="56" t="s">
        <v>2309</v>
      </c>
      <c r="H102" s="29" t="s">
        <v>1679</v>
      </c>
      <c r="I102" s="29" t="s">
        <v>1680</v>
      </c>
      <c r="J102" s="65">
        <v>6100</v>
      </c>
      <c r="K102" s="65">
        <v>1896</v>
      </c>
      <c r="L102" s="26">
        <f t="shared" si="4"/>
        <v>7996</v>
      </c>
      <c r="M102" s="26">
        <f t="array" ref="M102">MEDIAN(IF($F$3:$F$810=F102,$L$3:$L$810))</f>
        <v>7412.5</v>
      </c>
      <c r="N102" s="57">
        <f>J102+K102</f>
        <v>7996</v>
      </c>
      <c r="O102" s="62"/>
      <c r="P102" s="76">
        <f>IF(N102&lt;INDEX(Sectorwise!E:E,MATCH(F102,Sectorwise!A:A,0)),1,0)</f>
        <v>0</v>
      </c>
      <c r="Q102" s="76">
        <f>IF(AND(N102&gt;=INDEX(Sectorwise!E:E,MATCH(F102,Sectorwise!A:A,0)),N102&lt;=INDEX(Sectorwise!F:F,MATCH(F102,Sectorwise!A:A,0))),1,0)</f>
        <v>1</v>
      </c>
      <c r="R102" s="76">
        <f>IF(N102&gt;INDEX(Sectorwise!F:F,MATCH(F102,Sectorwise!A:A,0)),1,0)</f>
        <v>0</v>
      </c>
      <c r="S102" s="27">
        <f t="shared" si="5"/>
        <v>0</v>
      </c>
      <c r="T102" s="27">
        <f t="shared" si="6"/>
        <v>7996</v>
      </c>
      <c r="U102" s="27">
        <f t="shared" si="7"/>
        <v>0</v>
      </c>
      <c r="V102" s="95">
        <f>IF(R102=1,(N102-INDEX(Sectorwise!F:F,MATCH(F102,Sectorwise!A:A,0))),0)</f>
        <v>0</v>
      </c>
      <c r="W102" s="97">
        <f>POISSON(N102,INDEX(Sectorwise!D:D,MATCH(Travel!F637,Sectorwise!A:A,0)),TRUE)</f>
        <v>6.25520965797361E-155</v>
      </c>
    </row>
    <row r="103" spans="1:23" ht="15.75" hidden="1" customHeight="1" x14ac:dyDescent="0.2">
      <c r="A103" s="63" t="s">
        <v>1737</v>
      </c>
      <c r="B103" s="63" t="s">
        <v>1746</v>
      </c>
      <c r="C103" s="63"/>
      <c r="E103" s="21" t="s">
        <v>2278</v>
      </c>
      <c r="F103" s="63" t="s">
        <v>2136</v>
      </c>
      <c r="G103" s="69" t="s">
        <v>2308</v>
      </c>
      <c r="H103" s="63" t="s">
        <v>1747</v>
      </c>
      <c r="I103" s="63" t="s">
        <v>1740</v>
      </c>
      <c r="J103" s="65">
        <v>7580</v>
      </c>
      <c r="K103" s="65">
        <v>7083</v>
      </c>
      <c r="L103" s="26">
        <f t="shared" si="4"/>
        <v>14663</v>
      </c>
      <c r="M103" s="26">
        <f t="array" ref="M103">MEDIAN(IF($F$3:$F$810=F103,$L$3:$L$810))</f>
        <v>14406</v>
      </c>
      <c r="N103" s="65">
        <v>14663</v>
      </c>
      <c r="O103" s="62">
        <v>0</v>
      </c>
      <c r="P103" s="76">
        <f>IF(N103&lt;INDEX(Sectorwise!E:E,MATCH(F103,Sectorwise!A:A,0)),1,0)</f>
        <v>0</v>
      </c>
      <c r="Q103" s="76">
        <f>IF(AND(N103&gt;=INDEX(Sectorwise!E:E,MATCH(F103,Sectorwise!A:A,0)),N103&lt;=INDEX(Sectorwise!F:F,MATCH(F103,Sectorwise!A:A,0))),1,0)</f>
        <v>1</v>
      </c>
      <c r="R103" s="76">
        <f>IF(N103&gt;INDEX(Sectorwise!F:F,MATCH(F103,Sectorwise!A:A,0)),1,0)</f>
        <v>0</v>
      </c>
      <c r="S103" s="27">
        <f t="shared" si="5"/>
        <v>0</v>
      </c>
      <c r="T103" s="27">
        <f t="shared" si="6"/>
        <v>14663</v>
      </c>
      <c r="U103" s="27">
        <f t="shared" si="7"/>
        <v>0</v>
      </c>
      <c r="V103" s="95">
        <f>IF(R103=1,(N103-INDEX(Sectorwise!F:F,MATCH(F103,Sectorwise!A:A,0))),0)</f>
        <v>0</v>
      </c>
      <c r="W103" s="97">
        <f>POISSON(N103,INDEX(Sectorwise!D:D,MATCH(Travel!F661,Sectorwise!A:A,0)),TRUE)</f>
        <v>1</v>
      </c>
    </row>
    <row r="104" spans="1:23" ht="15.75" hidden="1" customHeight="1" x14ac:dyDescent="0.2">
      <c r="A104" s="63" t="s">
        <v>1874</v>
      </c>
      <c r="B104" s="63" t="s">
        <v>1878</v>
      </c>
      <c r="C104" s="63"/>
      <c r="E104" s="21" t="s">
        <v>2278</v>
      </c>
      <c r="F104" s="63" t="s">
        <v>2136</v>
      </c>
      <c r="G104" s="56" t="s">
        <v>2309</v>
      </c>
      <c r="H104" s="63" t="s">
        <v>1879</v>
      </c>
      <c r="I104" s="63" t="s">
        <v>1842</v>
      </c>
      <c r="J104" s="65">
        <v>11430</v>
      </c>
      <c r="K104" s="65">
        <v>3704</v>
      </c>
      <c r="L104" s="26">
        <f t="shared" si="4"/>
        <v>15134</v>
      </c>
      <c r="M104" s="26">
        <f t="array" ref="M104">MEDIAN(IF($F$3:$F$810=F104,$L$3:$L$810))</f>
        <v>14406</v>
      </c>
      <c r="N104" s="65">
        <v>15134</v>
      </c>
      <c r="O104" s="62">
        <v>0</v>
      </c>
      <c r="P104" s="76">
        <f>IF(N104&lt;INDEX(Sectorwise!E:E,MATCH(F104,Sectorwise!A:A,0)),1,0)</f>
        <v>0</v>
      </c>
      <c r="Q104" s="76">
        <f>IF(AND(N104&gt;=INDEX(Sectorwise!E:E,MATCH(F104,Sectorwise!A:A,0)),N104&lt;=INDEX(Sectorwise!F:F,MATCH(F104,Sectorwise!A:A,0))),1,0)</f>
        <v>1</v>
      </c>
      <c r="R104" s="76">
        <f>IF(N104&gt;INDEX(Sectorwise!F:F,MATCH(F104,Sectorwise!A:A,0)),1,0)</f>
        <v>0</v>
      </c>
      <c r="S104" s="27">
        <f t="shared" si="5"/>
        <v>0</v>
      </c>
      <c r="T104" s="27">
        <f t="shared" si="6"/>
        <v>15134</v>
      </c>
      <c r="U104" s="27">
        <f t="shared" si="7"/>
        <v>0</v>
      </c>
      <c r="V104" s="95">
        <f>IF(R104=1,(N104-INDEX(Sectorwise!F:F,MATCH(F104,Sectorwise!A:A,0))),0)</f>
        <v>0</v>
      </c>
      <c r="W104" s="97">
        <f>POISSON(N104,INDEX(Sectorwise!D:D,MATCH(Travel!F714,Sectorwise!A:A,0)),TRUE)</f>
        <v>1</v>
      </c>
    </row>
    <row r="105" spans="1:23" ht="15.75" hidden="1" customHeight="1" x14ac:dyDescent="0.2">
      <c r="A105" s="63" t="s">
        <v>1549</v>
      </c>
      <c r="B105" s="63" t="s">
        <v>1558</v>
      </c>
      <c r="C105" s="63"/>
      <c r="E105" s="21" t="s">
        <v>2278</v>
      </c>
      <c r="F105" s="63" t="s">
        <v>2140</v>
      </c>
      <c r="G105" s="56" t="s">
        <v>2309</v>
      </c>
      <c r="H105" s="63" t="s">
        <v>1559</v>
      </c>
      <c r="I105" s="63" t="s">
        <v>1540</v>
      </c>
      <c r="J105" s="65">
        <v>30630</v>
      </c>
      <c r="K105" s="65">
        <v>11570</v>
      </c>
      <c r="L105" s="26">
        <f t="shared" si="4"/>
        <v>42200</v>
      </c>
      <c r="M105" s="26">
        <f t="array" ref="M105">MEDIAN(IF($F$3:$F$810=F105,$L$3:$L$810))</f>
        <v>42200</v>
      </c>
      <c r="N105" s="65">
        <v>42200</v>
      </c>
      <c r="O105" s="62">
        <v>0</v>
      </c>
      <c r="P105" s="76">
        <f>IF(N105&lt;INDEX(Sectorwise!E:E,MATCH(F105,Sectorwise!A:A,0)),1,0)</f>
        <v>0</v>
      </c>
      <c r="Q105" s="76">
        <f>IF(AND(N105&gt;=INDEX(Sectorwise!E:E,MATCH(F105,Sectorwise!A:A,0)),N105&lt;=INDEX(Sectorwise!F:F,MATCH(F105,Sectorwise!A:A,0))),1,0)</f>
        <v>1</v>
      </c>
      <c r="R105" s="76">
        <f>IF(N105&gt;INDEX(Sectorwise!F:F,MATCH(F105,Sectorwise!A:A,0)),1,0)</f>
        <v>0</v>
      </c>
      <c r="S105" s="27">
        <f t="shared" si="5"/>
        <v>0</v>
      </c>
      <c r="T105" s="27">
        <f t="shared" si="6"/>
        <v>42200</v>
      </c>
      <c r="U105" s="27">
        <f t="shared" si="7"/>
        <v>0</v>
      </c>
      <c r="V105" s="95">
        <f>IF(R105=1,(N105-INDEX(Sectorwise!F:F,MATCH(F105,Sectorwise!A:A,0))),0)</f>
        <v>0</v>
      </c>
      <c r="W105" s="97">
        <f>POISSON(N105,INDEX(Sectorwise!D:D,MATCH(Travel!F590,Sectorwise!A:A,0)),TRUE)</f>
        <v>1</v>
      </c>
    </row>
    <row r="106" spans="1:23" ht="15.75" hidden="1" customHeight="1" x14ac:dyDescent="0.2">
      <c r="A106" s="60" t="s">
        <v>948</v>
      </c>
      <c r="B106" s="60" t="s">
        <v>949</v>
      </c>
      <c r="C106" s="64" t="s">
        <v>950</v>
      </c>
      <c r="E106" s="21" t="s">
        <v>2278</v>
      </c>
      <c r="F106" s="60" t="s">
        <v>2158</v>
      </c>
      <c r="G106" s="69" t="s">
        <v>2308</v>
      </c>
      <c r="H106" s="60" t="s">
        <v>951</v>
      </c>
      <c r="I106" s="60" t="s">
        <v>903</v>
      </c>
      <c r="J106" s="61">
        <v>18306</v>
      </c>
      <c r="K106" s="61">
        <v>3030</v>
      </c>
      <c r="L106" s="26">
        <f t="shared" si="4"/>
        <v>21336</v>
      </c>
      <c r="M106" s="26">
        <f t="array" ref="M106">MEDIAN(IF($F$3:$F$810=F106,$L$3:$L$810))</f>
        <v>20521</v>
      </c>
      <c r="N106" s="61">
        <v>21336</v>
      </c>
      <c r="O106" s="62">
        <v>10399</v>
      </c>
      <c r="P106" s="76">
        <f>IF(N106&lt;INDEX(Sectorwise!E:E,MATCH(F106,Sectorwise!A:A,0)),1,0)</f>
        <v>0</v>
      </c>
      <c r="Q106" s="76">
        <f>IF(AND(N106&gt;=INDEX(Sectorwise!E:E,MATCH(F106,Sectorwise!A:A,0)),N106&lt;=INDEX(Sectorwise!F:F,MATCH(F106,Sectorwise!A:A,0))),1,0)</f>
        <v>1</v>
      </c>
      <c r="R106" s="76">
        <f>IF(N106&gt;INDEX(Sectorwise!F:F,MATCH(F106,Sectorwise!A:A,0)),1,0)</f>
        <v>0</v>
      </c>
      <c r="S106" s="27">
        <f t="shared" si="5"/>
        <v>0</v>
      </c>
      <c r="T106" s="27">
        <f t="shared" si="6"/>
        <v>21336</v>
      </c>
      <c r="U106" s="27">
        <f t="shared" si="7"/>
        <v>0</v>
      </c>
      <c r="V106" s="95">
        <f>IF(R106=1,(N106-INDEX(Sectorwise!F:F,MATCH(F106,Sectorwise!A:A,0))),0)</f>
        <v>0</v>
      </c>
      <c r="W106" s="97">
        <f>POISSON(N106,INDEX(Sectorwise!D:D,MATCH(Travel!F354,Sectorwise!A:A,0)),TRUE)</f>
        <v>1</v>
      </c>
    </row>
    <row r="107" spans="1:23" ht="15.75" hidden="1" customHeight="1" x14ac:dyDescent="0.2">
      <c r="A107" s="69" t="s">
        <v>1994</v>
      </c>
      <c r="B107" s="69" t="s">
        <v>2000</v>
      </c>
      <c r="C107" s="69"/>
      <c r="E107" s="21" t="s">
        <v>2278</v>
      </c>
      <c r="F107" s="60" t="s">
        <v>2158</v>
      </c>
      <c r="G107" s="69" t="s">
        <v>2308</v>
      </c>
      <c r="H107" s="69" t="s">
        <v>2001</v>
      </c>
      <c r="I107" s="69" t="s">
        <v>1977</v>
      </c>
      <c r="J107" s="70">
        <v>17592</v>
      </c>
      <c r="K107" s="70">
        <v>2991</v>
      </c>
      <c r="L107" s="26">
        <f t="shared" si="4"/>
        <v>20583</v>
      </c>
      <c r="M107" s="26">
        <f t="array" ref="M107">MEDIAN(IF($F$3:$F$810=F107,$L$3:$L$810))</f>
        <v>20521</v>
      </c>
      <c r="N107" s="70">
        <v>20583</v>
      </c>
      <c r="O107" s="71">
        <v>0</v>
      </c>
      <c r="P107" s="76">
        <f>IF(N107&lt;INDEX(Sectorwise!E:E,MATCH(F107,Sectorwise!A:A,0)),1,0)</f>
        <v>0</v>
      </c>
      <c r="Q107" s="76">
        <f>IF(AND(N107&gt;=INDEX(Sectorwise!E:E,MATCH(F107,Sectorwise!A:A,0)),N107&lt;=INDEX(Sectorwise!F:F,MATCH(F107,Sectorwise!A:A,0))),1,0)</f>
        <v>1</v>
      </c>
      <c r="R107" s="76">
        <f>IF(N107&gt;INDEX(Sectorwise!F:F,MATCH(F107,Sectorwise!A:A,0)),1,0)</f>
        <v>0</v>
      </c>
      <c r="S107" s="27">
        <f t="shared" si="5"/>
        <v>0</v>
      </c>
      <c r="T107" s="27">
        <f t="shared" si="6"/>
        <v>20583</v>
      </c>
      <c r="U107" s="27">
        <f t="shared" si="7"/>
        <v>0</v>
      </c>
      <c r="V107" s="95">
        <f>IF(R107=1,(N107-INDEX(Sectorwise!F:F,MATCH(F107,Sectorwise!A:A,0))),0)</f>
        <v>0</v>
      </c>
      <c r="W107" s="97">
        <f>POISSON(N107,INDEX(Sectorwise!D:D,MATCH(Travel!F761,Sectorwise!A:A,0)),TRUE)</f>
        <v>1</v>
      </c>
    </row>
    <row r="108" spans="1:23" ht="15.75" hidden="1" customHeight="1" x14ac:dyDescent="0.2">
      <c r="A108" s="21" t="s">
        <v>669</v>
      </c>
      <c r="B108" s="24" t="s">
        <v>682</v>
      </c>
      <c r="C108" s="22"/>
      <c r="D108" s="32"/>
      <c r="E108" s="21" t="s">
        <v>2278</v>
      </c>
      <c r="F108" s="21" t="s">
        <v>2178</v>
      </c>
      <c r="G108" s="63" t="s">
        <v>2324</v>
      </c>
      <c r="H108" s="21" t="s">
        <v>683</v>
      </c>
      <c r="I108" s="21" t="s">
        <v>684</v>
      </c>
      <c r="J108" s="25">
        <v>19000</v>
      </c>
      <c r="K108" s="25">
        <v>18975</v>
      </c>
      <c r="L108" s="26">
        <f t="shared" si="4"/>
        <v>37975</v>
      </c>
      <c r="M108" s="26">
        <f t="array" ref="M108">MEDIAN(IF($F$3:$F$810=F108,$L$3:$L$810))</f>
        <v>37293</v>
      </c>
      <c r="N108" s="47">
        <v>37975</v>
      </c>
      <c r="O108" s="55"/>
      <c r="P108" s="76">
        <f>IF(N108&lt;INDEX(Sectorwise!E:E,MATCH(F108,Sectorwise!A:A,0)),1,0)</f>
        <v>0</v>
      </c>
      <c r="Q108" s="76">
        <f>IF(AND(N108&gt;=INDEX(Sectorwise!E:E,MATCH(F108,Sectorwise!A:A,0)),N108&lt;=INDEX(Sectorwise!F:F,MATCH(F108,Sectorwise!A:A,0))),1,0)</f>
        <v>1</v>
      </c>
      <c r="R108" s="76">
        <f>IF(N108&gt;INDEX(Sectorwise!F:F,MATCH(F108,Sectorwise!A:A,0)),1,0)</f>
        <v>0</v>
      </c>
      <c r="S108" s="27">
        <f t="shared" si="5"/>
        <v>0</v>
      </c>
      <c r="T108" s="27">
        <f t="shared" si="6"/>
        <v>37975</v>
      </c>
      <c r="U108" s="27">
        <f t="shared" si="7"/>
        <v>0</v>
      </c>
      <c r="V108" s="95">
        <f>IF(R108=1,(N108-INDEX(Sectorwise!F:F,MATCH(F108,Sectorwise!A:A,0))),0)</f>
        <v>0</v>
      </c>
      <c r="W108" s="97">
        <f>POISSON(N108,INDEX(Sectorwise!D:D,MATCH(Travel!F259,Sectorwise!A:A,0)),TRUE)</f>
        <v>1</v>
      </c>
    </row>
    <row r="109" spans="1:23" ht="15.75" hidden="1" customHeight="1" x14ac:dyDescent="0.2">
      <c r="A109" s="21" t="s">
        <v>685</v>
      </c>
      <c r="B109" s="24" t="s">
        <v>686</v>
      </c>
      <c r="C109" s="22"/>
      <c r="D109" s="32"/>
      <c r="E109" s="21" t="s">
        <v>2278</v>
      </c>
      <c r="F109" s="21" t="s">
        <v>2178</v>
      </c>
      <c r="G109" s="63" t="s">
        <v>2324</v>
      </c>
      <c r="H109" s="21" t="s">
        <v>687</v>
      </c>
      <c r="I109" s="21" t="s">
        <v>680</v>
      </c>
      <c r="J109" s="25">
        <v>16000</v>
      </c>
      <c r="K109" s="25">
        <v>21786</v>
      </c>
      <c r="L109" s="26">
        <f t="shared" si="4"/>
        <v>37786</v>
      </c>
      <c r="M109" s="26">
        <f t="array" ref="M109">MEDIAN(IF($F$3:$F$810=F109,$L$3:$L$810))</f>
        <v>37293</v>
      </c>
      <c r="N109" s="47">
        <v>37786</v>
      </c>
      <c r="O109" s="55"/>
      <c r="P109" s="76">
        <f>IF(N109&lt;INDEX(Sectorwise!E:E,MATCH(F109,Sectorwise!A:A,0)),1,0)</f>
        <v>0</v>
      </c>
      <c r="Q109" s="76">
        <f>IF(AND(N109&gt;=INDEX(Sectorwise!E:E,MATCH(F109,Sectorwise!A:A,0)),N109&lt;=INDEX(Sectorwise!F:F,MATCH(F109,Sectorwise!A:A,0))),1,0)</f>
        <v>1</v>
      </c>
      <c r="R109" s="76">
        <f>IF(N109&gt;INDEX(Sectorwise!F:F,MATCH(F109,Sectorwise!A:A,0)),1,0)</f>
        <v>0</v>
      </c>
      <c r="S109" s="27">
        <f t="shared" si="5"/>
        <v>0</v>
      </c>
      <c r="T109" s="27">
        <f t="shared" si="6"/>
        <v>37786</v>
      </c>
      <c r="U109" s="27">
        <f t="shared" si="7"/>
        <v>0</v>
      </c>
      <c r="V109" s="95">
        <f>IF(R109=1,(N109-INDEX(Sectorwise!F:F,MATCH(F109,Sectorwise!A:A,0))),0)</f>
        <v>0</v>
      </c>
      <c r="W109" s="97">
        <f>POISSON(N109,INDEX(Sectorwise!D:D,MATCH(Travel!F260,Sectorwise!A:A,0)),TRUE)</f>
        <v>1</v>
      </c>
    </row>
    <row r="110" spans="1:23" ht="15.75" hidden="1" customHeight="1" x14ac:dyDescent="0.2">
      <c r="A110" s="21" t="s">
        <v>722</v>
      </c>
      <c r="B110" s="24" t="s">
        <v>746</v>
      </c>
      <c r="C110" s="22"/>
      <c r="D110" s="32"/>
      <c r="E110" s="21" t="s">
        <v>2278</v>
      </c>
      <c r="F110" s="21" t="s">
        <v>2178</v>
      </c>
      <c r="G110" s="63" t="s">
        <v>2324</v>
      </c>
      <c r="H110" s="21" t="s">
        <v>747</v>
      </c>
      <c r="I110" s="21" t="s">
        <v>731</v>
      </c>
      <c r="J110" s="25">
        <v>0</v>
      </c>
      <c r="K110" s="25">
        <v>2000</v>
      </c>
      <c r="L110" s="26">
        <f t="shared" si="4"/>
        <v>2000</v>
      </c>
      <c r="M110" s="26">
        <f t="array" ref="M110">MEDIAN(IF($F$3:$F$810=F110,$L$3:$L$810))</f>
        <v>37293</v>
      </c>
      <c r="N110" s="47">
        <v>2000</v>
      </c>
      <c r="O110" s="55"/>
      <c r="P110" s="76">
        <f>IF(N110&lt;INDEX(Sectorwise!E:E,MATCH(F110,Sectorwise!A:A,0)),1,0)</f>
        <v>1</v>
      </c>
      <c r="Q110" s="76">
        <f>IF(AND(N110&gt;=INDEX(Sectorwise!E:E,MATCH(F110,Sectorwise!A:A,0)),N110&lt;=INDEX(Sectorwise!F:F,MATCH(F110,Sectorwise!A:A,0))),1,0)</f>
        <v>0</v>
      </c>
      <c r="R110" s="76">
        <f>IF(N110&gt;INDEX(Sectorwise!F:F,MATCH(F110,Sectorwise!A:A,0)),1,0)</f>
        <v>0</v>
      </c>
      <c r="S110" s="27">
        <f t="shared" si="5"/>
        <v>2000</v>
      </c>
      <c r="T110" s="27">
        <f t="shared" si="6"/>
        <v>0</v>
      </c>
      <c r="U110" s="27">
        <f t="shared" si="7"/>
        <v>0</v>
      </c>
      <c r="V110" s="95">
        <f>IF(R110=1,(N110-INDEX(Sectorwise!F:F,MATCH(F110,Sectorwise!A:A,0))),0)</f>
        <v>0</v>
      </c>
      <c r="W110" s="97">
        <f>POISSON(N110,INDEX(Sectorwise!D:D,MATCH(Travel!F283,Sectorwise!A:A,0)),TRUE)</f>
        <v>0</v>
      </c>
    </row>
    <row r="111" spans="1:23" ht="15.75" hidden="1" customHeight="1" x14ac:dyDescent="0.2">
      <c r="A111" s="63" t="s">
        <v>1837</v>
      </c>
      <c r="B111" s="63" t="s">
        <v>1868</v>
      </c>
      <c r="C111" s="63"/>
      <c r="E111" s="21" t="s">
        <v>2278</v>
      </c>
      <c r="F111" s="21" t="s">
        <v>2178</v>
      </c>
      <c r="G111" s="63" t="s">
        <v>2324</v>
      </c>
      <c r="H111" s="63" t="s">
        <v>1869</v>
      </c>
      <c r="I111" s="63" t="s">
        <v>1822</v>
      </c>
      <c r="J111" s="65">
        <v>16000</v>
      </c>
      <c r="K111" s="65">
        <v>21800</v>
      </c>
      <c r="L111" s="26">
        <f t="shared" si="4"/>
        <v>37800</v>
      </c>
      <c r="M111" s="26">
        <f t="array" ref="M111">MEDIAN(IF($F$3:$F$810=F111,$L$3:$L$810))</f>
        <v>37293</v>
      </c>
      <c r="N111" s="65">
        <v>37800</v>
      </c>
      <c r="O111" s="62">
        <v>0</v>
      </c>
      <c r="P111" s="76">
        <f>IF(N111&lt;INDEX(Sectorwise!E:E,MATCH(F111,Sectorwise!A:A,0)),1,0)</f>
        <v>0</v>
      </c>
      <c r="Q111" s="76">
        <f>IF(AND(N111&gt;=INDEX(Sectorwise!E:E,MATCH(F111,Sectorwise!A:A,0)),N111&lt;=INDEX(Sectorwise!F:F,MATCH(F111,Sectorwise!A:A,0))),1,0)</f>
        <v>1</v>
      </c>
      <c r="R111" s="76">
        <f>IF(N111&gt;INDEX(Sectorwise!F:F,MATCH(F111,Sectorwise!A:A,0)),1,0)</f>
        <v>0</v>
      </c>
      <c r="S111" s="27">
        <f t="shared" si="5"/>
        <v>0</v>
      </c>
      <c r="T111" s="27">
        <f t="shared" si="6"/>
        <v>37800</v>
      </c>
      <c r="U111" s="27">
        <f t="shared" si="7"/>
        <v>0</v>
      </c>
      <c r="V111" s="95">
        <f>IF(R111=1,(N111-INDEX(Sectorwise!F:F,MATCH(F111,Sectorwise!A:A,0))),0)</f>
        <v>0</v>
      </c>
      <c r="W111" s="97">
        <f>POISSON(N111,INDEX(Sectorwise!D:D,MATCH(Travel!F710,Sectorwise!A:A,0)),TRUE)</f>
        <v>1</v>
      </c>
    </row>
    <row r="112" spans="1:23" ht="15.75" hidden="1" customHeight="1" x14ac:dyDescent="0.2">
      <c r="A112" s="53" t="s">
        <v>528</v>
      </c>
      <c r="B112" s="54" t="s">
        <v>529</v>
      </c>
      <c r="C112" s="22"/>
      <c r="D112" s="32"/>
      <c r="E112" s="21" t="s">
        <v>2278</v>
      </c>
      <c r="F112" s="21" t="s">
        <v>2135</v>
      </c>
      <c r="G112" s="69" t="s">
        <v>2308</v>
      </c>
      <c r="H112" s="21" t="s">
        <v>530</v>
      </c>
      <c r="I112" s="21" t="s">
        <v>528</v>
      </c>
      <c r="J112" s="25">
        <v>745</v>
      </c>
      <c r="K112" s="25">
        <v>2572</v>
      </c>
      <c r="L112" s="26">
        <f t="shared" si="4"/>
        <v>3317</v>
      </c>
      <c r="M112" s="26">
        <f t="array" ref="M112">MEDIAN(IF($F$3:$F$810=F112,$L$3:$L$810))</f>
        <v>7234</v>
      </c>
      <c r="N112" s="47">
        <v>3317</v>
      </c>
      <c r="O112" s="27"/>
      <c r="P112" s="76">
        <f>IF(N112&lt;INDEX(Sectorwise!E:E,MATCH(F112,Sectorwise!A:A,0)),1,0)</f>
        <v>1</v>
      </c>
      <c r="Q112" s="76">
        <f>IF(AND(N112&gt;=INDEX(Sectorwise!E:E,MATCH(F112,Sectorwise!A:A,0)),N112&lt;=INDEX(Sectorwise!F:F,MATCH(F112,Sectorwise!A:A,0))),1,0)</f>
        <v>0</v>
      </c>
      <c r="R112" s="76">
        <f>IF(N112&gt;INDEX(Sectorwise!F:F,MATCH(F112,Sectorwise!A:A,0)),1,0)</f>
        <v>0</v>
      </c>
      <c r="S112" s="27">
        <f t="shared" si="5"/>
        <v>3317</v>
      </c>
      <c r="T112" s="27">
        <f t="shared" si="6"/>
        <v>0</v>
      </c>
      <c r="U112" s="27">
        <f t="shared" si="7"/>
        <v>0</v>
      </c>
      <c r="V112" s="95">
        <f>IF(R112=1,(N112-INDEX(Sectorwise!F:F,MATCH(F112,Sectorwise!A:A,0))),0)</f>
        <v>0</v>
      </c>
      <c r="W112" s="97">
        <f>POISSON(N112,INDEX(Sectorwise!D:D,MATCH(Travel!F196,Sectorwise!A:A,0)),TRUE)</f>
        <v>0</v>
      </c>
    </row>
    <row r="113" spans="1:23" ht="15.75" hidden="1" customHeight="1" x14ac:dyDescent="0.2">
      <c r="A113" s="63" t="s">
        <v>1114</v>
      </c>
      <c r="B113" s="63" t="s">
        <v>1115</v>
      </c>
      <c r="C113" s="63"/>
      <c r="E113" s="21" t="s">
        <v>2278</v>
      </c>
      <c r="F113" s="21" t="s">
        <v>2135</v>
      </c>
      <c r="G113" s="56" t="s">
        <v>2309</v>
      </c>
      <c r="H113" s="63" t="s">
        <v>1117</v>
      </c>
      <c r="I113" s="63" t="s">
        <v>1104</v>
      </c>
      <c r="J113" s="65">
        <v>6050</v>
      </c>
      <c r="K113" s="65">
        <v>1976</v>
      </c>
      <c r="L113" s="26">
        <f t="shared" si="4"/>
        <v>8026</v>
      </c>
      <c r="M113" s="26">
        <f t="array" ref="M113">MEDIAN(IF($F$3:$F$810=F113,$L$3:$L$810))</f>
        <v>7234</v>
      </c>
      <c r="N113" s="57">
        <f>J113+K113</f>
        <v>8026</v>
      </c>
      <c r="O113" s="62">
        <v>0</v>
      </c>
      <c r="P113" s="76">
        <f>IF(N113&lt;INDEX(Sectorwise!E:E,MATCH(F113,Sectorwise!A:A,0)),1,0)</f>
        <v>0</v>
      </c>
      <c r="Q113" s="76">
        <f>IF(AND(N113&gt;=INDEX(Sectorwise!E:E,MATCH(F113,Sectorwise!A:A,0)),N113&lt;=INDEX(Sectorwise!F:F,MATCH(F113,Sectorwise!A:A,0))),1,0)</f>
        <v>0</v>
      </c>
      <c r="R113" s="76">
        <f>IF(N113&gt;INDEX(Sectorwise!F:F,MATCH(F113,Sectorwise!A:A,0)),1,0)</f>
        <v>1</v>
      </c>
      <c r="S113" s="27">
        <f t="shared" si="5"/>
        <v>0</v>
      </c>
      <c r="T113" s="27">
        <f t="shared" si="6"/>
        <v>0</v>
      </c>
      <c r="U113" s="27">
        <f t="shared" si="7"/>
        <v>8026</v>
      </c>
      <c r="V113" s="95">
        <f>IF(R113=1,(N113-INDEX(Sectorwise!F:F,MATCH(F113,Sectorwise!A:A,0))),0)</f>
        <v>26</v>
      </c>
      <c r="W113" s="97">
        <f>POISSON(N113,INDEX(Sectorwise!D:D,MATCH(Travel!F420,Sectorwise!A:A,0)),TRUE)</f>
        <v>0.999999999999027</v>
      </c>
    </row>
    <row r="114" spans="1:23" ht="15.75" hidden="1" customHeight="1" x14ac:dyDescent="0.2">
      <c r="A114" s="60" t="s">
        <v>1337</v>
      </c>
      <c r="B114" s="60" t="s">
        <v>1341</v>
      </c>
      <c r="C114" s="60" t="s">
        <v>1342</v>
      </c>
      <c r="E114" s="21" t="s">
        <v>2278</v>
      </c>
      <c r="F114" s="21" t="s">
        <v>2135</v>
      </c>
      <c r="G114" s="63" t="s">
        <v>2312</v>
      </c>
      <c r="H114" s="60" t="s">
        <v>1343</v>
      </c>
      <c r="I114" s="60" t="s">
        <v>1310</v>
      </c>
      <c r="J114" s="61">
        <v>4620</v>
      </c>
      <c r="K114" s="61">
        <v>3208</v>
      </c>
      <c r="L114" s="26">
        <f t="shared" si="4"/>
        <v>7828</v>
      </c>
      <c r="M114" s="26">
        <f t="array" ref="M114">MEDIAN(IF($F$3:$F$810=F114,$L$3:$L$810))</f>
        <v>7234</v>
      </c>
      <c r="N114" s="61">
        <v>7828</v>
      </c>
      <c r="O114" s="62">
        <v>6128</v>
      </c>
      <c r="P114" s="76">
        <f>IF(N114&lt;INDEX(Sectorwise!E:E,MATCH(F114,Sectorwise!A:A,0)),1,0)</f>
        <v>0</v>
      </c>
      <c r="Q114" s="76">
        <f>IF(AND(N114&gt;=INDEX(Sectorwise!E:E,MATCH(F114,Sectorwise!A:A,0)),N114&lt;=INDEX(Sectorwise!F:F,MATCH(F114,Sectorwise!A:A,0))),1,0)</f>
        <v>1</v>
      </c>
      <c r="R114" s="76">
        <f>IF(N114&gt;INDEX(Sectorwise!F:F,MATCH(F114,Sectorwise!A:A,0)),1,0)</f>
        <v>0</v>
      </c>
      <c r="S114" s="27">
        <f t="shared" si="5"/>
        <v>0</v>
      </c>
      <c r="T114" s="27">
        <f t="shared" si="6"/>
        <v>7828</v>
      </c>
      <c r="U114" s="27">
        <f t="shared" si="7"/>
        <v>0</v>
      </c>
      <c r="V114" s="95">
        <f>IF(R114=1,(N114-INDEX(Sectorwise!F:F,MATCH(F114,Sectorwise!A:A,0))),0)</f>
        <v>0</v>
      </c>
      <c r="W114" s="97">
        <f>POISSON(N114,INDEX(Sectorwise!D:D,MATCH(Travel!F502,Sectorwise!A:A,0)),TRUE)</f>
        <v>0.99999916430914437</v>
      </c>
    </row>
    <row r="115" spans="1:23" ht="15.75" hidden="1" customHeight="1" x14ac:dyDescent="0.2">
      <c r="A115" s="60" t="s">
        <v>1347</v>
      </c>
      <c r="B115" s="60" t="s">
        <v>1359</v>
      </c>
      <c r="C115" s="60"/>
      <c r="E115" s="21" t="s">
        <v>2278</v>
      </c>
      <c r="F115" s="21" t="s">
        <v>2135</v>
      </c>
      <c r="G115" s="56" t="s">
        <v>2309</v>
      </c>
      <c r="H115" s="60" t="s">
        <v>1360</v>
      </c>
      <c r="I115" s="60" t="s">
        <v>1336</v>
      </c>
      <c r="J115" s="61">
        <v>6340</v>
      </c>
      <c r="K115" s="61">
        <v>1992</v>
      </c>
      <c r="L115" s="26">
        <f t="shared" si="4"/>
        <v>8332</v>
      </c>
      <c r="M115" s="26">
        <f t="array" ref="M115">MEDIAN(IF($F$3:$F$810=F115,$L$3:$L$810))</f>
        <v>7234</v>
      </c>
      <c r="N115" s="61">
        <v>8332</v>
      </c>
      <c r="O115" s="62">
        <v>0</v>
      </c>
      <c r="P115" s="76">
        <f>IF(N115&lt;INDEX(Sectorwise!E:E,MATCH(F115,Sectorwise!A:A,0)),1,0)</f>
        <v>0</v>
      </c>
      <c r="Q115" s="76">
        <f>IF(AND(N115&gt;=INDEX(Sectorwise!E:E,MATCH(F115,Sectorwise!A:A,0)),N115&lt;=INDEX(Sectorwise!F:F,MATCH(F115,Sectorwise!A:A,0))),1,0)</f>
        <v>0</v>
      </c>
      <c r="R115" s="76">
        <f>IF(N115&gt;INDEX(Sectorwise!F:F,MATCH(F115,Sectorwise!A:A,0)),1,0)</f>
        <v>1</v>
      </c>
      <c r="S115" s="27">
        <f t="shared" si="5"/>
        <v>0</v>
      </c>
      <c r="T115" s="27">
        <f t="shared" si="6"/>
        <v>0</v>
      </c>
      <c r="U115" s="27">
        <f t="shared" si="7"/>
        <v>8332</v>
      </c>
      <c r="V115" s="95">
        <f>IF(R115=1,(N115-INDEX(Sectorwise!F:F,MATCH(F115,Sectorwise!A:A,0))),0)</f>
        <v>332</v>
      </c>
      <c r="W115" s="97">
        <f>POISSON(N115,INDEX(Sectorwise!D:D,MATCH(Travel!F508,Sectorwise!A:A,0)),TRUE)</f>
        <v>1</v>
      </c>
    </row>
    <row r="116" spans="1:23" ht="15.75" hidden="1" customHeight="1" x14ac:dyDescent="0.2">
      <c r="A116" s="29" t="s">
        <v>1676</v>
      </c>
      <c r="B116" s="29" t="s">
        <v>1677</v>
      </c>
      <c r="C116" s="29"/>
      <c r="E116" s="21" t="s">
        <v>2278</v>
      </c>
      <c r="F116" s="21" t="s">
        <v>2135</v>
      </c>
      <c r="G116" s="56" t="s">
        <v>2309</v>
      </c>
      <c r="H116" s="29" t="s">
        <v>1678</v>
      </c>
      <c r="I116" s="29" t="s">
        <v>1671</v>
      </c>
      <c r="J116" s="65">
        <v>5300</v>
      </c>
      <c r="K116" s="65">
        <v>1934</v>
      </c>
      <c r="L116" s="26">
        <f t="shared" si="4"/>
        <v>7234</v>
      </c>
      <c r="M116" s="26">
        <f t="array" ref="M116">MEDIAN(IF($F$3:$F$810=F116,$L$3:$L$810))</f>
        <v>7234</v>
      </c>
      <c r="N116" s="65">
        <v>15230</v>
      </c>
      <c r="O116" s="62"/>
      <c r="P116" s="76">
        <f>IF(N116&lt;INDEX(Sectorwise!E:E,MATCH(F116,Sectorwise!A:A,0)),1,0)</f>
        <v>0</v>
      </c>
      <c r="Q116" s="76">
        <f>IF(AND(N116&gt;=INDEX(Sectorwise!E:E,MATCH(F116,Sectorwise!A:A,0)),N116&lt;=INDEX(Sectorwise!F:F,MATCH(F116,Sectorwise!A:A,0))),1,0)</f>
        <v>0</v>
      </c>
      <c r="R116" s="76">
        <f>IF(N116&gt;INDEX(Sectorwise!F:F,MATCH(F116,Sectorwise!A:A,0)),1,0)</f>
        <v>1</v>
      </c>
      <c r="S116" s="27">
        <f t="shared" si="5"/>
        <v>0</v>
      </c>
      <c r="T116" s="27">
        <f t="shared" si="6"/>
        <v>0</v>
      </c>
      <c r="U116" s="27">
        <f t="shared" si="7"/>
        <v>15230</v>
      </c>
      <c r="V116" s="95">
        <f>IF(R116=1,(N116-INDEX(Sectorwise!F:F,MATCH(F116,Sectorwise!A:A,0))),0)</f>
        <v>7230</v>
      </c>
      <c r="W116" s="97">
        <f>POISSON(N116,INDEX(Sectorwise!D:D,MATCH(Travel!F636,Sectorwise!A:A,0)),TRUE)</f>
        <v>0.9999999999950091</v>
      </c>
    </row>
    <row r="117" spans="1:23" ht="15.75" hidden="1" customHeight="1" x14ac:dyDescent="0.2">
      <c r="A117" s="63" t="s">
        <v>1893</v>
      </c>
      <c r="B117" s="63" t="s">
        <v>1902</v>
      </c>
      <c r="C117" s="63"/>
      <c r="E117" s="21" t="s">
        <v>2278</v>
      </c>
      <c r="F117" s="21" t="s">
        <v>2135</v>
      </c>
      <c r="G117" s="69" t="s">
        <v>2308</v>
      </c>
      <c r="H117" s="63" t="s">
        <v>1903</v>
      </c>
      <c r="I117" s="63" t="s">
        <v>1822</v>
      </c>
      <c r="J117" s="65">
        <v>5816</v>
      </c>
      <c r="K117" s="65">
        <v>1139</v>
      </c>
      <c r="L117" s="26">
        <f t="shared" si="4"/>
        <v>6955</v>
      </c>
      <c r="M117" s="26">
        <f t="array" ref="M117">MEDIAN(IF($F$3:$F$810=F117,$L$3:$L$810))</f>
        <v>7234</v>
      </c>
      <c r="N117" s="65">
        <v>6955</v>
      </c>
      <c r="O117" s="62">
        <v>0</v>
      </c>
      <c r="P117" s="76">
        <f>IF(N117&lt;INDEX(Sectorwise!E:E,MATCH(F117,Sectorwise!A:A,0)),1,0)</f>
        <v>0</v>
      </c>
      <c r="Q117" s="76">
        <f>IF(AND(N117&gt;=INDEX(Sectorwise!E:E,MATCH(F117,Sectorwise!A:A,0)),N117&lt;=INDEX(Sectorwise!F:F,MATCH(F117,Sectorwise!A:A,0))),1,0)</f>
        <v>1</v>
      </c>
      <c r="R117" s="76">
        <f>IF(N117&gt;INDEX(Sectorwise!F:F,MATCH(F117,Sectorwise!A:A,0)),1,0)</f>
        <v>0</v>
      </c>
      <c r="S117" s="27">
        <f t="shared" si="5"/>
        <v>0</v>
      </c>
      <c r="T117" s="27">
        <f t="shared" si="6"/>
        <v>6955</v>
      </c>
      <c r="U117" s="27">
        <f t="shared" si="7"/>
        <v>0</v>
      </c>
      <c r="V117" s="95">
        <f>IF(R117=1,(N117-INDEX(Sectorwise!F:F,MATCH(F117,Sectorwise!A:A,0))),0)</f>
        <v>0</v>
      </c>
      <c r="W117" s="97">
        <f>POISSON(N117,INDEX(Sectorwise!D:D,MATCH(Travel!F725,Sectorwise!A:A,0)),TRUE)</f>
        <v>0</v>
      </c>
    </row>
    <row r="118" spans="1:23" ht="15.75" hidden="1" customHeight="1" x14ac:dyDescent="0.2">
      <c r="A118" s="60" t="s">
        <v>964</v>
      </c>
      <c r="B118" s="60" t="s">
        <v>965</v>
      </c>
      <c r="C118" s="60"/>
      <c r="E118" s="21" t="s">
        <v>2278</v>
      </c>
      <c r="F118" s="21" t="s">
        <v>2149</v>
      </c>
      <c r="G118" s="69" t="s">
        <v>2308</v>
      </c>
      <c r="H118" s="60" t="s">
        <v>966</v>
      </c>
      <c r="I118" s="60" t="s">
        <v>918</v>
      </c>
      <c r="J118" s="61">
        <v>9178</v>
      </c>
      <c r="K118" s="61">
        <v>1446</v>
      </c>
      <c r="L118" s="26">
        <f t="shared" si="4"/>
        <v>10624</v>
      </c>
      <c r="M118" s="26">
        <f t="array" ref="M118">MEDIAN(IF($F$3:$F$810=F118,$L$3:$L$810))</f>
        <v>10332</v>
      </c>
      <c r="N118" s="57">
        <f>J118+K118</f>
        <v>10624</v>
      </c>
      <c r="O118" s="62">
        <v>0</v>
      </c>
      <c r="P118" s="76">
        <f>IF(N118&lt;INDEX(Sectorwise!E:E,MATCH(F118,Sectorwise!A:A,0)),1,0)</f>
        <v>0</v>
      </c>
      <c r="Q118" s="76">
        <f>IF(AND(N118&gt;=INDEX(Sectorwise!E:E,MATCH(F118,Sectorwise!A:A,0)),N118&lt;=INDEX(Sectorwise!F:F,MATCH(F118,Sectorwise!A:A,0))),1,0)</f>
        <v>1</v>
      </c>
      <c r="R118" s="76">
        <f>IF(N118&gt;INDEX(Sectorwise!F:F,MATCH(F118,Sectorwise!A:A,0)),1,0)</f>
        <v>0</v>
      </c>
      <c r="S118" s="27">
        <f t="shared" si="5"/>
        <v>0</v>
      </c>
      <c r="T118" s="27">
        <f t="shared" si="6"/>
        <v>10624</v>
      </c>
      <c r="U118" s="27">
        <f t="shared" si="7"/>
        <v>0</v>
      </c>
      <c r="V118" s="95">
        <f>IF(R118=1,(N118-INDEX(Sectorwise!F:F,MATCH(F118,Sectorwise!A:A,0))),0)</f>
        <v>0</v>
      </c>
      <c r="W118" s="97">
        <f>POISSON(N118,INDEX(Sectorwise!D:D,MATCH(Travel!F360,Sectorwise!A:A,0)),TRUE)</f>
        <v>1</v>
      </c>
    </row>
    <row r="119" spans="1:23" ht="15.75" hidden="1" customHeight="1" x14ac:dyDescent="0.2">
      <c r="A119" s="63" t="s">
        <v>1549</v>
      </c>
      <c r="B119" s="63" t="s">
        <v>1557</v>
      </c>
      <c r="C119" s="63"/>
      <c r="E119" s="21" t="s">
        <v>2278</v>
      </c>
      <c r="F119" s="63" t="s">
        <v>1531</v>
      </c>
      <c r="G119" s="63" t="s">
        <v>2333</v>
      </c>
      <c r="H119" s="63" t="s">
        <v>1532</v>
      </c>
      <c r="I119" s="63" t="s">
        <v>41</v>
      </c>
      <c r="J119" s="65">
        <v>4800</v>
      </c>
      <c r="K119" s="65">
        <v>580</v>
      </c>
      <c r="L119" s="26">
        <f t="shared" si="4"/>
        <v>5380</v>
      </c>
      <c r="M119" s="26">
        <f t="array" ref="M119">MEDIAN(IF($F$3:$F$810=F119,$L$3:$L$810))</f>
        <v>5380</v>
      </c>
      <c r="N119" s="65">
        <v>5380</v>
      </c>
      <c r="O119" s="62">
        <v>0</v>
      </c>
      <c r="P119" s="76">
        <f>IF(N119&lt;INDEX(Sectorwise!E:E,MATCH(F119,Sectorwise!A:A,0)),1,0)</f>
        <v>0</v>
      </c>
      <c r="Q119" s="76">
        <f>IF(AND(N119&gt;=INDEX(Sectorwise!E:E,MATCH(F119,Sectorwise!A:A,0)),N119&lt;=INDEX(Sectorwise!F:F,MATCH(F119,Sectorwise!A:A,0))),1,0)</f>
        <v>1</v>
      </c>
      <c r="R119" s="76">
        <f>IF(N119&gt;INDEX(Sectorwise!F:F,MATCH(F119,Sectorwise!A:A,0)),1,0)</f>
        <v>0</v>
      </c>
      <c r="S119" s="27">
        <f t="shared" si="5"/>
        <v>0</v>
      </c>
      <c r="T119" s="27">
        <f t="shared" si="6"/>
        <v>5380</v>
      </c>
      <c r="U119" s="27">
        <f t="shared" si="7"/>
        <v>0</v>
      </c>
      <c r="V119" s="95">
        <f>IF(R119=1,(N119-INDEX(Sectorwise!F:F,MATCH(F119,Sectorwise!A:A,0))),0)</f>
        <v>0</v>
      </c>
      <c r="W119" s="97">
        <f>POISSON(N119,INDEX(Sectorwise!D:D,MATCH(Travel!F589,Sectorwise!A:A,0)),TRUE)</f>
        <v>0</v>
      </c>
    </row>
    <row r="120" spans="1:23" ht="15.75" hidden="1" customHeight="1" x14ac:dyDescent="0.2">
      <c r="A120" s="21" t="s">
        <v>478</v>
      </c>
      <c r="B120" s="21" t="s">
        <v>479</v>
      </c>
      <c r="C120" s="51"/>
      <c r="D120" s="32"/>
      <c r="E120" s="21" t="s">
        <v>480</v>
      </c>
      <c r="F120" s="21" t="s">
        <v>2147</v>
      </c>
      <c r="G120" s="33" t="s">
        <v>2321</v>
      </c>
      <c r="H120" s="21" t="s">
        <v>481</v>
      </c>
      <c r="I120" s="21" t="s">
        <v>482</v>
      </c>
      <c r="J120" s="25">
        <v>4487</v>
      </c>
      <c r="K120" s="25">
        <v>5560</v>
      </c>
      <c r="L120" s="26">
        <f t="shared" si="4"/>
        <v>10047</v>
      </c>
      <c r="M120" s="26">
        <f t="array" ref="M120">MEDIAN(IF($F$3:$F$810=F120,$L$3:$L$810))</f>
        <v>10605</v>
      </c>
      <c r="N120" s="47">
        <f>J120+K120</f>
        <v>10047</v>
      </c>
      <c r="O120" s="27"/>
      <c r="P120" s="76">
        <f>IF(N120&lt;INDEX(Sectorwise!E:E,MATCH(F120,Sectorwise!A:A,0)),1,0)</f>
        <v>0</v>
      </c>
      <c r="Q120" s="76">
        <f>IF(AND(N120&gt;=INDEX(Sectorwise!E:E,MATCH(F120,Sectorwise!A:A,0)),N120&lt;=INDEX(Sectorwise!F:F,MATCH(F120,Sectorwise!A:A,0))),1,0)</f>
        <v>1</v>
      </c>
      <c r="R120" s="76">
        <f>IF(N120&gt;INDEX(Sectorwise!F:F,MATCH(F120,Sectorwise!A:A,0)),1,0)</f>
        <v>0</v>
      </c>
      <c r="S120" s="27">
        <f t="shared" si="5"/>
        <v>0</v>
      </c>
      <c r="T120" s="27">
        <f t="shared" si="6"/>
        <v>10047</v>
      </c>
      <c r="U120" s="27">
        <f t="shared" si="7"/>
        <v>0</v>
      </c>
      <c r="V120" s="95">
        <f>IF(R120=1,(N120-INDEX(Sectorwise!F:F,MATCH(F120,Sectorwise!A:A,0))),0)</f>
        <v>0</v>
      </c>
      <c r="W120" s="97">
        <f>POISSON(N120,INDEX(Sectorwise!D:D,MATCH(Travel!F178,Sectorwise!A:A,0)),TRUE)</f>
        <v>1</v>
      </c>
    </row>
    <row r="121" spans="1:23" ht="15.75" hidden="1" customHeight="1" x14ac:dyDescent="0.2">
      <c r="A121" s="21" t="s">
        <v>478</v>
      </c>
      <c r="B121" s="21" t="s">
        <v>479</v>
      </c>
      <c r="C121" s="52"/>
      <c r="D121" s="32"/>
      <c r="E121" s="21" t="s">
        <v>480</v>
      </c>
      <c r="F121" s="21" t="s">
        <v>2149</v>
      </c>
      <c r="G121" s="56" t="s">
        <v>2309</v>
      </c>
      <c r="H121" s="21" t="s">
        <v>483</v>
      </c>
      <c r="I121" s="21" t="s">
        <v>482</v>
      </c>
      <c r="J121" s="25">
        <v>6470</v>
      </c>
      <c r="K121" s="25">
        <v>4551</v>
      </c>
      <c r="L121" s="26">
        <f t="shared" si="4"/>
        <v>11021</v>
      </c>
      <c r="M121" s="26">
        <f t="array" ref="M121">MEDIAN(IF($F$3:$F$810=F121,$L$3:$L$810))</f>
        <v>10332</v>
      </c>
      <c r="N121" s="47">
        <f>J121+K121</f>
        <v>11021</v>
      </c>
      <c r="O121" s="27"/>
      <c r="P121" s="76">
        <f>IF(N121&lt;INDEX(Sectorwise!E:E,MATCH(F121,Sectorwise!A:A,0)),1,0)</f>
        <v>0</v>
      </c>
      <c r="Q121" s="76">
        <f>IF(AND(N121&gt;=INDEX(Sectorwise!E:E,MATCH(F121,Sectorwise!A:A,0)),N121&lt;=INDEX(Sectorwise!F:F,MATCH(F121,Sectorwise!A:A,0))),1,0)</f>
        <v>1</v>
      </c>
      <c r="R121" s="76">
        <f>IF(N121&gt;INDEX(Sectorwise!F:F,MATCH(F121,Sectorwise!A:A,0)),1,0)</f>
        <v>0</v>
      </c>
      <c r="S121" s="27">
        <f t="shared" si="5"/>
        <v>0</v>
      </c>
      <c r="T121" s="27">
        <f t="shared" si="6"/>
        <v>11021</v>
      </c>
      <c r="U121" s="27">
        <f t="shared" si="7"/>
        <v>0</v>
      </c>
      <c r="V121" s="95">
        <f>IF(R121=1,(N121-INDEX(Sectorwise!F:F,MATCH(F121,Sectorwise!A:A,0))),0)</f>
        <v>0</v>
      </c>
      <c r="W121" s="97">
        <f>POISSON(N121,INDEX(Sectorwise!D:D,MATCH(Travel!F179,Sectorwise!A:A,0)),TRUE)</f>
        <v>1</v>
      </c>
    </row>
    <row r="122" spans="1:23" ht="15.75" hidden="1" customHeight="1" x14ac:dyDescent="0.2">
      <c r="A122" s="29" t="s">
        <v>1676</v>
      </c>
      <c r="B122" s="29" t="s">
        <v>1681</v>
      </c>
      <c r="C122" s="29"/>
      <c r="E122" s="63" t="s">
        <v>2279</v>
      </c>
      <c r="F122" s="29" t="s">
        <v>2134</v>
      </c>
      <c r="G122" s="56" t="s">
        <v>2309</v>
      </c>
      <c r="H122" s="29" t="s">
        <v>1684</v>
      </c>
      <c r="I122" s="29" t="s">
        <v>1683</v>
      </c>
      <c r="J122" s="65">
        <v>6100</v>
      </c>
      <c r="K122" s="65">
        <v>1896</v>
      </c>
      <c r="L122" s="26">
        <f t="shared" si="4"/>
        <v>7996</v>
      </c>
      <c r="M122" s="26">
        <f t="array" ref="M122">MEDIAN(IF($F$3:$F$810=F122,$L$3:$L$810))</f>
        <v>7412.5</v>
      </c>
      <c r="N122" s="57">
        <f>J122+K122</f>
        <v>7996</v>
      </c>
      <c r="O122" s="62"/>
      <c r="P122" s="76">
        <f>IF(N122&lt;INDEX(Sectorwise!E:E,MATCH(F122,Sectorwise!A:A,0)),1,0)</f>
        <v>0</v>
      </c>
      <c r="Q122" s="76">
        <f>IF(AND(N122&gt;=INDEX(Sectorwise!E:E,MATCH(F122,Sectorwise!A:A,0)),N122&lt;=INDEX(Sectorwise!F:F,MATCH(F122,Sectorwise!A:A,0))),1,0)</f>
        <v>1</v>
      </c>
      <c r="R122" s="76">
        <f>IF(N122&gt;INDEX(Sectorwise!F:F,MATCH(F122,Sectorwise!A:A,0)),1,0)</f>
        <v>0</v>
      </c>
      <c r="S122" s="27">
        <f t="shared" si="5"/>
        <v>0</v>
      </c>
      <c r="T122" s="27">
        <f t="shared" si="6"/>
        <v>7996</v>
      </c>
      <c r="U122" s="27">
        <f t="shared" si="7"/>
        <v>0</v>
      </c>
      <c r="V122" s="95">
        <f>IF(R122=1,(N122-INDEX(Sectorwise!F:F,MATCH(F122,Sectorwise!A:A,0))),0)</f>
        <v>0</v>
      </c>
      <c r="W122" s="97">
        <f>POISSON(N122,INDEX(Sectorwise!D:D,MATCH(Travel!F639,Sectorwise!A:A,0)),TRUE)</f>
        <v>1</v>
      </c>
    </row>
    <row r="123" spans="1:23" ht="15.75" hidden="1" customHeight="1" x14ac:dyDescent="0.2">
      <c r="A123" s="69" t="s">
        <v>1962</v>
      </c>
      <c r="B123" s="69" t="s">
        <v>1963</v>
      </c>
      <c r="C123" s="69" t="s">
        <v>1964</v>
      </c>
      <c r="E123" s="63" t="s">
        <v>2279</v>
      </c>
      <c r="F123" s="29" t="s">
        <v>2134</v>
      </c>
      <c r="G123" s="56" t="s">
        <v>2309</v>
      </c>
      <c r="H123" s="69" t="s">
        <v>1965</v>
      </c>
      <c r="I123" s="69" t="s">
        <v>1958</v>
      </c>
      <c r="J123" s="70">
        <v>6400</v>
      </c>
      <c r="K123" s="70">
        <v>1912</v>
      </c>
      <c r="L123" s="26">
        <f t="shared" si="4"/>
        <v>8312</v>
      </c>
      <c r="M123" s="26">
        <f t="array" ref="M123">MEDIAN(IF($F$3:$F$810=F123,$L$3:$L$810))</f>
        <v>7412.5</v>
      </c>
      <c r="N123" s="70">
        <v>8312</v>
      </c>
      <c r="O123" s="71">
        <v>6562</v>
      </c>
      <c r="P123" s="76">
        <f>IF(N123&lt;INDEX(Sectorwise!E:E,MATCH(F123,Sectorwise!A:A,0)),1,0)</f>
        <v>0</v>
      </c>
      <c r="Q123" s="76">
        <f>IF(AND(N123&gt;=INDEX(Sectorwise!E:E,MATCH(F123,Sectorwise!A:A,0)),N123&lt;=INDEX(Sectorwise!F:F,MATCH(F123,Sectorwise!A:A,0))),1,0)</f>
        <v>0</v>
      </c>
      <c r="R123" s="76">
        <f>IF(N123&gt;INDEX(Sectorwise!F:F,MATCH(F123,Sectorwise!A:A,0)),1,0)</f>
        <v>1</v>
      </c>
      <c r="S123" s="27">
        <f t="shared" si="5"/>
        <v>0</v>
      </c>
      <c r="T123" s="27">
        <f t="shared" si="6"/>
        <v>0</v>
      </c>
      <c r="U123" s="27">
        <f t="shared" si="7"/>
        <v>8312</v>
      </c>
      <c r="V123" s="95">
        <f>IF(R123=1,(N123-INDEX(Sectorwise!F:F,MATCH(F123,Sectorwise!A:A,0))),0)</f>
        <v>112</v>
      </c>
      <c r="W123" s="97">
        <f>POISSON(N123,INDEX(Sectorwise!D:D,MATCH(Travel!F749,Sectorwise!A:A,0)),TRUE)</f>
        <v>1</v>
      </c>
    </row>
    <row r="124" spans="1:23" ht="15.75" hidden="1" customHeight="1" x14ac:dyDescent="0.2">
      <c r="A124" s="63" t="s">
        <v>1874</v>
      </c>
      <c r="B124" s="63" t="s">
        <v>1880</v>
      </c>
      <c r="C124" s="63"/>
      <c r="E124" s="63" t="s">
        <v>2279</v>
      </c>
      <c r="F124" s="63" t="s">
        <v>2136</v>
      </c>
      <c r="G124" s="56" t="s">
        <v>2309</v>
      </c>
      <c r="H124" s="63" t="s">
        <v>1881</v>
      </c>
      <c r="I124" s="63" t="s">
        <v>1819</v>
      </c>
      <c r="J124" s="65">
        <v>10800</v>
      </c>
      <c r="K124" s="65">
        <v>3668</v>
      </c>
      <c r="L124" s="26">
        <f t="shared" si="4"/>
        <v>14468</v>
      </c>
      <c r="M124" s="26">
        <f t="array" ref="M124">MEDIAN(IF($F$3:$F$810=F124,$L$3:$L$810))</f>
        <v>14406</v>
      </c>
      <c r="N124" s="65">
        <v>14468</v>
      </c>
      <c r="O124" s="62">
        <v>0</v>
      </c>
      <c r="P124" s="76">
        <f>IF(N124&lt;INDEX(Sectorwise!E:E,MATCH(F124,Sectorwise!A:A,0)),1,0)</f>
        <v>0</v>
      </c>
      <c r="Q124" s="76">
        <f>IF(AND(N124&gt;=INDEX(Sectorwise!E:E,MATCH(F124,Sectorwise!A:A,0)),N124&lt;=INDEX(Sectorwise!F:F,MATCH(F124,Sectorwise!A:A,0))),1,0)</f>
        <v>1</v>
      </c>
      <c r="R124" s="76">
        <f>IF(N124&gt;INDEX(Sectorwise!F:F,MATCH(F124,Sectorwise!A:A,0)),1,0)</f>
        <v>0</v>
      </c>
      <c r="S124" s="27">
        <f t="shared" si="5"/>
        <v>0</v>
      </c>
      <c r="T124" s="27">
        <f t="shared" si="6"/>
        <v>14468</v>
      </c>
      <c r="U124" s="27">
        <f t="shared" si="7"/>
        <v>0</v>
      </c>
      <c r="V124" s="95">
        <f>IF(R124=1,(N124-INDEX(Sectorwise!F:F,MATCH(F124,Sectorwise!A:A,0))),0)</f>
        <v>0</v>
      </c>
      <c r="W124" s="97">
        <f>POISSON(N124,INDEX(Sectorwise!D:D,MATCH(Travel!F715,Sectorwise!A:A,0)),TRUE)</f>
        <v>0</v>
      </c>
    </row>
    <row r="125" spans="1:23" ht="15.75" hidden="1" customHeight="1" x14ac:dyDescent="0.2">
      <c r="A125" s="63" t="s">
        <v>1737</v>
      </c>
      <c r="B125" s="63" t="s">
        <v>1751</v>
      </c>
      <c r="C125" s="63"/>
      <c r="E125" s="63" t="s">
        <v>2279</v>
      </c>
      <c r="F125" s="63" t="s">
        <v>2141</v>
      </c>
      <c r="G125" s="56" t="s">
        <v>2309</v>
      </c>
      <c r="H125" s="63" t="s">
        <v>1752</v>
      </c>
      <c r="I125" s="63" t="s">
        <v>1740</v>
      </c>
      <c r="J125" s="65">
        <v>6465</v>
      </c>
      <c r="K125" s="65">
        <v>22035</v>
      </c>
      <c r="L125" s="26">
        <f t="shared" si="4"/>
        <v>28500</v>
      </c>
      <c r="M125" s="26">
        <f t="array" ref="M125">MEDIAN(IF($F$3:$F$810=F125,$L$3:$L$810))</f>
        <v>28500</v>
      </c>
      <c r="N125" s="65">
        <v>28500</v>
      </c>
      <c r="O125" s="62">
        <v>0</v>
      </c>
      <c r="P125" s="76">
        <f>IF(N125&lt;INDEX(Sectorwise!E:E,MATCH(F125,Sectorwise!A:A,0)),1,0)</f>
        <v>0</v>
      </c>
      <c r="Q125" s="76">
        <f>IF(AND(N125&gt;=INDEX(Sectorwise!E:E,MATCH(F125,Sectorwise!A:A,0)),N125&lt;=INDEX(Sectorwise!F:F,MATCH(F125,Sectorwise!A:A,0))),1,0)</f>
        <v>1</v>
      </c>
      <c r="R125" s="76">
        <f>IF(N125&gt;INDEX(Sectorwise!F:F,MATCH(F125,Sectorwise!A:A,0)),1,0)</f>
        <v>0</v>
      </c>
      <c r="S125" s="27">
        <f t="shared" si="5"/>
        <v>0</v>
      </c>
      <c r="T125" s="27">
        <f t="shared" si="6"/>
        <v>28500</v>
      </c>
      <c r="U125" s="27">
        <f t="shared" si="7"/>
        <v>0</v>
      </c>
      <c r="V125" s="95">
        <f>IF(R125=1,(N125-INDEX(Sectorwise!F:F,MATCH(F125,Sectorwise!A:A,0))),0)</f>
        <v>0</v>
      </c>
      <c r="W125" s="97">
        <f>POISSON(N125,INDEX(Sectorwise!D:D,MATCH(Travel!F663,Sectorwise!A:A,0)),TRUE)</f>
        <v>1</v>
      </c>
    </row>
    <row r="126" spans="1:23" ht="15.75" hidden="1" customHeight="1" x14ac:dyDescent="0.2">
      <c r="A126" s="29" t="s">
        <v>2114</v>
      </c>
      <c r="B126" s="29" t="s">
        <v>2121</v>
      </c>
      <c r="C126" s="29"/>
      <c r="E126" s="63" t="s">
        <v>2279</v>
      </c>
      <c r="F126" s="60" t="s">
        <v>2147</v>
      </c>
      <c r="G126" s="69" t="s">
        <v>2308</v>
      </c>
      <c r="H126" s="29" t="s">
        <v>2122</v>
      </c>
      <c r="I126" s="29" t="s">
        <v>2040</v>
      </c>
      <c r="J126" s="65">
        <v>7550</v>
      </c>
      <c r="K126" s="65">
        <v>4601</v>
      </c>
      <c r="L126" s="26">
        <f t="shared" si="4"/>
        <v>12151</v>
      </c>
      <c r="M126" s="26">
        <f t="array" ref="M126">MEDIAN(IF($F$3:$F$810=F126,$L$3:$L$810))</f>
        <v>10605</v>
      </c>
      <c r="N126" s="65">
        <v>12151</v>
      </c>
      <c r="O126" s="65" t="e">
        <f>N126-#REF!</f>
        <v>#REF!</v>
      </c>
      <c r="P126" s="76">
        <f>IF(N126&lt;INDEX(Sectorwise!E:E,MATCH(F126,Sectorwise!A:A,0)),1,0)</f>
        <v>0</v>
      </c>
      <c r="Q126" s="76">
        <f>IF(AND(N126&gt;=INDEX(Sectorwise!E:E,MATCH(F126,Sectorwise!A:A,0)),N126&lt;=INDEX(Sectorwise!F:F,MATCH(F126,Sectorwise!A:A,0))),1,0)</f>
        <v>0</v>
      </c>
      <c r="R126" s="76">
        <f>IF(N126&gt;INDEX(Sectorwise!F:F,MATCH(F126,Sectorwise!A:A,0)),1,0)</f>
        <v>1</v>
      </c>
      <c r="S126" s="27">
        <f t="shared" si="5"/>
        <v>0</v>
      </c>
      <c r="T126" s="27">
        <f t="shared" si="6"/>
        <v>0</v>
      </c>
      <c r="U126" s="27">
        <f t="shared" si="7"/>
        <v>12151</v>
      </c>
      <c r="V126" s="95">
        <f>IF(R126=1,(N126-INDEX(Sectorwise!F:F,MATCH(F126,Sectorwise!A:A,0))),0)</f>
        <v>451</v>
      </c>
      <c r="W126" s="97">
        <f>POISSON(N126,INDEX(Sectorwise!D:D,MATCH(Travel!F807,Sectorwise!A:A,0)),TRUE)</f>
        <v>1</v>
      </c>
    </row>
    <row r="127" spans="1:23" ht="15.75" hidden="1" customHeight="1" x14ac:dyDescent="0.2">
      <c r="A127" s="69" t="s">
        <v>1994</v>
      </c>
      <c r="B127" s="69" t="s">
        <v>1998</v>
      </c>
      <c r="C127" s="69"/>
      <c r="E127" s="63" t="s">
        <v>2279</v>
      </c>
      <c r="F127" s="60" t="s">
        <v>2158</v>
      </c>
      <c r="G127" s="69" t="s">
        <v>2308</v>
      </c>
      <c r="H127" s="69" t="s">
        <v>1999</v>
      </c>
      <c r="I127" s="69" t="s">
        <v>1977</v>
      </c>
      <c r="J127" s="70">
        <v>17592</v>
      </c>
      <c r="K127" s="70">
        <v>2991</v>
      </c>
      <c r="L127" s="26">
        <f t="shared" si="4"/>
        <v>20583</v>
      </c>
      <c r="M127" s="26">
        <f t="array" ref="M127">MEDIAN(IF($F$3:$F$810=F127,$L$3:$L$810))</f>
        <v>20521</v>
      </c>
      <c r="N127" s="70">
        <v>20583</v>
      </c>
      <c r="O127" s="71">
        <v>0</v>
      </c>
      <c r="P127" s="76">
        <f>IF(N127&lt;INDEX(Sectorwise!E:E,MATCH(F127,Sectorwise!A:A,0)),1,0)</f>
        <v>0</v>
      </c>
      <c r="Q127" s="76">
        <f>IF(AND(N127&gt;=INDEX(Sectorwise!E:E,MATCH(F127,Sectorwise!A:A,0)),N127&lt;=INDEX(Sectorwise!F:F,MATCH(F127,Sectorwise!A:A,0))),1,0)</f>
        <v>1</v>
      </c>
      <c r="R127" s="76">
        <f>IF(N127&gt;INDEX(Sectorwise!F:F,MATCH(F127,Sectorwise!A:A,0)),1,0)</f>
        <v>0</v>
      </c>
      <c r="S127" s="27">
        <f t="shared" si="5"/>
        <v>0</v>
      </c>
      <c r="T127" s="27">
        <f t="shared" si="6"/>
        <v>20583</v>
      </c>
      <c r="U127" s="27">
        <f t="shared" si="7"/>
        <v>0</v>
      </c>
      <c r="V127" s="95">
        <f>IF(R127=1,(N127-INDEX(Sectorwise!F:F,MATCH(F127,Sectorwise!A:A,0))),0)</f>
        <v>0</v>
      </c>
      <c r="W127" s="97">
        <f>POISSON(N127,INDEX(Sectorwise!D:D,MATCH(Travel!F760,Sectorwise!A:A,0)),TRUE)</f>
        <v>1</v>
      </c>
    </row>
    <row r="128" spans="1:23" ht="15.75" hidden="1" customHeight="1" x14ac:dyDescent="0.2">
      <c r="A128" s="29" t="s">
        <v>1703</v>
      </c>
      <c r="B128" s="29" t="s">
        <v>1704</v>
      </c>
      <c r="C128" s="29"/>
      <c r="E128" s="63" t="s">
        <v>2279</v>
      </c>
      <c r="F128" s="21" t="s">
        <v>2135</v>
      </c>
      <c r="G128" s="56" t="s">
        <v>2309</v>
      </c>
      <c r="H128" s="29" t="s">
        <v>1705</v>
      </c>
      <c r="I128" s="29" t="s">
        <v>1702</v>
      </c>
      <c r="J128" s="65">
        <v>6100</v>
      </c>
      <c r="K128" s="65">
        <v>1979</v>
      </c>
      <c r="L128" s="26">
        <f t="shared" si="4"/>
        <v>8079</v>
      </c>
      <c r="M128" s="26">
        <f t="array" ref="M128">MEDIAN(IF($F$3:$F$810=F128,$L$3:$L$810))</f>
        <v>7234</v>
      </c>
      <c r="N128" s="65">
        <v>8079</v>
      </c>
      <c r="O128" s="62"/>
      <c r="P128" s="76">
        <f>IF(N128&lt;INDEX(Sectorwise!E:E,MATCH(F128,Sectorwise!A:A,0)),1,0)</f>
        <v>0</v>
      </c>
      <c r="Q128" s="76">
        <f>IF(AND(N128&gt;=INDEX(Sectorwise!E:E,MATCH(F128,Sectorwise!A:A,0)),N128&lt;=INDEX(Sectorwise!F:F,MATCH(F128,Sectorwise!A:A,0))),1,0)</f>
        <v>0</v>
      </c>
      <c r="R128" s="76">
        <f>IF(N128&gt;INDEX(Sectorwise!F:F,MATCH(F128,Sectorwise!A:A,0)),1,0)</f>
        <v>1</v>
      </c>
      <c r="S128" s="27">
        <f t="shared" si="5"/>
        <v>0</v>
      </c>
      <c r="T128" s="27">
        <f t="shared" si="6"/>
        <v>0</v>
      </c>
      <c r="U128" s="27">
        <f t="shared" si="7"/>
        <v>8079</v>
      </c>
      <c r="V128" s="95">
        <f>IF(R128=1,(N128-INDEX(Sectorwise!F:F,MATCH(F128,Sectorwise!A:A,0))),0)</f>
        <v>79</v>
      </c>
      <c r="W128" s="97">
        <f>POISSON(N128,INDEX(Sectorwise!D:D,MATCH(Travel!F646,Sectorwise!A:A,0)),TRUE)</f>
        <v>6.3169141688551593E-145</v>
      </c>
    </row>
    <row r="129" spans="1:23" ht="15.75" hidden="1" customHeight="1" x14ac:dyDescent="0.2">
      <c r="A129" s="69" t="s">
        <v>1962</v>
      </c>
      <c r="B129" s="69" t="s">
        <v>1966</v>
      </c>
      <c r="C129" s="69" t="s">
        <v>1967</v>
      </c>
      <c r="E129" s="63" t="s">
        <v>2279</v>
      </c>
      <c r="F129" s="21" t="s">
        <v>2135</v>
      </c>
      <c r="G129" s="69" t="s">
        <v>2308</v>
      </c>
      <c r="H129" s="69" t="s">
        <v>1968</v>
      </c>
      <c r="I129" s="69" t="s">
        <v>1958</v>
      </c>
      <c r="J129" s="70">
        <v>4292</v>
      </c>
      <c r="K129" s="70">
        <v>933</v>
      </c>
      <c r="L129" s="26">
        <f t="shared" si="4"/>
        <v>5225</v>
      </c>
      <c r="M129" s="26">
        <f t="array" ref="M129">MEDIAN(IF($F$3:$F$810=F129,$L$3:$L$810))</f>
        <v>7234</v>
      </c>
      <c r="N129" s="70">
        <v>5225</v>
      </c>
      <c r="O129" s="71">
        <v>5125</v>
      </c>
      <c r="P129" s="76">
        <f>IF(N129&lt;INDEX(Sectorwise!E:E,MATCH(F129,Sectorwise!A:A,0)),1,0)</f>
        <v>1</v>
      </c>
      <c r="Q129" s="76">
        <f>IF(AND(N129&gt;=INDEX(Sectorwise!E:E,MATCH(F129,Sectorwise!A:A,0)),N129&lt;=INDEX(Sectorwise!F:F,MATCH(F129,Sectorwise!A:A,0))),1,0)</f>
        <v>0</v>
      </c>
      <c r="R129" s="76">
        <f>IF(N129&gt;INDEX(Sectorwise!F:F,MATCH(F129,Sectorwise!A:A,0)),1,0)</f>
        <v>0</v>
      </c>
      <c r="S129" s="27">
        <f t="shared" si="5"/>
        <v>5225</v>
      </c>
      <c r="T129" s="27">
        <f t="shared" si="6"/>
        <v>0</v>
      </c>
      <c r="U129" s="27">
        <f t="shared" si="7"/>
        <v>0</v>
      </c>
      <c r="V129" s="95">
        <f>IF(R129=1,(N129-INDEX(Sectorwise!F:F,MATCH(F129,Sectorwise!A:A,0))),0)</f>
        <v>0</v>
      </c>
      <c r="W129" s="97">
        <f>POISSON(N129,INDEX(Sectorwise!D:D,MATCH(Travel!F750,Sectorwise!A:A,0)),TRUE)</f>
        <v>0</v>
      </c>
    </row>
    <row r="130" spans="1:23" ht="15.75" hidden="1" customHeight="1" x14ac:dyDescent="0.2">
      <c r="A130" s="29" t="s">
        <v>2114</v>
      </c>
      <c r="B130" s="29" t="s">
        <v>2119</v>
      </c>
      <c r="C130" s="29"/>
      <c r="E130" s="63" t="s">
        <v>2279</v>
      </c>
      <c r="F130" s="21" t="s">
        <v>2149</v>
      </c>
      <c r="G130" s="56" t="s">
        <v>2309</v>
      </c>
      <c r="H130" s="29" t="s">
        <v>2120</v>
      </c>
      <c r="I130" s="29" t="s">
        <v>2040</v>
      </c>
      <c r="J130" s="65">
        <v>10840</v>
      </c>
      <c r="K130" s="65">
        <v>4113</v>
      </c>
      <c r="L130" s="26">
        <f t="shared" si="4"/>
        <v>14953</v>
      </c>
      <c r="M130" s="26">
        <f t="array" ref="M130">MEDIAN(IF($F$3:$F$810=F130,$L$3:$L$810))</f>
        <v>10332</v>
      </c>
      <c r="N130" s="65">
        <v>14953</v>
      </c>
      <c r="O130" s="65" t="e">
        <f>N130-#REF!</f>
        <v>#REF!</v>
      </c>
      <c r="P130" s="76">
        <f>IF(N130&lt;INDEX(Sectorwise!E:E,MATCH(F130,Sectorwise!A:A,0)),1,0)</f>
        <v>0</v>
      </c>
      <c r="Q130" s="76">
        <f>IF(AND(N130&gt;=INDEX(Sectorwise!E:E,MATCH(F130,Sectorwise!A:A,0)),N130&lt;=INDEX(Sectorwise!F:F,MATCH(F130,Sectorwise!A:A,0))),1,0)</f>
        <v>0</v>
      </c>
      <c r="R130" s="76">
        <f>IF(N130&gt;INDEX(Sectorwise!F:F,MATCH(F130,Sectorwise!A:A,0)),1,0)</f>
        <v>1</v>
      </c>
      <c r="S130" s="27">
        <f t="shared" si="5"/>
        <v>0</v>
      </c>
      <c r="T130" s="27">
        <f t="shared" si="6"/>
        <v>0</v>
      </c>
      <c r="U130" s="27">
        <f t="shared" si="7"/>
        <v>14953</v>
      </c>
      <c r="V130" s="95">
        <f>IF(R130=1,(N130-INDEX(Sectorwise!F:F,MATCH(F130,Sectorwise!A:A,0))),0)</f>
        <v>3553</v>
      </c>
      <c r="W130" s="97">
        <f>POISSON(N130,INDEX(Sectorwise!D:D,MATCH(Travel!F806,Sectorwise!A:A,0)),TRUE)</f>
        <v>1.2297059982963528E-252</v>
      </c>
    </row>
    <row r="131" spans="1:23" ht="15.75" hidden="1" customHeight="1" x14ac:dyDescent="0.2">
      <c r="A131" s="66" t="s">
        <v>1347</v>
      </c>
      <c r="B131" s="66" t="s">
        <v>1348</v>
      </c>
      <c r="C131" s="66" t="s">
        <v>1351</v>
      </c>
      <c r="E131" s="63" t="s">
        <v>2280</v>
      </c>
      <c r="F131" s="29" t="s">
        <v>2134</v>
      </c>
      <c r="G131" s="56" t="s">
        <v>2309</v>
      </c>
      <c r="H131" s="66" t="s">
        <v>1352</v>
      </c>
      <c r="I131" s="66" t="s">
        <v>1310</v>
      </c>
      <c r="J131" s="61">
        <v>6100</v>
      </c>
      <c r="K131" s="61">
        <v>1896</v>
      </c>
      <c r="L131" s="26">
        <f t="shared" ref="L131:L194" si="8">J131+K131</f>
        <v>7996</v>
      </c>
      <c r="M131" s="26">
        <f t="array" ref="M131">MEDIAN(IF($F$3:$F$810=F131,$L$3:$L$810))</f>
        <v>7412.5</v>
      </c>
      <c r="N131" s="57">
        <f>J131+K131</f>
        <v>7996</v>
      </c>
      <c r="O131" s="62" t="e">
        <f>N131-#REF!</f>
        <v>#REF!</v>
      </c>
      <c r="P131" s="76">
        <f>IF(N131&lt;INDEX(Sectorwise!E:E,MATCH(F131,Sectorwise!A:A,0)),1,0)</f>
        <v>0</v>
      </c>
      <c r="Q131" s="76">
        <f>IF(AND(N131&gt;=INDEX(Sectorwise!E:E,MATCH(F131,Sectorwise!A:A,0)),N131&lt;=INDEX(Sectorwise!F:F,MATCH(F131,Sectorwise!A:A,0))),1,0)</f>
        <v>1</v>
      </c>
      <c r="R131" s="76">
        <f>IF(N131&gt;INDEX(Sectorwise!F:F,MATCH(F131,Sectorwise!A:A,0)),1,0)</f>
        <v>0</v>
      </c>
      <c r="S131" s="27">
        <f t="shared" ref="S131:S194" si="9">IF(P131=0,0,N131)</f>
        <v>0</v>
      </c>
      <c r="T131" s="27">
        <f t="shared" ref="T131:T194" si="10">IF(Q131=0,0,N131)</f>
        <v>7996</v>
      </c>
      <c r="U131" s="27">
        <f t="shared" ref="U131:U194" si="11">IF(R131=0,0,N131)</f>
        <v>0</v>
      </c>
      <c r="V131" s="95">
        <f>IF(R131=1,(N131-INDEX(Sectorwise!F:F,MATCH(F131,Sectorwise!A:A,0))),0)</f>
        <v>0</v>
      </c>
      <c r="W131" s="97">
        <f>POISSON(N131,INDEX(Sectorwise!D:D,MATCH(Travel!F505,Sectorwise!A:A,0)),TRUE)</f>
        <v>1</v>
      </c>
    </row>
    <row r="132" spans="1:23" ht="15.75" hidden="1" customHeight="1" x14ac:dyDescent="0.2">
      <c r="A132" s="60" t="s">
        <v>1365</v>
      </c>
      <c r="B132" s="60" t="s">
        <v>1377</v>
      </c>
      <c r="C132" s="60"/>
      <c r="E132" s="63" t="s">
        <v>2280</v>
      </c>
      <c r="F132" s="29" t="s">
        <v>2134</v>
      </c>
      <c r="G132" s="56" t="s">
        <v>2309</v>
      </c>
      <c r="H132" s="60" t="s">
        <v>1378</v>
      </c>
      <c r="I132" s="60" t="s">
        <v>1358</v>
      </c>
      <c r="J132" s="61">
        <v>6100</v>
      </c>
      <c r="K132" s="61">
        <v>1896</v>
      </c>
      <c r="L132" s="26">
        <f t="shared" si="8"/>
        <v>7996</v>
      </c>
      <c r="M132" s="26">
        <f t="array" ref="M132">MEDIAN(IF($F$3:$F$810=F132,$L$3:$L$810))</f>
        <v>7412.5</v>
      </c>
      <c r="N132" s="61">
        <v>16035</v>
      </c>
      <c r="O132" s="62">
        <v>0</v>
      </c>
      <c r="P132" s="76">
        <f>IF(N132&lt;INDEX(Sectorwise!E:E,MATCH(F132,Sectorwise!A:A,0)),1,0)</f>
        <v>0</v>
      </c>
      <c r="Q132" s="76">
        <f>IF(AND(N132&gt;=INDEX(Sectorwise!E:E,MATCH(F132,Sectorwise!A:A,0)),N132&lt;=INDEX(Sectorwise!F:F,MATCH(F132,Sectorwise!A:A,0))),1,0)</f>
        <v>0</v>
      </c>
      <c r="R132" s="76">
        <f>IF(N132&gt;INDEX(Sectorwise!F:F,MATCH(F132,Sectorwise!A:A,0)),1,0)</f>
        <v>1</v>
      </c>
      <c r="S132" s="27">
        <f t="shared" si="9"/>
        <v>0</v>
      </c>
      <c r="T132" s="27">
        <f t="shared" si="10"/>
        <v>0</v>
      </c>
      <c r="U132" s="27">
        <f t="shared" si="11"/>
        <v>16035</v>
      </c>
      <c r="V132" s="95">
        <f>IF(R132=1,(N132-INDEX(Sectorwise!F:F,MATCH(F132,Sectorwise!A:A,0))),0)</f>
        <v>7835</v>
      </c>
      <c r="W132" s="97">
        <f>POISSON(N132,INDEX(Sectorwise!D:D,MATCH(Travel!F515,Sectorwise!A:A,0)),TRUE)</f>
        <v>1</v>
      </c>
    </row>
    <row r="133" spans="1:23" ht="15.75" hidden="1" customHeight="1" x14ac:dyDescent="0.2">
      <c r="A133" s="63" t="s">
        <v>1427</v>
      </c>
      <c r="B133" s="63" t="s">
        <v>1431</v>
      </c>
      <c r="C133" s="63"/>
      <c r="E133" s="63" t="s">
        <v>2280</v>
      </c>
      <c r="F133" s="29" t="s">
        <v>2134</v>
      </c>
      <c r="G133" s="69" t="s">
        <v>2308</v>
      </c>
      <c r="H133" s="63" t="s">
        <v>1432</v>
      </c>
      <c r="I133" s="63" t="s">
        <v>1421</v>
      </c>
      <c r="J133" s="65">
        <v>4450</v>
      </c>
      <c r="K133" s="65">
        <v>3422</v>
      </c>
      <c r="L133" s="26">
        <f t="shared" si="8"/>
        <v>7872</v>
      </c>
      <c r="M133" s="26">
        <f t="array" ref="M133">MEDIAN(IF($F$3:$F$810=F133,$L$3:$L$810))</f>
        <v>7412.5</v>
      </c>
      <c r="N133" s="65">
        <v>7872</v>
      </c>
      <c r="O133" s="62">
        <v>0</v>
      </c>
      <c r="P133" s="76">
        <f>IF(N133&lt;INDEX(Sectorwise!E:E,MATCH(F133,Sectorwise!A:A,0)),1,0)</f>
        <v>0</v>
      </c>
      <c r="Q133" s="76">
        <f>IF(AND(N133&gt;=INDEX(Sectorwise!E:E,MATCH(F133,Sectorwise!A:A,0)),N133&lt;=INDEX(Sectorwise!F:F,MATCH(F133,Sectorwise!A:A,0))),1,0)</f>
        <v>1</v>
      </c>
      <c r="R133" s="76">
        <f>IF(N133&gt;INDEX(Sectorwise!F:F,MATCH(F133,Sectorwise!A:A,0)),1,0)</f>
        <v>0</v>
      </c>
      <c r="S133" s="27">
        <f t="shared" si="9"/>
        <v>0</v>
      </c>
      <c r="T133" s="27">
        <f t="shared" si="10"/>
        <v>7872</v>
      </c>
      <c r="U133" s="27">
        <f t="shared" si="11"/>
        <v>0</v>
      </c>
      <c r="V133" s="95">
        <f>IF(R133=1,(N133-INDEX(Sectorwise!F:F,MATCH(F133,Sectorwise!A:A,0))),0)</f>
        <v>0</v>
      </c>
      <c r="W133" s="97">
        <f>POISSON(N133,INDEX(Sectorwise!D:D,MATCH(Travel!F537,Sectorwise!A:A,0)),TRUE)</f>
        <v>1</v>
      </c>
    </row>
    <row r="134" spans="1:23" ht="15.75" hidden="1" customHeight="1" x14ac:dyDescent="0.2">
      <c r="A134" s="63" t="s">
        <v>1713</v>
      </c>
      <c r="B134" s="63" t="s">
        <v>1733</v>
      </c>
      <c r="C134" s="63"/>
      <c r="E134" s="63" t="s">
        <v>2280</v>
      </c>
      <c r="F134" s="29" t="s">
        <v>2134</v>
      </c>
      <c r="G134" s="69" t="s">
        <v>2308</v>
      </c>
      <c r="H134" s="63" t="s">
        <v>1734</v>
      </c>
      <c r="I134" s="63" t="s">
        <v>1712</v>
      </c>
      <c r="J134" s="65">
        <v>4450</v>
      </c>
      <c r="K134" s="65">
        <v>3561</v>
      </c>
      <c r="L134" s="26">
        <f t="shared" si="8"/>
        <v>8011</v>
      </c>
      <c r="M134" s="26">
        <f t="array" ref="M134">MEDIAN(IF($F$3:$F$810=F134,$L$3:$L$810))</f>
        <v>7412.5</v>
      </c>
      <c r="N134" s="65">
        <v>8011</v>
      </c>
      <c r="O134" s="62">
        <v>0</v>
      </c>
      <c r="P134" s="76">
        <f>IF(N134&lt;INDEX(Sectorwise!E:E,MATCH(F134,Sectorwise!A:A,0)),1,0)</f>
        <v>0</v>
      </c>
      <c r="Q134" s="76">
        <f>IF(AND(N134&gt;=INDEX(Sectorwise!E:E,MATCH(F134,Sectorwise!A:A,0)),N134&lt;=INDEX(Sectorwise!F:F,MATCH(F134,Sectorwise!A:A,0))),1,0)</f>
        <v>1</v>
      </c>
      <c r="R134" s="76">
        <f>IF(N134&gt;INDEX(Sectorwise!F:F,MATCH(F134,Sectorwise!A:A,0)),1,0)</f>
        <v>0</v>
      </c>
      <c r="S134" s="27">
        <f t="shared" si="9"/>
        <v>0</v>
      </c>
      <c r="T134" s="27">
        <f t="shared" si="10"/>
        <v>8011</v>
      </c>
      <c r="U134" s="27">
        <f t="shared" si="11"/>
        <v>0</v>
      </c>
      <c r="V134" s="95">
        <f>IF(R134=1,(N134-INDEX(Sectorwise!F:F,MATCH(F134,Sectorwise!A:A,0))),0)</f>
        <v>0</v>
      </c>
      <c r="W134" s="97">
        <f>POISSON(N134,INDEX(Sectorwise!D:D,MATCH(Travel!F656,Sectorwise!A:A,0)),TRUE)</f>
        <v>0</v>
      </c>
    </row>
    <row r="135" spans="1:23" ht="15.75" hidden="1" customHeight="1" x14ac:dyDescent="0.2">
      <c r="A135" s="60" t="s">
        <v>1060</v>
      </c>
      <c r="B135" s="60" t="s">
        <v>1061</v>
      </c>
      <c r="C135" s="60"/>
      <c r="E135" s="63" t="s">
        <v>2280</v>
      </c>
      <c r="F135" s="21" t="s">
        <v>2136</v>
      </c>
      <c r="G135" s="69" t="s">
        <v>2308</v>
      </c>
      <c r="H135" s="60" t="s">
        <v>1062</v>
      </c>
      <c r="I135" s="60" t="s">
        <v>1026</v>
      </c>
      <c r="J135" s="61">
        <v>12562</v>
      </c>
      <c r="K135" s="61">
        <v>2003</v>
      </c>
      <c r="L135" s="26">
        <f t="shared" si="8"/>
        <v>14565</v>
      </c>
      <c r="M135" s="26">
        <f t="array" ref="M135">MEDIAN(IF($F$3:$F$810=F135,$L$3:$L$810))</f>
        <v>14406</v>
      </c>
      <c r="N135" s="61">
        <v>14565</v>
      </c>
      <c r="O135" s="62">
        <v>0</v>
      </c>
      <c r="P135" s="76">
        <f>IF(N135&lt;INDEX(Sectorwise!E:E,MATCH(F135,Sectorwise!A:A,0)),1,0)</f>
        <v>0</v>
      </c>
      <c r="Q135" s="76">
        <f>IF(AND(N135&gt;=INDEX(Sectorwise!E:E,MATCH(F135,Sectorwise!A:A,0)),N135&lt;=INDEX(Sectorwise!F:F,MATCH(F135,Sectorwise!A:A,0))),1,0)</f>
        <v>1</v>
      </c>
      <c r="R135" s="76">
        <f>IF(N135&gt;INDEX(Sectorwise!F:F,MATCH(F135,Sectorwise!A:A,0)),1,0)</f>
        <v>0</v>
      </c>
      <c r="S135" s="27">
        <f t="shared" si="9"/>
        <v>0</v>
      </c>
      <c r="T135" s="27">
        <f t="shared" si="10"/>
        <v>14565</v>
      </c>
      <c r="U135" s="27">
        <f t="shared" si="11"/>
        <v>0</v>
      </c>
      <c r="V135" s="95">
        <f>IF(R135=1,(N135-INDEX(Sectorwise!F:F,MATCH(F135,Sectorwise!A:A,0))),0)</f>
        <v>0</v>
      </c>
      <c r="W135" s="97">
        <f>POISSON(N135,INDEX(Sectorwise!D:D,MATCH(Travel!F398,Sectorwise!A:A,0)),TRUE)</f>
        <v>1</v>
      </c>
    </row>
    <row r="136" spans="1:23" ht="15.75" hidden="1" customHeight="1" x14ac:dyDescent="0.2">
      <c r="A136" s="63" t="s">
        <v>1123</v>
      </c>
      <c r="B136" s="63" t="s">
        <v>1129</v>
      </c>
      <c r="C136" s="63"/>
      <c r="E136" s="63" t="s">
        <v>2280</v>
      </c>
      <c r="F136" s="63" t="s">
        <v>2136</v>
      </c>
      <c r="G136" s="63" t="s">
        <v>2312</v>
      </c>
      <c r="H136" s="63" t="s">
        <v>1130</v>
      </c>
      <c r="I136" s="63" t="s">
        <v>1104</v>
      </c>
      <c r="J136" s="65">
        <v>7719</v>
      </c>
      <c r="K136" s="65">
        <v>6121</v>
      </c>
      <c r="L136" s="26">
        <f t="shared" si="8"/>
        <v>13840</v>
      </c>
      <c r="M136" s="26">
        <f t="array" ref="M136">MEDIAN(IF($F$3:$F$810=F136,$L$3:$L$810))</f>
        <v>14406</v>
      </c>
      <c r="N136" s="65">
        <v>13840</v>
      </c>
      <c r="O136" s="62">
        <v>0</v>
      </c>
      <c r="P136" s="76">
        <f>IF(N136&lt;INDEX(Sectorwise!E:E,MATCH(F136,Sectorwise!A:A,0)),1,0)</f>
        <v>0</v>
      </c>
      <c r="Q136" s="76">
        <f>IF(AND(N136&gt;=INDEX(Sectorwise!E:E,MATCH(F136,Sectorwise!A:A,0)),N136&lt;=INDEX(Sectorwise!F:F,MATCH(F136,Sectorwise!A:A,0))),1,0)</f>
        <v>1</v>
      </c>
      <c r="R136" s="76">
        <f>IF(N136&gt;INDEX(Sectorwise!F:F,MATCH(F136,Sectorwise!A:A,0)),1,0)</f>
        <v>0</v>
      </c>
      <c r="S136" s="27">
        <f t="shared" si="9"/>
        <v>0</v>
      </c>
      <c r="T136" s="27">
        <f t="shared" si="10"/>
        <v>13840</v>
      </c>
      <c r="U136" s="27">
        <f t="shared" si="11"/>
        <v>0</v>
      </c>
      <c r="V136" s="95">
        <f>IF(R136=1,(N136-INDEX(Sectorwise!F:F,MATCH(F136,Sectorwise!A:A,0))),0)</f>
        <v>0</v>
      </c>
      <c r="W136" s="97">
        <f>POISSON(N136,INDEX(Sectorwise!D:D,MATCH(Travel!F426,Sectorwise!A:A,0)),TRUE)</f>
        <v>1</v>
      </c>
    </row>
    <row r="137" spans="1:23" ht="15.75" hidden="1" customHeight="1" x14ac:dyDescent="0.2">
      <c r="A137" s="29" t="s">
        <v>2083</v>
      </c>
      <c r="B137" s="29" t="s">
        <v>2089</v>
      </c>
      <c r="C137" s="29"/>
      <c r="E137" s="63" t="s">
        <v>2280</v>
      </c>
      <c r="F137" s="21" t="s">
        <v>2136</v>
      </c>
      <c r="G137" s="56" t="s">
        <v>2309</v>
      </c>
      <c r="H137" s="29" t="s">
        <v>2090</v>
      </c>
      <c r="I137" s="29" t="s">
        <v>2052</v>
      </c>
      <c r="J137" s="65">
        <v>10800</v>
      </c>
      <c r="K137" s="65">
        <v>3669</v>
      </c>
      <c r="L137" s="26">
        <f t="shared" si="8"/>
        <v>14469</v>
      </c>
      <c r="M137" s="26">
        <f t="array" ref="M137">MEDIAN(IF($F$3:$F$810=F137,$L$3:$L$810))</f>
        <v>14406</v>
      </c>
      <c r="N137" s="65">
        <v>14469</v>
      </c>
      <c r="O137" s="65" t="e">
        <f>N137-#REF!</f>
        <v>#REF!</v>
      </c>
      <c r="P137" s="76">
        <f>IF(N137&lt;INDEX(Sectorwise!E:E,MATCH(F137,Sectorwise!A:A,0)),1,0)</f>
        <v>0</v>
      </c>
      <c r="Q137" s="76">
        <f>IF(AND(N137&gt;=INDEX(Sectorwise!E:E,MATCH(F137,Sectorwise!A:A,0)),N137&lt;=INDEX(Sectorwise!F:F,MATCH(F137,Sectorwise!A:A,0))),1,0)</f>
        <v>1</v>
      </c>
      <c r="R137" s="76">
        <f>IF(N137&gt;INDEX(Sectorwise!F:F,MATCH(F137,Sectorwise!A:A,0)),1,0)</f>
        <v>0</v>
      </c>
      <c r="S137" s="27">
        <f t="shared" si="9"/>
        <v>0</v>
      </c>
      <c r="T137" s="27">
        <f t="shared" si="10"/>
        <v>14469</v>
      </c>
      <c r="U137" s="27">
        <f t="shared" si="11"/>
        <v>0</v>
      </c>
      <c r="V137" s="95">
        <f>IF(R137=1,(N137-INDEX(Sectorwise!F:F,MATCH(F137,Sectorwise!A:A,0))),0)</f>
        <v>0</v>
      </c>
      <c r="W137" s="97">
        <f>POISSON(N137,INDEX(Sectorwise!D:D,MATCH(Travel!F793,Sectorwise!A:A,0)),TRUE)</f>
        <v>1</v>
      </c>
    </row>
    <row r="138" spans="1:23" ht="15.75" hidden="1" customHeight="1" x14ac:dyDescent="0.2">
      <c r="A138" s="29" t="s">
        <v>2128</v>
      </c>
      <c r="B138" s="29" t="s">
        <v>2129</v>
      </c>
      <c r="C138" s="29"/>
      <c r="E138" s="63" t="s">
        <v>2280</v>
      </c>
      <c r="F138" s="21" t="s">
        <v>2136</v>
      </c>
      <c r="G138" s="56" t="s">
        <v>2309</v>
      </c>
      <c r="H138" s="29" t="s">
        <v>2130</v>
      </c>
      <c r="I138" s="29" t="s">
        <v>2131</v>
      </c>
      <c r="J138" s="65">
        <v>10800</v>
      </c>
      <c r="K138" s="65">
        <v>3669</v>
      </c>
      <c r="L138" s="26">
        <f t="shared" si="8"/>
        <v>14469</v>
      </c>
      <c r="M138" s="26">
        <f t="array" ref="M138">MEDIAN(IF($F$3:$F$810=F138,$L$3:$L$810))</f>
        <v>14406</v>
      </c>
      <c r="N138" s="65">
        <v>14469</v>
      </c>
      <c r="O138" s="65" t="e">
        <f>N138-#REF!</f>
        <v>#REF!</v>
      </c>
      <c r="P138" s="76">
        <f>IF(N138&lt;INDEX(Sectorwise!E:E,MATCH(F138,Sectorwise!A:A,0)),1,0)</f>
        <v>0</v>
      </c>
      <c r="Q138" s="76">
        <f>IF(AND(N138&gt;=INDEX(Sectorwise!E:E,MATCH(F138,Sectorwise!A:A,0)),N138&lt;=INDEX(Sectorwise!F:F,MATCH(F138,Sectorwise!A:A,0))),1,0)</f>
        <v>1</v>
      </c>
      <c r="R138" s="76">
        <f>IF(N138&gt;INDEX(Sectorwise!F:F,MATCH(F138,Sectorwise!A:A,0)),1,0)</f>
        <v>0</v>
      </c>
      <c r="S138" s="27">
        <f t="shared" si="9"/>
        <v>0</v>
      </c>
      <c r="T138" s="27">
        <f t="shared" si="10"/>
        <v>14469</v>
      </c>
      <c r="U138" s="27">
        <f t="shared" si="11"/>
        <v>0</v>
      </c>
      <c r="V138" s="95">
        <f>IF(R138=1,(N138-INDEX(Sectorwise!F:F,MATCH(F138,Sectorwise!A:A,0))),0)</f>
        <v>0</v>
      </c>
      <c r="W138" s="97">
        <f>POISSON(N138,INDEX(Sectorwise!D:D,MATCH(Travel!F810,Sectorwise!A:A,0)),TRUE)</f>
        <v>1</v>
      </c>
    </row>
    <row r="139" spans="1:23" ht="15.75" hidden="1" customHeight="1" x14ac:dyDescent="0.2">
      <c r="A139" s="63" t="s">
        <v>1189</v>
      </c>
      <c r="B139" s="63" t="s">
        <v>1198</v>
      </c>
      <c r="C139" s="63"/>
      <c r="E139" s="63" t="s">
        <v>2280</v>
      </c>
      <c r="F139" s="60" t="s">
        <v>2158</v>
      </c>
      <c r="G139" s="33" t="s">
        <v>2321</v>
      </c>
      <c r="H139" s="63" t="s">
        <v>1200</v>
      </c>
      <c r="I139" s="63" t="s">
        <v>1181</v>
      </c>
      <c r="J139" s="65">
        <v>17412</v>
      </c>
      <c r="K139" s="65">
        <v>2980</v>
      </c>
      <c r="L139" s="26">
        <f t="shared" si="8"/>
        <v>20392</v>
      </c>
      <c r="M139" s="26">
        <f t="array" ref="M139">MEDIAN(IF($F$3:$F$810=F139,$L$3:$L$810))</f>
        <v>20521</v>
      </c>
      <c r="N139" s="57">
        <f>J139+K139</f>
        <v>20392</v>
      </c>
      <c r="O139" s="62">
        <v>0</v>
      </c>
      <c r="P139" s="76">
        <f>IF(N139&lt;INDEX(Sectorwise!E:E,MATCH(F139,Sectorwise!A:A,0)),1,0)</f>
        <v>0</v>
      </c>
      <c r="Q139" s="76">
        <f>IF(AND(N139&gt;=INDEX(Sectorwise!E:E,MATCH(F139,Sectorwise!A:A,0)),N139&lt;=INDEX(Sectorwise!F:F,MATCH(F139,Sectorwise!A:A,0))),1,0)</f>
        <v>1</v>
      </c>
      <c r="R139" s="76">
        <f>IF(N139&gt;INDEX(Sectorwise!F:F,MATCH(F139,Sectorwise!A:A,0)),1,0)</f>
        <v>0</v>
      </c>
      <c r="S139" s="27">
        <f t="shared" si="9"/>
        <v>0</v>
      </c>
      <c r="T139" s="27">
        <f t="shared" si="10"/>
        <v>20392</v>
      </c>
      <c r="U139" s="27">
        <f t="shared" si="11"/>
        <v>0</v>
      </c>
      <c r="V139" s="95">
        <f>IF(R139=1,(N139-INDEX(Sectorwise!F:F,MATCH(F139,Sectorwise!A:A,0))),0)</f>
        <v>0</v>
      </c>
      <c r="W139" s="97">
        <f>POISSON(N139,INDEX(Sectorwise!D:D,MATCH(Travel!F454,Sectorwise!A:A,0)),TRUE)</f>
        <v>1</v>
      </c>
    </row>
    <row r="140" spans="1:23" ht="15.75" hidden="1" customHeight="1" x14ac:dyDescent="0.2">
      <c r="A140" s="29" t="s">
        <v>1676</v>
      </c>
      <c r="B140" s="29" t="s">
        <v>1687</v>
      </c>
      <c r="C140" s="29"/>
      <c r="E140" s="63" t="s">
        <v>2280</v>
      </c>
      <c r="F140" s="29" t="s">
        <v>2158</v>
      </c>
      <c r="G140" s="56" t="s">
        <v>2309</v>
      </c>
      <c r="H140" s="29" t="s">
        <v>1688</v>
      </c>
      <c r="I140" s="29" t="s">
        <v>1680</v>
      </c>
      <c r="J140" s="65">
        <v>12800</v>
      </c>
      <c r="K140" s="65">
        <v>7868</v>
      </c>
      <c r="L140" s="26">
        <f t="shared" si="8"/>
        <v>20668</v>
      </c>
      <c r="M140" s="26">
        <f t="array" ref="M140">MEDIAN(IF($F$3:$F$810=F140,$L$3:$L$810))</f>
        <v>20521</v>
      </c>
      <c r="N140" s="65">
        <v>20668</v>
      </c>
      <c r="O140" s="62"/>
      <c r="P140" s="76">
        <f>IF(N140&lt;INDEX(Sectorwise!E:E,MATCH(F140,Sectorwise!A:A,0)),1,0)</f>
        <v>0</v>
      </c>
      <c r="Q140" s="76">
        <f>IF(AND(N140&gt;=INDEX(Sectorwise!E:E,MATCH(F140,Sectorwise!A:A,0)),N140&lt;=INDEX(Sectorwise!F:F,MATCH(F140,Sectorwise!A:A,0))),1,0)</f>
        <v>1</v>
      </c>
      <c r="R140" s="76">
        <f>IF(N140&gt;INDEX(Sectorwise!F:F,MATCH(F140,Sectorwise!A:A,0)),1,0)</f>
        <v>0</v>
      </c>
      <c r="S140" s="27">
        <f t="shared" si="9"/>
        <v>0</v>
      </c>
      <c r="T140" s="27">
        <f t="shared" si="10"/>
        <v>20668</v>
      </c>
      <c r="U140" s="27">
        <f t="shared" si="11"/>
        <v>0</v>
      </c>
      <c r="V140" s="95">
        <f>IF(R140=1,(N140-INDEX(Sectorwise!F:F,MATCH(F140,Sectorwise!A:A,0))),0)</f>
        <v>0</v>
      </c>
      <c r="W140" s="97">
        <f>POISSON(N140,INDEX(Sectorwise!D:D,MATCH(Travel!F641,Sectorwise!A:A,0)),TRUE)</f>
        <v>1</v>
      </c>
    </row>
    <row r="141" spans="1:23" ht="15.75" hidden="1" customHeight="1" x14ac:dyDescent="0.2">
      <c r="A141" s="66" t="s">
        <v>1347</v>
      </c>
      <c r="B141" s="66" t="s">
        <v>1348</v>
      </c>
      <c r="C141" s="66" t="s">
        <v>1349</v>
      </c>
      <c r="E141" s="63" t="s">
        <v>2280</v>
      </c>
      <c r="F141" s="21" t="s">
        <v>2135</v>
      </c>
      <c r="G141" s="56" t="s">
        <v>2309</v>
      </c>
      <c r="H141" s="66" t="s">
        <v>1350</v>
      </c>
      <c r="I141" s="66" t="s">
        <v>1310</v>
      </c>
      <c r="J141" s="61">
        <v>6100</v>
      </c>
      <c r="K141" s="61">
        <v>1979</v>
      </c>
      <c r="L141" s="26">
        <f t="shared" si="8"/>
        <v>8079</v>
      </c>
      <c r="M141" s="26">
        <f t="array" ref="M141">MEDIAN(IF($F$3:$F$810=F141,$L$3:$L$810))</f>
        <v>7234</v>
      </c>
      <c r="N141" s="61">
        <v>16075</v>
      </c>
      <c r="O141" s="62" t="e">
        <f>N141-#REF!</f>
        <v>#REF!</v>
      </c>
      <c r="P141" s="76">
        <f>IF(N141&lt;INDEX(Sectorwise!E:E,MATCH(F141,Sectorwise!A:A,0)),1,0)</f>
        <v>0</v>
      </c>
      <c r="Q141" s="76">
        <f>IF(AND(N141&gt;=INDEX(Sectorwise!E:E,MATCH(F141,Sectorwise!A:A,0)),N141&lt;=INDEX(Sectorwise!F:F,MATCH(F141,Sectorwise!A:A,0))),1,0)</f>
        <v>0</v>
      </c>
      <c r="R141" s="76">
        <f>IF(N141&gt;INDEX(Sectorwise!F:F,MATCH(F141,Sectorwise!A:A,0)),1,0)</f>
        <v>1</v>
      </c>
      <c r="S141" s="27">
        <f t="shared" si="9"/>
        <v>0</v>
      </c>
      <c r="T141" s="27">
        <f t="shared" si="10"/>
        <v>0</v>
      </c>
      <c r="U141" s="27">
        <f t="shared" si="11"/>
        <v>16075</v>
      </c>
      <c r="V141" s="95">
        <f>IF(R141=1,(N141-INDEX(Sectorwise!F:F,MATCH(F141,Sectorwise!A:A,0))),0)</f>
        <v>8075</v>
      </c>
      <c r="W141" s="97">
        <f>POISSON(N141,INDEX(Sectorwise!D:D,MATCH(Travel!F504,Sectorwise!A:A,0)),TRUE)</f>
        <v>1</v>
      </c>
    </row>
    <row r="142" spans="1:23" ht="15.75" hidden="1" customHeight="1" x14ac:dyDescent="0.2">
      <c r="A142" s="60" t="s">
        <v>1365</v>
      </c>
      <c r="B142" s="60" t="s">
        <v>1377</v>
      </c>
      <c r="C142" s="60"/>
      <c r="E142" s="63" t="s">
        <v>2280</v>
      </c>
      <c r="F142" s="21" t="s">
        <v>2135</v>
      </c>
      <c r="G142" s="63" t="s">
        <v>2312</v>
      </c>
      <c r="H142" s="60" t="s">
        <v>1379</v>
      </c>
      <c r="I142" s="60" t="s">
        <v>1358</v>
      </c>
      <c r="J142" s="61">
        <v>4820</v>
      </c>
      <c r="K142" s="61">
        <v>3219</v>
      </c>
      <c r="L142" s="26">
        <f t="shared" si="8"/>
        <v>8039</v>
      </c>
      <c r="M142" s="26">
        <f t="array" ref="M142">MEDIAN(IF($F$3:$F$810=F142,$L$3:$L$810))</f>
        <v>7234</v>
      </c>
      <c r="N142" s="57">
        <f>J142+K142</f>
        <v>8039</v>
      </c>
      <c r="O142" s="62">
        <v>0</v>
      </c>
      <c r="P142" s="76">
        <f>IF(N142&lt;INDEX(Sectorwise!E:E,MATCH(F142,Sectorwise!A:A,0)),1,0)</f>
        <v>0</v>
      </c>
      <c r="Q142" s="76">
        <f>IF(AND(N142&gt;=INDEX(Sectorwise!E:E,MATCH(F142,Sectorwise!A:A,0)),N142&lt;=INDEX(Sectorwise!F:F,MATCH(F142,Sectorwise!A:A,0))),1,0)</f>
        <v>0</v>
      </c>
      <c r="R142" s="76">
        <f>IF(N142&gt;INDEX(Sectorwise!F:F,MATCH(F142,Sectorwise!A:A,0)),1,0)</f>
        <v>1</v>
      </c>
      <c r="S142" s="27">
        <f t="shared" si="9"/>
        <v>0</v>
      </c>
      <c r="T142" s="27">
        <f t="shared" si="10"/>
        <v>0</v>
      </c>
      <c r="U142" s="27">
        <f t="shared" si="11"/>
        <v>8039</v>
      </c>
      <c r="V142" s="95">
        <f>IF(R142=1,(N142-INDEX(Sectorwise!F:F,MATCH(F142,Sectorwise!A:A,0))),0)</f>
        <v>39</v>
      </c>
      <c r="W142" s="97">
        <f>POISSON(N142,INDEX(Sectorwise!D:D,MATCH(Travel!F516,Sectorwise!A:A,0)),TRUE)</f>
        <v>1</v>
      </c>
    </row>
    <row r="143" spans="1:23" ht="15.75" hidden="1" customHeight="1" x14ac:dyDescent="0.2">
      <c r="A143" s="63" t="s">
        <v>1427</v>
      </c>
      <c r="B143" s="63" t="s">
        <v>1433</v>
      </c>
      <c r="C143" s="63"/>
      <c r="E143" s="63" t="s">
        <v>2280</v>
      </c>
      <c r="F143" s="21" t="s">
        <v>2135</v>
      </c>
      <c r="G143" s="56" t="s">
        <v>2309</v>
      </c>
      <c r="H143" s="63" t="s">
        <v>1434</v>
      </c>
      <c r="I143" s="63" t="s">
        <v>1417</v>
      </c>
      <c r="J143" s="65">
        <v>6100</v>
      </c>
      <c r="K143" s="65">
        <v>1979</v>
      </c>
      <c r="L143" s="26">
        <f t="shared" si="8"/>
        <v>8079</v>
      </c>
      <c r="M143" s="26">
        <f t="array" ref="M143">MEDIAN(IF($F$3:$F$810=F143,$L$3:$L$810))</f>
        <v>7234</v>
      </c>
      <c r="N143" s="65">
        <v>8079</v>
      </c>
      <c r="O143" s="62">
        <v>0</v>
      </c>
      <c r="P143" s="76">
        <f>IF(N143&lt;INDEX(Sectorwise!E:E,MATCH(F143,Sectorwise!A:A,0)),1,0)</f>
        <v>0</v>
      </c>
      <c r="Q143" s="76">
        <f>IF(AND(N143&gt;=INDEX(Sectorwise!E:E,MATCH(F143,Sectorwise!A:A,0)),N143&lt;=INDEX(Sectorwise!F:F,MATCH(F143,Sectorwise!A:A,0))),1,0)</f>
        <v>0</v>
      </c>
      <c r="R143" s="76">
        <f>IF(N143&gt;INDEX(Sectorwise!F:F,MATCH(F143,Sectorwise!A:A,0)),1,0)</f>
        <v>1</v>
      </c>
      <c r="S143" s="27">
        <f t="shared" si="9"/>
        <v>0</v>
      </c>
      <c r="T143" s="27">
        <f t="shared" si="10"/>
        <v>0</v>
      </c>
      <c r="U143" s="27">
        <f t="shared" si="11"/>
        <v>8079</v>
      </c>
      <c r="V143" s="95">
        <f>IF(R143=1,(N143-INDEX(Sectorwise!F:F,MATCH(F143,Sectorwise!A:A,0))),0)</f>
        <v>79</v>
      </c>
      <c r="W143" s="97">
        <f>POISSON(N143,INDEX(Sectorwise!D:D,MATCH(Travel!F538,Sectorwise!A:A,0)),TRUE)</f>
        <v>0.9999999999999889</v>
      </c>
    </row>
    <row r="144" spans="1:23" ht="15.75" hidden="1" customHeight="1" x14ac:dyDescent="0.2">
      <c r="A144" s="63" t="s">
        <v>1713</v>
      </c>
      <c r="B144" s="63" t="s">
        <v>1735</v>
      </c>
      <c r="C144" s="63"/>
      <c r="E144" s="63" t="s">
        <v>2280</v>
      </c>
      <c r="F144" s="21" t="s">
        <v>2135</v>
      </c>
      <c r="G144" s="56" t="s">
        <v>2309</v>
      </c>
      <c r="H144" s="63" t="s">
        <v>1736</v>
      </c>
      <c r="I144" s="63" t="s">
        <v>1712</v>
      </c>
      <c r="J144" s="65">
        <v>6550</v>
      </c>
      <c r="K144" s="65">
        <v>2004</v>
      </c>
      <c r="L144" s="26">
        <f t="shared" si="8"/>
        <v>8554</v>
      </c>
      <c r="M144" s="26">
        <f t="array" ref="M144">MEDIAN(IF($F$3:$F$810=F144,$L$3:$L$810))</f>
        <v>7234</v>
      </c>
      <c r="N144" s="65">
        <v>8554</v>
      </c>
      <c r="O144" s="62">
        <v>0</v>
      </c>
      <c r="P144" s="76">
        <f>IF(N144&lt;INDEX(Sectorwise!E:E,MATCH(F144,Sectorwise!A:A,0)),1,0)</f>
        <v>0</v>
      </c>
      <c r="Q144" s="76">
        <f>IF(AND(N144&gt;=INDEX(Sectorwise!E:E,MATCH(F144,Sectorwise!A:A,0)),N144&lt;=INDEX(Sectorwise!F:F,MATCH(F144,Sectorwise!A:A,0))),1,0)</f>
        <v>0</v>
      </c>
      <c r="R144" s="76">
        <f>IF(N144&gt;INDEX(Sectorwise!F:F,MATCH(F144,Sectorwise!A:A,0)),1,0)</f>
        <v>1</v>
      </c>
      <c r="S144" s="27">
        <f t="shared" si="9"/>
        <v>0</v>
      </c>
      <c r="T144" s="27">
        <f t="shared" si="10"/>
        <v>0</v>
      </c>
      <c r="U144" s="27">
        <f t="shared" si="11"/>
        <v>8554</v>
      </c>
      <c r="V144" s="95">
        <f>IF(R144=1,(N144-INDEX(Sectorwise!F:F,MATCH(F144,Sectorwise!A:A,0))),0)</f>
        <v>554</v>
      </c>
      <c r="W144" s="97">
        <f>POISSON(N144,INDEX(Sectorwise!D:D,MATCH(Travel!F657,Sectorwise!A:A,0)),TRUE)</f>
        <v>1</v>
      </c>
    </row>
    <row r="145" spans="1:24" ht="15.75" hidden="1" customHeight="1" x14ac:dyDescent="0.2">
      <c r="A145" s="63" t="s">
        <v>1246</v>
      </c>
      <c r="B145" s="63" t="s">
        <v>1252</v>
      </c>
      <c r="C145" s="63"/>
      <c r="E145" s="63" t="s">
        <v>2280</v>
      </c>
      <c r="F145" s="21" t="s">
        <v>2151</v>
      </c>
      <c r="G145" s="56" t="s">
        <v>2309</v>
      </c>
      <c r="H145" s="63" t="s">
        <v>1253</v>
      </c>
      <c r="I145" s="63" t="s">
        <v>1223</v>
      </c>
      <c r="J145" s="65">
        <v>7650</v>
      </c>
      <c r="K145" s="65">
        <v>3422</v>
      </c>
      <c r="L145" s="26">
        <f t="shared" si="8"/>
        <v>11072</v>
      </c>
      <c r="M145" s="26">
        <f t="array" ref="M145">MEDIAN(IF($F$3:$F$810=F145,$L$3:$L$810))</f>
        <v>10079</v>
      </c>
      <c r="N145" s="65">
        <v>11072</v>
      </c>
      <c r="O145" s="62">
        <v>0</v>
      </c>
      <c r="P145" s="76">
        <f>IF(N145&lt;INDEX(Sectorwise!E:E,MATCH(F145,Sectorwise!A:A,0)),1,0)</f>
        <v>0</v>
      </c>
      <c r="Q145" s="76">
        <f>IF(AND(N145&gt;=INDEX(Sectorwise!E:E,MATCH(F145,Sectorwise!A:A,0)),N145&lt;=INDEX(Sectorwise!F:F,MATCH(F145,Sectorwise!A:A,0))),1,0)</f>
        <v>1</v>
      </c>
      <c r="R145" s="76">
        <f>IF(N145&gt;INDEX(Sectorwise!F:F,MATCH(F145,Sectorwise!A:A,0)),1,0)</f>
        <v>0</v>
      </c>
      <c r="S145" s="27">
        <f t="shared" si="9"/>
        <v>0</v>
      </c>
      <c r="T145" s="27">
        <f t="shared" si="10"/>
        <v>11072</v>
      </c>
      <c r="U145" s="27">
        <f t="shared" si="11"/>
        <v>0</v>
      </c>
      <c r="V145" s="95">
        <f>IF(R145=1,(N145-INDEX(Sectorwise!F:F,MATCH(F145,Sectorwise!A:A,0))),0)</f>
        <v>0</v>
      </c>
      <c r="W145" s="97">
        <f>POISSON(N145,INDEX(Sectorwise!D:D,MATCH(Travel!F471,Sectorwise!A:A,0)),TRUE)</f>
        <v>0</v>
      </c>
    </row>
    <row r="146" spans="1:24" ht="15.75" hidden="1" customHeight="1" x14ac:dyDescent="0.2">
      <c r="A146" s="63" t="s">
        <v>1246</v>
      </c>
      <c r="B146" s="63" t="s">
        <v>1254</v>
      </c>
      <c r="C146" s="63"/>
      <c r="E146" s="63" t="s">
        <v>2280</v>
      </c>
      <c r="F146" s="21" t="s">
        <v>2149</v>
      </c>
      <c r="G146" s="63" t="s">
        <v>2312</v>
      </c>
      <c r="H146" s="63" t="s">
        <v>1255</v>
      </c>
      <c r="I146" s="63" t="s">
        <v>1223</v>
      </c>
      <c r="J146" s="65">
        <v>6440</v>
      </c>
      <c r="K146" s="65">
        <v>5126</v>
      </c>
      <c r="L146" s="26">
        <f t="shared" si="8"/>
        <v>11566</v>
      </c>
      <c r="M146" s="26">
        <f t="array" ref="M146">MEDIAN(IF($F$3:$F$810=F146,$L$3:$L$810))</f>
        <v>10332</v>
      </c>
      <c r="N146" s="65">
        <v>11566</v>
      </c>
      <c r="O146" s="62">
        <v>0</v>
      </c>
      <c r="P146" s="76">
        <f>IF(N146&lt;INDEX(Sectorwise!E:E,MATCH(F146,Sectorwise!A:A,0)),1,0)</f>
        <v>0</v>
      </c>
      <c r="Q146" s="76">
        <f>IF(AND(N146&gt;=INDEX(Sectorwise!E:E,MATCH(F146,Sectorwise!A:A,0)),N146&lt;=INDEX(Sectorwise!F:F,MATCH(F146,Sectorwise!A:A,0))),1,0)</f>
        <v>0</v>
      </c>
      <c r="R146" s="76">
        <f>IF(N146&gt;INDEX(Sectorwise!F:F,MATCH(F146,Sectorwise!A:A,0)),1,0)</f>
        <v>1</v>
      </c>
      <c r="S146" s="27">
        <f t="shared" si="9"/>
        <v>0</v>
      </c>
      <c r="T146" s="27">
        <f t="shared" si="10"/>
        <v>0</v>
      </c>
      <c r="U146" s="27">
        <f t="shared" si="11"/>
        <v>11566</v>
      </c>
      <c r="V146" s="95">
        <f>IF(R146=1,(N146-INDEX(Sectorwise!F:F,MATCH(F146,Sectorwise!A:A,0))),0)</f>
        <v>166</v>
      </c>
      <c r="W146" s="97">
        <f>POISSON(N146,INDEX(Sectorwise!D:D,MATCH(Travel!F472,Sectorwise!A:A,0)),TRUE)</f>
        <v>1</v>
      </c>
    </row>
    <row r="147" spans="1:24" ht="15.75" hidden="1" customHeight="1" x14ac:dyDescent="0.2">
      <c r="A147" s="21" t="s">
        <v>652</v>
      </c>
      <c r="B147" s="21" t="s">
        <v>653</v>
      </c>
      <c r="C147" s="22"/>
      <c r="E147" s="21" t="s">
        <v>550</v>
      </c>
      <c r="F147" s="21" t="s">
        <v>2144</v>
      </c>
      <c r="G147" s="69" t="s">
        <v>2308</v>
      </c>
      <c r="H147" s="21" t="s">
        <v>654</v>
      </c>
      <c r="I147" s="21" t="s">
        <v>621</v>
      </c>
      <c r="J147" s="25">
        <v>1418</v>
      </c>
      <c r="K147" s="25">
        <v>3313</v>
      </c>
      <c r="L147" s="26">
        <f t="shared" si="8"/>
        <v>4731</v>
      </c>
      <c r="M147" s="26">
        <f t="array" ref="M147">MEDIAN(IF($F$3:$F$810=F147,$L$3:$L$810))</f>
        <v>9066</v>
      </c>
      <c r="N147" s="47">
        <v>4731</v>
      </c>
      <c r="O147" s="55"/>
      <c r="P147" s="76">
        <f>IF(N147&lt;INDEX(Sectorwise!E:E,MATCH(F147,Sectorwise!A:A,0)),1,0)</f>
        <v>1</v>
      </c>
      <c r="Q147" s="76">
        <f>IF(AND(N147&gt;=INDEX(Sectorwise!E:E,MATCH(F147,Sectorwise!A:A,0)),N147&lt;=INDEX(Sectorwise!F:F,MATCH(F147,Sectorwise!A:A,0))),1,0)</f>
        <v>0</v>
      </c>
      <c r="R147" s="76">
        <f>IF(N147&gt;INDEX(Sectorwise!F:F,MATCH(F147,Sectorwise!A:A,0)),1,0)</f>
        <v>0</v>
      </c>
      <c r="S147" s="27">
        <f t="shared" si="9"/>
        <v>4731</v>
      </c>
      <c r="T147" s="27">
        <f t="shared" si="10"/>
        <v>0</v>
      </c>
      <c r="U147" s="27">
        <f t="shared" si="11"/>
        <v>0</v>
      </c>
      <c r="V147" s="95">
        <f>IF(R147=1,(N147-INDEX(Sectorwise!F:F,MATCH(F147,Sectorwise!A:A,0))),0)</f>
        <v>0</v>
      </c>
      <c r="W147" s="97">
        <f>POISSON(N147,INDEX(Sectorwise!D:D,MATCH(Travel!F247,Sectorwise!A:A,0)),TRUE)</f>
        <v>5.0377374938957989E-217</v>
      </c>
    </row>
    <row r="148" spans="1:24" ht="15.75" hidden="1" customHeight="1" x14ac:dyDescent="0.2">
      <c r="A148" s="21" t="s">
        <v>630</v>
      </c>
      <c r="B148" s="21" t="s">
        <v>647</v>
      </c>
      <c r="C148" s="22"/>
      <c r="E148" s="21" t="s">
        <v>550</v>
      </c>
      <c r="F148" s="21" t="s">
        <v>2154</v>
      </c>
      <c r="G148" s="69" t="s">
        <v>2308</v>
      </c>
      <c r="H148" s="21" t="s">
        <v>648</v>
      </c>
      <c r="I148" s="21" t="s">
        <v>621</v>
      </c>
      <c r="J148" s="25">
        <v>1418</v>
      </c>
      <c r="K148" s="25">
        <v>3396</v>
      </c>
      <c r="L148" s="26">
        <f t="shared" si="8"/>
        <v>4814</v>
      </c>
      <c r="M148" s="26">
        <f t="array" ref="M148">MEDIAN(IF($F$3:$F$810=F148,$L$3:$L$810))</f>
        <v>9477</v>
      </c>
      <c r="N148" s="47">
        <v>4814</v>
      </c>
      <c r="O148" s="55"/>
      <c r="P148" s="76">
        <f>IF(N148&lt;INDEX(Sectorwise!E:E,MATCH(F148,Sectorwise!A:A,0)),1,0)</f>
        <v>1</v>
      </c>
      <c r="Q148" s="76">
        <f>IF(AND(N148&gt;=INDEX(Sectorwise!E:E,MATCH(F148,Sectorwise!A:A,0)),N148&lt;=INDEX(Sectorwise!F:F,MATCH(F148,Sectorwise!A:A,0))),1,0)</f>
        <v>0</v>
      </c>
      <c r="R148" s="76">
        <f>IF(N148&gt;INDEX(Sectorwise!F:F,MATCH(F148,Sectorwise!A:A,0)),1,0)</f>
        <v>0</v>
      </c>
      <c r="S148" s="27">
        <f t="shared" si="9"/>
        <v>4814</v>
      </c>
      <c r="T148" s="27">
        <f t="shared" si="10"/>
        <v>0</v>
      </c>
      <c r="U148" s="27">
        <f t="shared" si="11"/>
        <v>0</v>
      </c>
      <c r="V148" s="95">
        <f>IF(R148=1,(N148-INDEX(Sectorwise!F:F,MATCH(F148,Sectorwise!A:A,0))),0)</f>
        <v>0</v>
      </c>
      <c r="W148" s="97">
        <f>POISSON(N148,INDEX(Sectorwise!D:D,MATCH(Travel!F244,Sectorwise!A:A,0)),TRUE)</f>
        <v>5.0819812943174183E-202</v>
      </c>
    </row>
    <row r="149" spans="1:24" ht="15.75" hidden="1" customHeight="1" x14ac:dyDescent="0.2">
      <c r="A149" s="53" t="s">
        <v>542</v>
      </c>
      <c r="B149" s="54" t="s">
        <v>549</v>
      </c>
      <c r="C149" s="22"/>
      <c r="D149" s="32"/>
      <c r="E149" s="21" t="s">
        <v>550</v>
      </c>
      <c r="F149" s="29" t="s">
        <v>2134</v>
      </c>
      <c r="G149" s="69" t="s">
        <v>2308</v>
      </c>
      <c r="H149" s="21" t="s">
        <v>551</v>
      </c>
      <c r="I149" s="21" t="s">
        <v>542</v>
      </c>
      <c r="J149" s="25">
        <v>744</v>
      </c>
      <c r="K149" s="25">
        <v>2427</v>
      </c>
      <c r="L149" s="26">
        <f t="shared" si="8"/>
        <v>3171</v>
      </c>
      <c r="M149" s="26">
        <f t="array" ref="M149">MEDIAN(IF($F$3:$F$810=F149,$L$3:$L$810))</f>
        <v>7412.5</v>
      </c>
      <c r="N149" s="47">
        <v>3171</v>
      </c>
      <c r="O149" s="27"/>
      <c r="P149" s="76">
        <f>IF(N149&lt;INDEX(Sectorwise!E:E,MATCH(F149,Sectorwise!A:A,0)),1,0)</f>
        <v>1</v>
      </c>
      <c r="Q149" s="76">
        <f>IF(AND(N149&gt;=INDEX(Sectorwise!E:E,MATCH(F149,Sectorwise!A:A,0)),N149&lt;=INDEX(Sectorwise!F:F,MATCH(F149,Sectorwise!A:A,0))),1,0)</f>
        <v>0</v>
      </c>
      <c r="R149" s="76">
        <f>IF(N149&gt;INDEX(Sectorwise!F:F,MATCH(F149,Sectorwise!A:A,0)),1,0)</f>
        <v>0</v>
      </c>
      <c r="S149" s="27">
        <f t="shared" si="9"/>
        <v>3171</v>
      </c>
      <c r="T149" s="27">
        <f t="shared" si="10"/>
        <v>0</v>
      </c>
      <c r="U149" s="27">
        <f t="shared" si="11"/>
        <v>0</v>
      </c>
      <c r="V149" s="95">
        <f>IF(R149=1,(N149-INDEX(Sectorwise!F:F,MATCH(F149,Sectorwise!A:A,0))),0)</f>
        <v>0</v>
      </c>
      <c r="W149" s="97">
        <f>POISSON(N149,INDEX(Sectorwise!D:D,MATCH(Travel!F205,Sectorwise!A:A,0)),TRUE)</f>
        <v>0</v>
      </c>
    </row>
    <row r="150" spans="1:24" ht="15.75" hidden="1" customHeight="1" x14ac:dyDescent="0.2">
      <c r="A150" s="21" t="s">
        <v>722</v>
      </c>
      <c r="B150" s="24" t="s">
        <v>723</v>
      </c>
      <c r="C150" s="52" t="s">
        <v>724</v>
      </c>
      <c r="D150" s="32"/>
      <c r="E150" s="21" t="s">
        <v>379</v>
      </c>
      <c r="F150" s="21" t="s">
        <v>2136</v>
      </c>
      <c r="G150" s="69" t="s">
        <v>2308</v>
      </c>
      <c r="H150" s="21" t="s">
        <v>725</v>
      </c>
      <c r="I150" s="21" t="s">
        <v>680</v>
      </c>
      <c r="J150" s="25">
        <v>7956</v>
      </c>
      <c r="K150" s="25">
        <v>1747</v>
      </c>
      <c r="L150" s="26">
        <f t="shared" si="8"/>
        <v>9703</v>
      </c>
      <c r="M150" s="26">
        <f t="array" ref="M150">MEDIAN(IF($F$3:$F$810=F150,$L$3:$L$810))</f>
        <v>14406</v>
      </c>
      <c r="N150" s="47">
        <v>9703</v>
      </c>
      <c r="O150" s="55">
        <v>4795</v>
      </c>
      <c r="P150" s="76">
        <f>IF(N150&lt;INDEX(Sectorwise!E:E,MATCH(F150,Sectorwise!A:A,0)),1,0)</f>
        <v>1</v>
      </c>
      <c r="Q150" s="76">
        <f>IF(AND(N150&gt;=INDEX(Sectorwise!E:E,MATCH(F150,Sectorwise!A:A,0)),N150&lt;=INDEX(Sectorwise!F:F,MATCH(F150,Sectorwise!A:A,0))),1,0)</f>
        <v>0</v>
      </c>
      <c r="R150" s="76">
        <f>IF(N150&gt;INDEX(Sectorwise!F:F,MATCH(F150,Sectorwise!A:A,0)),1,0)</f>
        <v>0</v>
      </c>
      <c r="S150" s="27">
        <f t="shared" si="9"/>
        <v>9703</v>
      </c>
      <c r="T150" s="27">
        <f t="shared" si="10"/>
        <v>0</v>
      </c>
      <c r="U150" s="27">
        <f t="shared" si="11"/>
        <v>0</v>
      </c>
      <c r="V150" s="95">
        <f>IF(R150=1,(N150-INDEX(Sectorwise!F:F,MATCH(F150,Sectorwise!A:A,0))),0)</f>
        <v>0</v>
      </c>
      <c r="W150" s="97">
        <f>POISSON(N150,INDEX(Sectorwise!D:D,MATCH(Travel!F273,Sectorwise!A:A,0)),TRUE)</f>
        <v>1</v>
      </c>
    </row>
    <row r="151" spans="1:24" ht="15.75" hidden="1" customHeight="1" x14ac:dyDescent="0.2">
      <c r="A151" s="33" t="s">
        <v>358</v>
      </c>
      <c r="B151" s="33" t="s">
        <v>378</v>
      </c>
      <c r="C151" s="40"/>
      <c r="D151" s="35"/>
      <c r="E151" s="33" t="s">
        <v>379</v>
      </c>
      <c r="F151" s="21" t="s">
        <v>2135</v>
      </c>
      <c r="G151" s="69" t="s">
        <v>2308</v>
      </c>
      <c r="H151" s="33" t="s">
        <v>380</v>
      </c>
      <c r="I151" s="33" t="s">
        <v>363</v>
      </c>
      <c r="J151" s="42">
        <v>5924</v>
      </c>
      <c r="K151" s="45">
        <v>1024</v>
      </c>
      <c r="L151" s="26">
        <f t="shared" si="8"/>
        <v>6948</v>
      </c>
      <c r="M151" s="26">
        <f t="array" ref="M151">MEDIAN(IF($F$3:$F$810=F151,$L$3:$L$810))</f>
        <v>7234</v>
      </c>
      <c r="N151" s="43">
        <f>+J151+K151</f>
        <v>6948</v>
      </c>
      <c r="O151" s="38"/>
      <c r="P151" s="76">
        <f>IF(N151&lt;INDEX(Sectorwise!E:E,MATCH(F151,Sectorwise!A:A,0)),1,0)</f>
        <v>0</v>
      </c>
      <c r="Q151" s="76">
        <f>IF(AND(N151&gt;=INDEX(Sectorwise!E:E,MATCH(F151,Sectorwise!A:A,0)),N151&lt;=INDEX(Sectorwise!F:F,MATCH(F151,Sectorwise!A:A,0))),1,0)</f>
        <v>1</v>
      </c>
      <c r="R151" s="76">
        <f>IF(N151&gt;INDEX(Sectorwise!F:F,MATCH(F151,Sectorwise!A:A,0)),1,0)</f>
        <v>0</v>
      </c>
      <c r="S151" s="27">
        <f t="shared" si="9"/>
        <v>0</v>
      </c>
      <c r="T151" s="27">
        <f t="shared" si="10"/>
        <v>6948</v>
      </c>
      <c r="U151" s="27">
        <f t="shared" si="11"/>
        <v>0</v>
      </c>
      <c r="V151" s="95">
        <f>IF(R151=1,(N151-INDEX(Sectorwise!F:F,MATCH(F151,Sectorwise!A:A,0))),0)</f>
        <v>0</v>
      </c>
      <c r="W151" s="97">
        <f>POISSON(N151,INDEX(Sectorwise!D:D,MATCH(Travel!F141,Sectorwise!A:A,0)),TRUE)</f>
        <v>3.6612336284772316E-4</v>
      </c>
      <c r="X151" s="44">
        <f>+N151-O151</f>
        <v>6948</v>
      </c>
    </row>
    <row r="152" spans="1:24" ht="15.75" hidden="1" customHeight="1" x14ac:dyDescent="0.2">
      <c r="A152" s="60" t="s">
        <v>1006</v>
      </c>
      <c r="B152" s="60" t="s">
        <v>1007</v>
      </c>
      <c r="C152" s="60"/>
      <c r="E152" s="60" t="s">
        <v>379</v>
      </c>
      <c r="F152" s="21" t="s">
        <v>2135</v>
      </c>
      <c r="G152" s="60" t="s">
        <v>2316</v>
      </c>
      <c r="H152" s="60" t="s">
        <v>1008</v>
      </c>
      <c r="I152" s="60" t="s">
        <v>998</v>
      </c>
      <c r="J152" s="61">
        <v>3940</v>
      </c>
      <c r="K152" s="61">
        <v>3297</v>
      </c>
      <c r="L152" s="26">
        <f t="shared" si="8"/>
        <v>7237</v>
      </c>
      <c r="M152" s="26">
        <f t="array" ref="M152">MEDIAN(IF($F$3:$F$810=F152,$L$3:$L$810))</f>
        <v>7234</v>
      </c>
      <c r="N152" s="61">
        <v>7237</v>
      </c>
      <c r="O152" s="62">
        <v>0</v>
      </c>
      <c r="P152" s="76">
        <f>IF(N152&lt;INDEX(Sectorwise!E:E,MATCH(F152,Sectorwise!A:A,0)),1,0)</f>
        <v>0</v>
      </c>
      <c r="Q152" s="76">
        <f>IF(AND(N152&gt;=INDEX(Sectorwise!E:E,MATCH(F152,Sectorwise!A:A,0)),N152&lt;=INDEX(Sectorwise!F:F,MATCH(F152,Sectorwise!A:A,0))),1,0)</f>
        <v>1</v>
      </c>
      <c r="R152" s="76">
        <f>IF(N152&gt;INDEX(Sectorwise!F:F,MATCH(F152,Sectorwise!A:A,0)),1,0)</f>
        <v>0</v>
      </c>
      <c r="S152" s="27">
        <f t="shared" si="9"/>
        <v>0</v>
      </c>
      <c r="T152" s="27">
        <f t="shared" si="10"/>
        <v>7237</v>
      </c>
      <c r="U152" s="27">
        <f t="shared" si="11"/>
        <v>0</v>
      </c>
      <c r="V152" s="95">
        <f>IF(R152=1,(N152-INDEX(Sectorwise!F:F,MATCH(F152,Sectorwise!A:A,0))),0)</f>
        <v>0</v>
      </c>
      <c r="W152" s="97">
        <f>POISSON(N152,INDEX(Sectorwise!D:D,MATCH(Travel!F377,Sectorwise!A:A,0)),TRUE)</f>
        <v>1.1541823373050177E-195</v>
      </c>
    </row>
    <row r="153" spans="1:24" ht="15.75" hidden="1" customHeight="1" x14ac:dyDescent="0.2">
      <c r="A153" s="60" t="s">
        <v>1394</v>
      </c>
      <c r="B153" s="60" t="s">
        <v>1397</v>
      </c>
      <c r="C153" s="60"/>
      <c r="E153" s="60" t="s">
        <v>1398</v>
      </c>
      <c r="F153" s="29" t="s">
        <v>2134</v>
      </c>
      <c r="G153" s="56" t="s">
        <v>2309</v>
      </c>
      <c r="H153" s="60" t="s">
        <v>1399</v>
      </c>
      <c r="I153" s="60" t="s">
        <v>1389</v>
      </c>
      <c r="J153" s="61">
        <v>6100</v>
      </c>
      <c r="K153" s="61">
        <v>1896</v>
      </c>
      <c r="L153" s="26">
        <f t="shared" si="8"/>
        <v>7996</v>
      </c>
      <c r="M153" s="26">
        <f t="array" ref="M153">MEDIAN(IF($F$3:$F$810=F153,$L$3:$L$810))</f>
        <v>7412.5</v>
      </c>
      <c r="N153" s="61">
        <v>15824</v>
      </c>
      <c r="O153" s="62">
        <v>0</v>
      </c>
      <c r="P153" s="76">
        <f>IF(N153&lt;INDEX(Sectorwise!E:E,MATCH(F153,Sectorwise!A:A,0)),1,0)</f>
        <v>0</v>
      </c>
      <c r="Q153" s="76">
        <f>IF(AND(N153&gt;=INDEX(Sectorwise!E:E,MATCH(F153,Sectorwise!A:A,0)),N153&lt;=INDEX(Sectorwise!F:F,MATCH(F153,Sectorwise!A:A,0))),1,0)</f>
        <v>0</v>
      </c>
      <c r="R153" s="76">
        <f>IF(N153&gt;INDEX(Sectorwise!F:F,MATCH(F153,Sectorwise!A:A,0)),1,0)</f>
        <v>1</v>
      </c>
      <c r="S153" s="27">
        <f t="shared" si="9"/>
        <v>0</v>
      </c>
      <c r="T153" s="27">
        <f t="shared" si="10"/>
        <v>0</v>
      </c>
      <c r="U153" s="27">
        <f t="shared" si="11"/>
        <v>15824</v>
      </c>
      <c r="V153" s="95">
        <f>IF(R153=1,(N153-INDEX(Sectorwise!F:F,MATCH(F153,Sectorwise!A:A,0))),0)</f>
        <v>7624</v>
      </c>
      <c r="W153" s="97">
        <f>POISSON(N153,INDEX(Sectorwise!D:D,MATCH(Travel!F523,Sectorwise!A:A,0)),TRUE)</f>
        <v>1</v>
      </c>
    </row>
    <row r="154" spans="1:24" ht="15.75" hidden="1" customHeight="1" x14ac:dyDescent="0.2">
      <c r="A154" s="60" t="s">
        <v>1394</v>
      </c>
      <c r="B154" s="60" t="s">
        <v>1397</v>
      </c>
      <c r="C154" s="60"/>
      <c r="E154" s="60" t="s">
        <v>1398</v>
      </c>
      <c r="F154" s="21" t="s">
        <v>2135</v>
      </c>
      <c r="G154" s="63" t="s">
        <v>2312</v>
      </c>
      <c r="H154" s="60" t="s">
        <v>1400</v>
      </c>
      <c r="I154" s="60" t="s">
        <v>1389</v>
      </c>
      <c r="J154" s="61">
        <v>4620</v>
      </c>
      <c r="K154" s="61">
        <v>3208</v>
      </c>
      <c r="L154" s="26">
        <f t="shared" si="8"/>
        <v>7828</v>
      </c>
      <c r="M154" s="26">
        <f t="array" ref="M154">MEDIAN(IF($F$3:$F$810=F154,$L$3:$L$810))</f>
        <v>7234</v>
      </c>
      <c r="N154" s="57">
        <f>J154+K154</f>
        <v>7828</v>
      </c>
      <c r="O154" s="62">
        <v>0</v>
      </c>
      <c r="P154" s="76">
        <f>IF(N154&lt;INDEX(Sectorwise!E:E,MATCH(F154,Sectorwise!A:A,0)),1,0)</f>
        <v>0</v>
      </c>
      <c r="Q154" s="76">
        <f>IF(AND(N154&gt;=INDEX(Sectorwise!E:E,MATCH(F154,Sectorwise!A:A,0)),N154&lt;=INDEX(Sectorwise!F:F,MATCH(F154,Sectorwise!A:A,0))),1,0)</f>
        <v>1</v>
      </c>
      <c r="R154" s="76">
        <f>IF(N154&gt;INDEX(Sectorwise!F:F,MATCH(F154,Sectorwise!A:A,0)),1,0)</f>
        <v>0</v>
      </c>
      <c r="S154" s="27">
        <f t="shared" si="9"/>
        <v>0</v>
      </c>
      <c r="T154" s="27">
        <f t="shared" si="10"/>
        <v>7828</v>
      </c>
      <c r="U154" s="27">
        <f t="shared" si="11"/>
        <v>0</v>
      </c>
      <c r="V154" s="95">
        <f>IF(R154=1,(N154-INDEX(Sectorwise!F:F,MATCH(F154,Sectorwise!A:A,0))),0)</f>
        <v>0</v>
      </c>
      <c r="W154" s="97">
        <f>POISSON(N154,INDEX(Sectorwise!D:D,MATCH(Travel!F524,Sectorwise!A:A,0)),TRUE)</f>
        <v>0.99999916430914437</v>
      </c>
    </row>
    <row r="155" spans="1:24" ht="15.75" hidden="1" customHeight="1" x14ac:dyDescent="0.2">
      <c r="A155" s="69" t="s">
        <v>2026</v>
      </c>
      <c r="B155" s="69" t="s">
        <v>2031</v>
      </c>
      <c r="C155" s="69"/>
      <c r="E155" s="63" t="s">
        <v>2282</v>
      </c>
      <c r="F155" s="60" t="s">
        <v>2237</v>
      </c>
      <c r="G155" s="69" t="s">
        <v>2308</v>
      </c>
      <c r="H155" s="69" t="s">
        <v>2032</v>
      </c>
      <c r="I155" s="69" t="s">
        <v>1785</v>
      </c>
      <c r="J155" s="70">
        <v>17184</v>
      </c>
      <c r="K155" s="70">
        <v>2049</v>
      </c>
      <c r="L155" s="26">
        <f t="shared" si="8"/>
        <v>19233</v>
      </c>
      <c r="M155" s="26">
        <f t="array" ref="M155">MEDIAN(IF($F$3:$F$810=F155,$L$3:$L$810))</f>
        <v>19030</v>
      </c>
      <c r="N155" s="70">
        <v>38466</v>
      </c>
      <c r="O155" s="71">
        <v>0</v>
      </c>
      <c r="P155" s="76">
        <f>IF(N155&lt;INDEX(Sectorwise!E:E,MATCH(F155,Sectorwise!A:A,0)),1,0)</f>
        <v>0</v>
      </c>
      <c r="Q155" s="76">
        <f>IF(AND(N155&gt;=INDEX(Sectorwise!E:E,MATCH(F155,Sectorwise!A:A,0)),N155&lt;=INDEX(Sectorwise!F:F,MATCH(F155,Sectorwise!A:A,0))),1,0)</f>
        <v>0</v>
      </c>
      <c r="R155" s="76">
        <f>IF(N155&gt;INDEX(Sectorwise!F:F,MATCH(F155,Sectorwise!A:A,0)),1,0)</f>
        <v>1</v>
      </c>
      <c r="S155" s="27">
        <f t="shared" si="9"/>
        <v>0</v>
      </c>
      <c r="T155" s="27">
        <f t="shared" si="10"/>
        <v>0</v>
      </c>
      <c r="U155" s="27">
        <f t="shared" si="11"/>
        <v>38466</v>
      </c>
      <c r="V155" s="95">
        <f>IF(R155=1,(N155-INDEX(Sectorwise!F:F,MATCH(F155,Sectorwise!A:A,0))),0)</f>
        <v>17466</v>
      </c>
      <c r="W155" s="97">
        <f>POISSON(N155,INDEX(Sectorwise!D:D,MATCH(Travel!F773,Sectorwise!A:A,0)),TRUE)</f>
        <v>1</v>
      </c>
    </row>
    <row r="156" spans="1:24" ht="15.75" hidden="1" customHeight="1" x14ac:dyDescent="0.2">
      <c r="A156" s="60" t="s">
        <v>912</v>
      </c>
      <c r="B156" s="60" t="s">
        <v>915</v>
      </c>
      <c r="C156" s="60"/>
      <c r="E156" s="63" t="s">
        <v>2282</v>
      </c>
      <c r="F156" s="29" t="s">
        <v>2134</v>
      </c>
      <c r="G156" s="63" t="s">
        <v>2312</v>
      </c>
      <c r="H156" s="60" t="s">
        <v>919</v>
      </c>
      <c r="I156" s="60" t="s">
        <v>918</v>
      </c>
      <c r="J156" s="61">
        <v>4110</v>
      </c>
      <c r="K156" s="61">
        <v>3097</v>
      </c>
      <c r="L156" s="26">
        <f t="shared" si="8"/>
        <v>7207</v>
      </c>
      <c r="M156" s="26">
        <f t="array" ref="M156">MEDIAN(IF($F$3:$F$810=F156,$L$3:$L$810))</f>
        <v>7412.5</v>
      </c>
      <c r="N156" s="57">
        <f>J156+K156</f>
        <v>7207</v>
      </c>
      <c r="O156" s="62">
        <v>0</v>
      </c>
      <c r="P156" s="76">
        <f>IF(N156&lt;INDEX(Sectorwise!E:E,MATCH(F156,Sectorwise!A:A,0)),1,0)</f>
        <v>0</v>
      </c>
      <c r="Q156" s="76">
        <f>IF(AND(N156&gt;=INDEX(Sectorwise!E:E,MATCH(F156,Sectorwise!A:A,0)),N156&lt;=INDEX(Sectorwise!F:F,MATCH(F156,Sectorwise!A:A,0))),1,0)</f>
        <v>1</v>
      </c>
      <c r="R156" s="76">
        <f>IF(N156&gt;INDEX(Sectorwise!F:F,MATCH(F156,Sectorwise!A:A,0)),1,0)</f>
        <v>0</v>
      </c>
      <c r="S156" s="27">
        <f t="shared" si="9"/>
        <v>0</v>
      </c>
      <c r="T156" s="27">
        <f t="shared" si="10"/>
        <v>7207</v>
      </c>
      <c r="U156" s="27">
        <f t="shared" si="11"/>
        <v>0</v>
      </c>
      <c r="V156" s="95">
        <f>IF(R156=1,(N156-INDEX(Sectorwise!F:F,MATCH(F156,Sectorwise!A:A,0))),0)</f>
        <v>0</v>
      </c>
      <c r="W156" s="97">
        <f>POISSON(N156,INDEX(Sectorwise!D:D,MATCH(Travel!F343,Sectorwise!A:A,0)),TRUE)</f>
        <v>8.419025067419459E-3</v>
      </c>
    </row>
    <row r="157" spans="1:24" ht="15.75" hidden="1" customHeight="1" x14ac:dyDescent="0.2">
      <c r="A157" s="63" t="s">
        <v>1823</v>
      </c>
      <c r="B157" s="63" t="s">
        <v>1824</v>
      </c>
      <c r="C157" s="63"/>
      <c r="E157" s="63" t="s">
        <v>2282</v>
      </c>
      <c r="F157" s="21" t="s">
        <v>2136</v>
      </c>
      <c r="G157" s="60" t="s">
        <v>2316</v>
      </c>
      <c r="H157" s="63" t="s">
        <v>1828</v>
      </c>
      <c r="I157" s="63" t="s">
        <v>1827</v>
      </c>
      <c r="J157" s="65">
        <v>8450</v>
      </c>
      <c r="K157" s="65">
        <v>6979</v>
      </c>
      <c r="L157" s="26">
        <f t="shared" si="8"/>
        <v>15429</v>
      </c>
      <c r="M157" s="26">
        <f t="array" ref="M157">MEDIAN(IF($F$3:$F$810=F157,$L$3:$L$810))</f>
        <v>14406</v>
      </c>
      <c r="N157" s="57">
        <f>J157+K157</f>
        <v>15429</v>
      </c>
      <c r="O157" s="62">
        <v>0</v>
      </c>
      <c r="P157" s="76">
        <f>IF(N157&lt;INDEX(Sectorwise!E:E,MATCH(F157,Sectorwise!A:A,0)),1,0)</f>
        <v>0</v>
      </c>
      <c r="Q157" s="76">
        <f>IF(AND(N157&gt;=INDEX(Sectorwise!E:E,MATCH(F157,Sectorwise!A:A,0)),N157&lt;=INDEX(Sectorwise!F:F,MATCH(F157,Sectorwise!A:A,0))),1,0)</f>
        <v>1</v>
      </c>
      <c r="R157" s="76">
        <f>IF(N157&gt;INDEX(Sectorwise!F:F,MATCH(F157,Sectorwise!A:A,0)),1,0)</f>
        <v>0</v>
      </c>
      <c r="S157" s="27">
        <f t="shared" si="9"/>
        <v>0</v>
      </c>
      <c r="T157" s="27">
        <f t="shared" si="10"/>
        <v>15429</v>
      </c>
      <c r="U157" s="27">
        <f t="shared" si="11"/>
        <v>0</v>
      </c>
      <c r="V157" s="95">
        <f>IF(R157=1,(N157-INDEX(Sectorwise!F:F,MATCH(F157,Sectorwise!A:A,0))),0)</f>
        <v>0</v>
      </c>
      <c r="W157" s="97">
        <f>POISSON(N157,INDEX(Sectorwise!D:D,MATCH(Travel!F690,Sectorwise!A:A,0)),TRUE)</f>
        <v>1</v>
      </c>
    </row>
    <row r="158" spans="1:24" ht="15.75" hidden="1" customHeight="1" x14ac:dyDescent="0.2">
      <c r="A158" s="63" t="s">
        <v>1473</v>
      </c>
      <c r="B158" s="63" t="s">
        <v>1484</v>
      </c>
      <c r="C158" s="63"/>
      <c r="E158" s="63" t="s">
        <v>2282</v>
      </c>
      <c r="F158" s="21" t="s">
        <v>2142</v>
      </c>
      <c r="G158" s="69" t="s">
        <v>2308</v>
      </c>
      <c r="H158" s="63" t="s">
        <v>1485</v>
      </c>
      <c r="I158" s="63" t="s">
        <v>1486</v>
      </c>
      <c r="J158" s="65">
        <v>4310</v>
      </c>
      <c r="K158" s="65">
        <v>851</v>
      </c>
      <c r="L158" s="26">
        <f t="shared" si="8"/>
        <v>5161</v>
      </c>
      <c r="M158" s="26">
        <f t="array" ref="M158">MEDIAN(IF($F$3:$F$810=F158,$L$3:$L$810))</f>
        <v>5161</v>
      </c>
      <c r="N158" s="57">
        <f>J158+K158</f>
        <v>5161</v>
      </c>
      <c r="O158" s="62">
        <v>0</v>
      </c>
      <c r="P158" s="76">
        <f>IF(N158&lt;INDEX(Sectorwise!E:E,MATCH(F158,Sectorwise!A:A,0)),1,0)</f>
        <v>0</v>
      </c>
      <c r="Q158" s="76">
        <f>IF(AND(N158&gt;=INDEX(Sectorwise!E:E,MATCH(F158,Sectorwise!A:A,0)),N158&lt;=INDEX(Sectorwise!F:F,MATCH(F158,Sectorwise!A:A,0))),1,0)</f>
        <v>1</v>
      </c>
      <c r="R158" s="76">
        <f>IF(N158&gt;INDEX(Sectorwise!F:F,MATCH(F158,Sectorwise!A:A,0)),1,0)</f>
        <v>0</v>
      </c>
      <c r="S158" s="27">
        <f t="shared" si="9"/>
        <v>0</v>
      </c>
      <c r="T158" s="27">
        <f t="shared" si="10"/>
        <v>5161</v>
      </c>
      <c r="U158" s="27">
        <f t="shared" si="11"/>
        <v>0</v>
      </c>
      <c r="V158" s="95">
        <f>IF(R158=1,(N158-INDEX(Sectorwise!F:F,MATCH(F158,Sectorwise!A:A,0))),0)</f>
        <v>0</v>
      </c>
      <c r="W158" s="97">
        <f>POISSON(N158,INDEX(Sectorwise!D:D,MATCH(Travel!F559,Sectorwise!A:A,0)),TRUE)</f>
        <v>6.7196940019393007E-146</v>
      </c>
    </row>
    <row r="159" spans="1:24" ht="15.75" hidden="1" customHeight="1" x14ac:dyDescent="0.2">
      <c r="A159" s="63" t="s">
        <v>1874</v>
      </c>
      <c r="B159" s="63" t="s">
        <v>1882</v>
      </c>
      <c r="C159" s="63"/>
      <c r="E159" s="63" t="s">
        <v>2282</v>
      </c>
      <c r="F159" s="63" t="s">
        <v>2234</v>
      </c>
      <c r="G159" s="69" t="s">
        <v>2308</v>
      </c>
      <c r="H159" s="63" t="s">
        <v>1883</v>
      </c>
      <c r="I159" s="63" t="s">
        <v>1807</v>
      </c>
      <c r="J159" s="65">
        <v>18306</v>
      </c>
      <c r="K159" s="65">
        <v>2371</v>
      </c>
      <c r="L159" s="26">
        <f t="shared" si="8"/>
        <v>20677</v>
      </c>
      <c r="M159" s="26">
        <f t="array" ref="M159">MEDIAN(IF($F$3:$F$810=F159,$L$3:$L$810))</f>
        <v>20677</v>
      </c>
      <c r="N159" s="65">
        <v>41354</v>
      </c>
      <c r="O159" s="62">
        <v>0</v>
      </c>
      <c r="P159" s="76">
        <f>IF(N159&lt;INDEX(Sectorwise!E:E,MATCH(F159,Sectorwise!A:A,0)),1,0)</f>
        <v>0</v>
      </c>
      <c r="Q159" s="76">
        <f>IF(AND(N159&gt;=INDEX(Sectorwise!E:E,MATCH(F159,Sectorwise!A:A,0)),N159&lt;=INDEX(Sectorwise!F:F,MATCH(F159,Sectorwise!A:A,0))),1,0)</f>
        <v>0</v>
      </c>
      <c r="R159" s="76">
        <f>IF(N159&gt;INDEX(Sectorwise!F:F,MATCH(F159,Sectorwise!A:A,0)),1,0)</f>
        <v>1</v>
      </c>
      <c r="S159" s="27">
        <f t="shared" si="9"/>
        <v>0</v>
      </c>
      <c r="T159" s="27">
        <f t="shared" si="10"/>
        <v>0</v>
      </c>
      <c r="U159" s="27">
        <f t="shared" si="11"/>
        <v>41354</v>
      </c>
      <c r="V159" s="95">
        <f>IF(R159=1,(N159-INDEX(Sectorwise!F:F,MATCH(F159,Sectorwise!A:A,0))),0)</f>
        <v>18554</v>
      </c>
      <c r="W159" s="97">
        <f>POISSON(N159,INDEX(Sectorwise!D:D,MATCH(Travel!F716,Sectorwise!A:A,0)),TRUE)</f>
        <v>1</v>
      </c>
    </row>
    <row r="160" spans="1:24" ht="15.75" hidden="1" customHeight="1" x14ac:dyDescent="0.2">
      <c r="A160" s="60" t="s">
        <v>912</v>
      </c>
      <c r="B160" s="60" t="s">
        <v>923</v>
      </c>
      <c r="C160" s="60"/>
      <c r="E160" s="63" t="s">
        <v>2282</v>
      </c>
      <c r="F160" s="21" t="s">
        <v>2135</v>
      </c>
      <c r="G160" s="63" t="s">
        <v>2312</v>
      </c>
      <c r="H160" s="60" t="s">
        <v>927</v>
      </c>
      <c r="I160" s="60" t="s">
        <v>926</v>
      </c>
      <c r="J160" s="61">
        <v>3130</v>
      </c>
      <c r="K160" s="61">
        <v>3126</v>
      </c>
      <c r="L160" s="26">
        <f t="shared" si="8"/>
        <v>6256</v>
      </c>
      <c r="M160" s="26">
        <f t="array" ref="M160">MEDIAN(IF($F$3:$F$810=F160,$L$3:$L$810))</f>
        <v>7234</v>
      </c>
      <c r="N160" s="57">
        <f>J160+K160</f>
        <v>6256</v>
      </c>
      <c r="O160" s="62">
        <v>0</v>
      </c>
      <c r="P160" s="76">
        <f>IF(N160&lt;INDEX(Sectorwise!E:E,MATCH(F160,Sectorwise!A:A,0)),1,0)</f>
        <v>1</v>
      </c>
      <c r="Q160" s="76">
        <f>IF(AND(N160&gt;=INDEX(Sectorwise!E:E,MATCH(F160,Sectorwise!A:A,0)),N160&lt;=INDEX(Sectorwise!F:F,MATCH(F160,Sectorwise!A:A,0))),1,0)</f>
        <v>0</v>
      </c>
      <c r="R160" s="76">
        <f>IF(N160&gt;INDEX(Sectorwise!F:F,MATCH(F160,Sectorwise!A:A,0)),1,0)</f>
        <v>0</v>
      </c>
      <c r="S160" s="27">
        <f t="shared" si="9"/>
        <v>6256</v>
      </c>
      <c r="T160" s="27">
        <f t="shared" si="10"/>
        <v>0</v>
      </c>
      <c r="U160" s="27">
        <f t="shared" si="11"/>
        <v>0</v>
      </c>
      <c r="V160" s="95">
        <f>IF(R160=1,(N160-INDEX(Sectorwise!F:F,MATCH(F160,Sectorwise!A:A,0))),0)</f>
        <v>0</v>
      </c>
      <c r="W160" s="97">
        <f>POISSON(N160,INDEX(Sectorwise!D:D,MATCH(Travel!F346,Sectorwise!A:A,0)),TRUE)</f>
        <v>0</v>
      </c>
    </row>
    <row r="161" spans="1:24" ht="15.75" hidden="1" customHeight="1" x14ac:dyDescent="0.2">
      <c r="A161" s="63" t="s">
        <v>1837</v>
      </c>
      <c r="B161" s="63" t="s">
        <v>1843</v>
      </c>
      <c r="C161" s="63"/>
      <c r="E161" s="63" t="s">
        <v>2282</v>
      </c>
      <c r="F161" s="21" t="s">
        <v>2135</v>
      </c>
      <c r="G161" s="69" t="s">
        <v>2308</v>
      </c>
      <c r="H161" s="63" t="s">
        <v>1844</v>
      </c>
      <c r="I161" s="63" t="s">
        <v>1827</v>
      </c>
      <c r="J161" s="65">
        <v>5816</v>
      </c>
      <c r="K161" s="65">
        <v>1139</v>
      </c>
      <c r="L161" s="26">
        <f t="shared" si="8"/>
        <v>6955</v>
      </c>
      <c r="M161" s="26">
        <f t="array" ref="M161">MEDIAN(IF($F$3:$F$810=F161,$L$3:$L$810))</f>
        <v>7234</v>
      </c>
      <c r="N161" s="65">
        <v>20865</v>
      </c>
      <c r="O161" s="62">
        <v>0</v>
      </c>
      <c r="P161" s="76">
        <f>IF(N161&lt;INDEX(Sectorwise!E:E,MATCH(F161,Sectorwise!A:A,0)),1,0)</f>
        <v>0</v>
      </c>
      <c r="Q161" s="76">
        <f>IF(AND(N161&gt;=INDEX(Sectorwise!E:E,MATCH(F161,Sectorwise!A:A,0)),N161&lt;=INDEX(Sectorwise!F:F,MATCH(F161,Sectorwise!A:A,0))),1,0)</f>
        <v>0</v>
      </c>
      <c r="R161" s="76">
        <f>IF(N161&gt;INDEX(Sectorwise!F:F,MATCH(F161,Sectorwise!A:A,0)),1,0)</f>
        <v>1</v>
      </c>
      <c r="S161" s="27">
        <f t="shared" si="9"/>
        <v>0</v>
      </c>
      <c r="T161" s="27">
        <f t="shared" si="10"/>
        <v>0</v>
      </c>
      <c r="U161" s="27">
        <f t="shared" si="11"/>
        <v>20865</v>
      </c>
      <c r="V161" s="95">
        <f>IF(R161=1,(N161-INDEX(Sectorwise!F:F,MATCH(F161,Sectorwise!A:A,0))),0)</f>
        <v>12865</v>
      </c>
      <c r="W161" s="97">
        <f>POISSON(N161,INDEX(Sectorwise!D:D,MATCH(Travel!F697,Sectorwise!A:A,0)),TRUE)</f>
        <v>1</v>
      </c>
    </row>
    <row r="162" spans="1:24" ht="15.75" hidden="1" customHeight="1" x14ac:dyDescent="0.2">
      <c r="A162" s="63" t="s">
        <v>1473</v>
      </c>
      <c r="B162" s="63" t="s">
        <v>1480</v>
      </c>
      <c r="C162" s="63"/>
      <c r="E162" s="63" t="s">
        <v>2282</v>
      </c>
      <c r="F162" s="21" t="s">
        <v>2152</v>
      </c>
      <c r="G162" s="69" t="s">
        <v>2308</v>
      </c>
      <c r="H162" s="63" t="s">
        <v>1482</v>
      </c>
      <c r="I162" s="63" t="s">
        <v>1483</v>
      </c>
      <c r="J162" s="65">
        <v>4360</v>
      </c>
      <c r="K162" s="65">
        <v>1078</v>
      </c>
      <c r="L162" s="26">
        <f t="shared" si="8"/>
        <v>5438</v>
      </c>
      <c r="M162" s="26">
        <f t="array" ref="M162">MEDIAN(IF($F$3:$F$810=F162,$L$3:$L$810))</f>
        <v>5438</v>
      </c>
      <c r="N162" s="57">
        <f>J162+K162</f>
        <v>5438</v>
      </c>
      <c r="O162" s="62">
        <v>0</v>
      </c>
      <c r="P162" s="76">
        <f>IF(N162&lt;INDEX(Sectorwise!E:E,MATCH(F162,Sectorwise!A:A,0)),1,0)</f>
        <v>0</v>
      </c>
      <c r="Q162" s="76">
        <f>IF(AND(N162&gt;=INDEX(Sectorwise!E:E,MATCH(F162,Sectorwise!A:A,0)),N162&lt;=INDEX(Sectorwise!F:F,MATCH(F162,Sectorwise!A:A,0))),1,0)</f>
        <v>1</v>
      </c>
      <c r="R162" s="76">
        <f>IF(N162&gt;INDEX(Sectorwise!F:F,MATCH(F162,Sectorwise!A:A,0)),1,0)</f>
        <v>0</v>
      </c>
      <c r="S162" s="27">
        <f t="shared" si="9"/>
        <v>0</v>
      </c>
      <c r="T162" s="27">
        <f t="shared" si="10"/>
        <v>5438</v>
      </c>
      <c r="U162" s="27">
        <f t="shared" si="11"/>
        <v>0</v>
      </c>
      <c r="V162" s="95">
        <f>IF(R162=1,(N162-INDEX(Sectorwise!F:F,MATCH(F162,Sectorwise!A:A,0))),0)</f>
        <v>0</v>
      </c>
      <c r="W162" s="97">
        <f>POISSON(N162,INDEX(Sectorwise!D:D,MATCH(Travel!F557,Sectorwise!A:A,0)),TRUE)</f>
        <v>2.1994787043352327E-128</v>
      </c>
    </row>
    <row r="163" spans="1:24" ht="15.75" hidden="1" customHeight="1" x14ac:dyDescent="0.2">
      <c r="A163" s="63" t="s">
        <v>1600</v>
      </c>
      <c r="B163" s="63" t="s">
        <v>1601</v>
      </c>
      <c r="C163" s="63"/>
      <c r="E163" s="63" t="s">
        <v>2282</v>
      </c>
      <c r="F163" s="21" t="s">
        <v>2152</v>
      </c>
      <c r="G163" s="69" t="s">
        <v>2308</v>
      </c>
      <c r="H163" s="63" t="s">
        <v>1603</v>
      </c>
      <c r="I163" s="63" t="s">
        <v>1483</v>
      </c>
      <c r="J163" s="65">
        <v>4360</v>
      </c>
      <c r="K163" s="65">
        <v>1078</v>
      </c>
      <c r="L163" s="26">
        <f t="shared" si="8"/>
        <v>5438</v>
      </c>
      <c r="M163" s="26">
        <f t="array" ref="M163">MEDIAN(IF($F$3:$F$810=F163,$L$3:$L$810))</f>
        <v>5438</v>
      </c>
      <c r="N163" s="57">
        <f>J163+K163</f>
        <v>5438</v>
      </c>
      <c r="O163" s="62">
        <v>0</v>
      </c>
      <c r="P163" s="76">
        <f>IF(N163&lt;INDEX(Sectorwise!E:E,MATCH(F163,Sectorwise!A:A,0)),1,0)</f>
        <v>0</v>
      </c>
      <c r="Q163" s="76">
        <f>IF(AND(N163&gt;=INDEX(Sectorwise!E:E,MATCH(F163,Sectorwise!A:A,0)),N163&lt;=INDEX(Sectorwise!F:F,MATCH(F163,Sectorwise!A:A,0))),1,0)</f>
        <v>1</v>
      </c>
      <c r="R163" s="76">
        <f>IF(N163&gt;INDEX(Sectorwise!F:F,MATCH(F163,Sectorwise!A:A,0)),1,0)</f>
        <v>0</v>
      </c>
      <c r="S163" s="27">
        <f t="shared" si="9"/>
        <v>0</v>
      </c>
      <c r="T163" s="27">
        <f t="shared" si="10"/>
        <v>5438</v>
      </c>
      <c r="U163" s="27">
        <f t="shared" si="11"/>
        <v>0</v>
      </c>
      <c r="V163" s="95">
        <f>IF(R163=1,(N163-INDEX(Sectorwise!F:F,MATCH(F163,Sectorwise!A:A,0))),0)</f>
        <v>0</v>
      </c>
      <c r="W163" s="97">
        <f>POISSON(N163,INDEX(Sectorwise!D:D,MATCH(Travel!F608,Sectorwise!A:A,0)),TRUE)</f>
        <v>0</v>
      </c>
    </row>
    <row r="164" spans="1:24" ht="15.75" hidden="1" customHeight="1" x14ac:dyDescent="0.2">
      <c r="A164" s="63" t="s">
        <v>1209</v>
      </c>
      <c r="B164" s="63" t="s">
        <v>1215</v>
      </c>
      <c r="C164" s="63"/>
      <c r="E164" s="63" t="s">
        <v>2283</v>
      </c>
      <c r="F164" s="63" t="s">
        <v>2139</v>
      </c>
      <c r="G164" s="63" t="s">
        <v>2315</v>
      </c>
      <c r="H164" s="63" t="s">
        <v>1216</v>
      </c>
      <c r="I164" s="63" t="s">
        <v>1214</v>
      </c>
      <c r="J164" s="65">
        <v>21880</v>
      </c>
      <c r="K164" s="65">
        <v>23120</v>
      </c>
      <c r="L164" s="26">
        <f t="shared" si="8"/>
        <v>45000</v>
      </c>
      <c r="M164" s="26">
        <f t="array" ref="M164">MEDIAN(IF($F$3:$F$810=F164,$L$3:$L$810))</f>
        <v>45000</v>
      </c>
      <c r="N164" s="65">
        <v>45000</v>
      </c>
      <c r="O164" s="62">
        <v>0</v>
      </c>
      <c r="P164" s="76">
        <f>IF(N164&lt;INDEX(Sectorwise!E:E,MATCH(F164,Sectorwise!A:A,0)),1,0)</f>
        <v>0</v>
      </c>
      <c r="Q164" s="76">
        <f>IF(AND(N164&gt;=INDEX(Sectorwise!E:E,MATCH(F164,Sectorwise!A:A,0)),N164&lt;=INDEX(Sectorwise!F:F,MATCH(F164,Sectorwise!A:A,0))),1,0)</f>
        <v>1</v>
      </c>
      <c r="R164" s="76">
        <f>IF(N164&gt;INDEX(Sectorwise!F:F,MATCH(F164,Sectorwise!A:A,0)),1,0)</f>
        <v>0</v>
      </c>
      <c r="S164" s="27">
        <f t="shared" si="9"/>
        <v>0</v>
      </c>
      <c r="T164" s="27">
        <f t="shared" si="10"/>
        <v>45000</v>
      </c>
      <c r="U164" s="27">
        <f t="shared" si="11"/>
        <v>0</v>
      </c>
      <c r="V164" s="95">
        <f>IF(R164=1,(N164-INDEX(Sectorwise!F:F,MATCH(F164,Sectorwise!A:A,0))),0)</f>
        <v>0</v>
      </c>
      <c r="W164" s="97">
        <f>POISSON(N164,INDEX(Sectorwise!D:D,MATCH(Travel!F459,Sectorwise!A:A,0)),TRUE)</f>
        <v>1</v>
      </c>
    </row>
    <row r="165" spans="1:24" ht="15.75" hidden="1" customHeight="1" x14ac:dyDescent="0.2">
      <c r="A165" s="60" t="s">
        <v>1015</v>
      </c>
      <c r="B165" s="60" t="s">
        <v>1016</v>
      </c>
      <c r="C165" s="60"/>
      <c r="E165" s="63" t="s">
        <v>2283</v>
      </c>
      <c r="F165" s="33" t="s">
        <v>2171</v>
      </c>
      <c r="G165" s="56" t="s">
        <v>2309</v>
      </c>
      <c r="H165" s="60" t="s">
        <v>1017</v>
      </c>
      <c r="I165" s="60" t="s">
        <v>1018</v>
      </c>
      <c r="J165" s="61">
        <v>3600</v>
      </c>
      <c r="K165" s="61">
        <v>1442</v>
      </c>
      <c r="L165" s="26">
        <f t="shared" si="8"/>
        <v>5042</v>
      </c>
      <c r="M165" s="26">
        <f t="array" ref="M165">MEDIAN(IF($F$3:$F$810=F165,$L$3:$L$810))</f>
        <v>5042</v>
      </c>
      <c r="N165" s="61">
        <v>19830</v>
      </c>
      <c r="O165" s="62">
        <v>0</v>
      </c>
      <c r="P165" s="76">
        <f>IF(N165&lt;INDEX(Sectorwise!E:E,MATCH(F165,Sectorwise!A:A,0)),1,0)</f>
        <v>0</v>
      </c>
      <c r="Q165" s="76">
        <f>IF(AND(N165&gt;=INDEX(Sectorwise!E:E,MATCH(F165,Sectorwise!A:A,0)),N165&lt;=INDEX(Sectorwise!F:F,MATCH(F165,Sectorwise!A:A,0))),1,0)</f>
        <v>0</v>
      </c>
      <c r="R165" s="76">
        <f>IF(N165&gt;INDEX(Sectorwise!F:F,MATCH(F165,Sectorwise!A:A,0)),1,0)</f>
        <v>1</v>
      </c>
      <c r="S165" s="27">
        <f t="shared" si="9"/>
        <v>0</v>
      </c>
      <c r="T165" s="27">
        <f t="shared" si="10"/>
        <v>0</v>
      </c>
      <c r="U165" s="27">
        <f t="shared" si="11"/>
        <v>19830</v>
      </c>
      <c r="V165" s="95">
        <f>IF(R165=1,(N165-INDEX(Sectorwise!F:F,MATCH(F165,Sectorwise!A:A,0))),0)</f>
        <v>14230</v>
      </c>
      <c r="W165" s="97">
        <f>POISSON(N165,INDEX(Sectorwise!D:D,MATCH(Travel!F380,Sectorwise!A:A,0)),TRUE)</f>
        <v>1</v>
      </c>
    </row>
    <row r="166" spans="1:24" ht="15.75" hidden="1" customHeight="1" x14ac:dyDescent="0.2">
      <c r="A166" s="60" t="s">
        <v>1015</v>
      </c>
      <c r="B166" s="60" t="s">
        <v>1016</v>
      </c>
      <c r="C166" s="60"/>
      <c r="E166" s="63" t="s">
        <v>2283</v>
      </c>
      <c r="F166" s="60" t="s">
        <v>2214</v>
      </c>
      <c r="G166" s="33" t="s">
        <v>2321</v>
      </c>
      <c r="H166" s="60" t="s">
        <v>1019</v>
      </c>
      <c r="I166" s="60" t="s">
        <v>1018</v>
      </c>
      <c r="J166" s="61">
        <v>2205</v>
      </c>
      <c r="K166" s="61">
        <v>2668</v>
      </c>
      <c r="L166" s="26">
        <f t="shared" si="8"/>
        <v>4873</v>
      </c>
      <c r="M166" s="26">
        <f t="array" ref="M166">MEDIAN(IF($F$3:$F$810=F166,$L$3:$L$810))</f>
        <v>4873</v>
      </c>
      <c r="N166" s="57">
        <f>J166+K166</f>
        <v>4873</v>
      </c>
      <c r="O166" s="62">
        <v>0</v>
      </c>
      <c r="P166" s="76">
        <f>IF(N166&lt;INDEX(Sectorwise!E:E,MATCH(F166,Sectorwise!A:A,0)),1,0)</f>
        <v>0</v>
      </c>
      <c r="Q166" s="76">
        <f>IF(AND(N166&gt;=INDEX(Sectorwise!E:E,MATCH(F166,Sectorwise!A:A,0)),N166&lt;=INDEX(Sectorwise!F:F,MATCH(F166,Sectorwise!A:A,0))),1,0)</f>
        <v>1</v>
      </c>
      <c r="R166" s="76">
        <f>IF(N166&gt;INDEX(Sectorwise!F:F,MATCH(F166,Sectorwise!A:A,0)),1,0)</f>
        <v>0</v>
      </c>
      <c r="S166" s="27">
        <f t="shared" si="9"/>
        <v>0</v>
      </c>
      <c r="T166" s="27">
        <f t="shared" si="10"/>
        <v>4873</v>
      </c>
      <c r="U166" s="27">
        <f t="shared" si="11"/>
        <v>0</v>
      </c>
      <c r="V166" s="95">
        <f>IF(R166=1,(N166-INDEX(Sectorwise!F:F,MATCH(F166,Sectorwise!A:A,0))),0)</f>
        <v>0</v>
      </c>
      <c r="W166" s="97">
        <f>POISSON(N166,INDEX(Sectorwise!D:D,MATCH(Travel!F381,Sectorwise!A:A,0)),TRUE)</f>
        <v>0</v>
      </c>
    </row>
    <row r="167" spans="1:24" ht="15.75" hidden="1" customHeight="1" x14ac:dyDescent="0.2">
      <c r="A167" s="21" t="s">
        <v>161</v>
      </c>
      <c r="B167" s="21" t="s">
        <v>165</v>
      </c>
      <c r="C167" s="22"/>
      <c r="D167" s="32"/>
      <c r="E167" s="60" t="s">
        <v>2284</v>
      </c>
      <c r="F167" s="29" t="s">
        <v>2134</v>
      </c>
      <c r="G167" s="56" t="s">
        <v>2309</v>
      </c>
      <c r="H167" s="21" t="s">
        <v>166</v>
      </c>
      <c r="I167" s="21" t="s">
        <v>58</v>
      </c>
      <c r="J167" s="25">
        <v>4500</v>
      </c>
      <c r="K167" s="25">
        <v>3171</v>
      </c>
      <c r="L167" s="26">
        <f t="shared" si="8"/>
        <v>7671</v>
      </c>
      <c r="M167" s="26">
        <f t="array" ref="M167">MEDIAN(IF($F$3:$F$810=F167,$L$3:$L$810))</f>
        <v>7412.5</v>
      </c>
      <c r="N167" s="26">
        <v>7671</v>
      </c>
      <c r="O167" s="27"/>
      <c r="P167" s="76">
        <f>IF(N167&lt;INDEX(Sectorwise!E:E,MATCH(F167,Sectorwise!A:A,0)),1,0)</f>
        <v>0</v>
      </c>
      <c r="Q167" s="76">
        <f>IF(AND(N167&gt;=INDEX(Sectorwise!E:E,MATCH(F167,Sectorwise!A:A,0)),N167&lt;=INDEX(Sectorwise!F:F,MATCH(F167,Sectorwise!A:A,0))),1,0)</f>
        <v>1</v>
      </c>
      <c r="R167" s="76">
        <f>IF(N167&gt;INDEX(Sectorwise!F:F,MATCH(F167,Sectorwise!A:A,0)),1,0)</f>
        <v>0</v>
      </c>
      <c r="S167" s="27">
        <f t="shared" si="9"/>
        <v>0</v>
      </c>
      <c r="T167" s="27">
        <f t="shared" si="10"/>
        <v>7671</v>
      </c>
      <c r="U167" s="27">
        <f t="shared" si="11"/>
        <v>0</v>
      </c>
      <c r="V167" s="95">
        <f>IF(R167=1,(N167-INDEX(Sectorwise!F:F,MATCH(F167,Sectorwise!A:A,0))),0)</f>
        <v>0</v>
      </c>
      <c r="W167" s="97">
        <f>POISSON(N167,INDEX(Sectorwise!D:D,MATCH(Travel!F58,Sectorwise!A:A,0)),TRUE)</f>
        <v>4.9944452209359759E-166</v>
      </c>
      <c r="X167" s="28">
        <v>7671</v>
      </c>
    </row>
    <row r="168" spans="1:24" ht="15.75" hidden="1" customHeight="1" x14ac:dyDescent="0.2">
      <c r="A168" s="33" t="s">
        <v>198</v>
      </c>
      <c r="B168" s="33" t="s">
        <v>208</v>
      </c>
      <c r="C168" s="40"/>
      <c r="D168" s="35"/>
      <c r="E168" s="60" t="s">
        <v>2284</v>
      </c>
      <c r="F168" s="29" t="s">
        <v>2134</v>
      </c>
      <c r="G168" s="56" t="s">
        <v>2309</v>
      </c>
      <c r="H168" s="33" t="s">
        <v>209</v>
      </c>
      <c r="I168" s="33" t="s">
        <v>164</v>
      </c>
      <c r="J168" s="36">
        <v>4500</v>
      </c>
      <c r="K168" s="36">
        <v>3171</v>
      </c>
      <c r="L168" s="26">
        <f t="shared" si="8"/>
        <v>7671</v>
      </c>
      <c r="M168" s="26">
        <f t="array" ref="M168">MEDIAN(IF($F$3:$F$810=F168,$L$3:$L$810))</f>
        <v>7412.5</v>
      </c>
      <c r="N168" s="41">
        <v>7671</v>
      </c>
      <c r="O168" s="38"/>
      <c r="P168" s="76">
        <f>IF(N168&lt;INDEX(Sectorwise!E:E,MATCH(F168,Sectorwise!A:A,0)),1,0)</f>
        <v>0</v>
      </c>
      <c r="Q168" s="76">
        <f>IF(AND(N168&gt;=INDEX(Sectorwise!E:E,MATCH(F168,Sectorwise!A:A,0)),N168&lt;=INDEX(Sectorwise!F:F,MATCH(F168,Sectorwise!A:A,0))),1,0)</f>
        <v>1</v>
      </c>
      <c r="R168" s="76">
        <f>IF(N168&gt;INDEX(Sectorwise!F:F,MATCH(F168,Sectorwise!A:A,0)),1,0)</f>
        <v>0</v>
      </c>
      <c r="S168" s="27">
        <f t="shared" si="9"/>
        <v>0</v>
      </c>
      <c r="T168" s="27">
        <f t="shared" si="10"/>
        <v>7671</v>
      </c>
      <c r="U168" s="27">
        <f t="shared" si="11"/>
        <v>0</v>
      </c>
      <c r="V168" s="95">
        <f>IF(R168=1,(N168-INDEX(Sectorwise!F:F,MATCH(F168,Sectorwise!A:A,0))),0)</f>
        <v>0</v>
      </c>
      <c r="W168" s="97">
        <f>POISSON(N168,INDEX(Sectorwise!D:D,MATCH(Travel!F77,Sectorwise!A:A,0)),TRUE)</f>
        <v>0.99999982582459435</v>
      </c>
      <c r="X168" s="39">
        <f>+N168-O168</f>
        <v>7671</v>
      </c>
    </row>
    <row r="169" spans="1:24" ht="15.75" hidden="1" customHeight="1" x14ac:dyDescent="0.2">
      <c r="A169" s="33" t="s">
        <v>295</v>
      </c>
      <c r="B169" s="33" t="s">
        <v>296</v>
      </c>
      <c r="C169" s="40"/>
      <c r="D169" s="35"/>
      <c r="E169" s="60" t="s">
        <v>2284</v>
      </c>
      <c r="F169" s="29" t="s">
        <v>2134</v>
      </c>
      <c r="G169" s="56" t="s">
        <v>2309</v>
      </c>
      <c r="H169" s="33" t="s">
        <v>297</v>
      </c>
      <c r="I169" s="33" t="s">
        <v>298</v>
      </c>
      <c r="J169" s="42">
        <v>4500</v>
      </c>
      <c r="K169" s="45">
        <v>3171</v>
      </c>
      <c r="L169" s="26">
        <f t="shared" si="8"/>
        <v>7671</v>
      </c>
      <c r="M169" s="26">
        <f t="array" ref="M169">MEDIAN(IF($F$3:$F$810=F169,$L$3:$L$810))</f>
        <v>7412.5</v>
      </c>
      <c r="N169" s="43">
        <f>+J169+K169</f>
        <v>7671</v>
      </c>
      <c r="O169" s="38"/>
      <c r="P169" s="76">
        <f>IF(N169&lt;INDEX(Sectorwise!E:E,MATCH(F169,Sectorwise!A:A,0)),1,0)</f>
        <v>0</v>
      </c>
      <c r="Q169" s="76">
        <f>IF(AND(N169&gt;=INDEX(Sectorwise!E:E,MATCH(F169,Sectorwise!A:A,0)),N169&lt;=INDEX(Sectorwise!F:F,MATCH(F169,Sectorwise!A:A,0))),1,0)</f>
        <v>1</v>
      </c>
      <c r="R169" s="76">
        <f>IF(N169&gt;INDEX(Sectorwise!F:F,MATCH(F169,Sectorwise!A:A,0)),1,0)</f>
        <v>0</v>
      </c>
      <c r="S169" s="27">
        <f t="shared" si="9"/>
        <v>0</v>
      </c>
      <c r="T169" s="27">
        <f t="shared" si="10"/>
        <v>7671</v>
      </c>
      <c r="U169" s="27">
        <f t="shared" si="11"/>
        <v>0</v>
      </c>
      <c r="V169" s="95">
        <f>IF(R169=1,(N169-INDEX(Sectorwise!F:F,MATCH(F169,Sectorwise!A:A,0))),0)</f>
        <v>0</v>
      </c>
      <c r="W169" s="97">
        <f>POISSON(N169,INDEX(Sectorwise!D:D,MATCH(Travel!F111,Sectorwise!A:A,0)),TRUE)</f>
        <v>0</v>
      </c>
      <c r="X169" s="44">
        <f>+N169-O169</f>
        <v>7671</v>
      </c>
    </row>
    <row r="170" spans="1:24" ht="15.75" hidden="1" customHeight="1" x14ac:dyDescent="0.2">
      <c r="A170" s="33" t="s">
        <v>319</v>
      </c>
      <c r="B170" s="33" t="s">
        <v>325</v>
      </c>
      <c r="C170" s="40"/>
      <c r="D170" s="35"/>
      <c r="E170" s="60" t="s">
        <v>2284</v>
      </c>
      <c r="F170" s="29" t="s">
        <v>2134</v>
      </c>
      <c r="G170" s="56" t="s">
        <v>2309</v>
      </c>
      <c r="H170" s="33" t="s">
        <v>326</v>
      </c>
      <c r="I170" s="33" t="s">
        <v>298</v>
      </c>
      <c r="J170" s="42">
        <v>4500</v>
      </c>
      <c r="K170" s="45">
        <v>3171</v>
      </c>
      <c r="L170" s="26">
        <f t="shared" si="8"/>
        <v>7671</v>
      </c>
      <c r="M170" s="26">
        <f t="array" ref="M170">MEDIAN(IF($F$3:$F$810=F170,$L$3:$L$810))</f>
        <v>7412.5</v>
      </c>
      <c r="N170" s="43">
        <f>+J170+K170</f>
        <v>7671</v>
      </c>
      <c r="O170" s="38"/>
      <c r="P170" s="76">
        <f>IF(N170&lt;INDEX(Sectorwise!E:E,MATCH(F170,Sectorwise!A:A,0)),1,0)</f>
        <v>0</v>
      </c>
      <c r="Q170" s="76">
        <f>IF(AND(N170&gt;=INDEX(Sectorwise!E:E,MATCH(F170,Sectorwise!A:A,0)),N170&lt;=INDEX(Sectorwise!F:F,MATCH(F170,Sectorwise!A:A,0))),1,0)</f>
        <v>1</v>
      </c>
      <c r="R170" s="76">
        <f>IF(N170&gt;INDEX(Sectorwise!F:F,MATCH(F170,Sectorwise!A:A,0)),1,0)</f>
        <v>0</v>
      </c>
      <c r="S170" s="27">
        <f t="shared" si="9"/>
        <v>0</v>
      </c>
      <c r="T170" s="27">
        <f t="shared" si="10"/>
        <v>7671</v>
      </c>
      <c r="U170" s="27">
        <f t="shared" si="11"/>
        <v>0</v>
      </c>
      <c r="V170" s="95">
        <f>IF(R170=1,(N170-INDEX(Sectorwise!F:F,MATCH(F170,Sectorwise!A:A,0))),0)</f>
        <v>0</v>
      </c>
      <c r="W170" s="97">
        <f>POISSON(N170,INDEX(Sectorwise!D:D,MATCH(Travel!F122,Sectorwise!A:A,0)),TRUE)</f>
        <v>0.99861843644391424</v>
      </c>
      <c r="X170" s="44">
        <f>+N170-O170</f>
        <v>7671</v>
      </c>
    </row>
    <row r="171" spans="1:24" ht="15.75" hidden="1" customHeight="1" x14ac:dyDescent="0.2">
      <c r="A171" s="21" t="s">
        <v>449</v>
      </c>
      <c r="B171" s="21" t="s">
        <v>455</v>
      </c>
      <c r="C171" s="22"/>
      <c r="D171" s="32"/>
      <c r="E171" s="60" t="s">
        <v>2284</v>
      </c>
      <c r="F171" s="29" t="s">
        <v>2134</v>
      </c>
      <c r="G171" s="56" t="s">
        <v>2309</v>
      </c>
      <c r="H171" s="21" t="s">
        <v>456</v>
      </c>
      <c r="I171" s="21" t="s">
        <v>457</v>
      </c>
      <c r="J171" s="25">
        <v>4550</v>
      </c>
      <c r="K171" s="25">
        <v>3121</v>
      </c>
      <c r="L171" s="26">
        <f t="shared" si="8"/>
        <v>7671</v>
      </c>
      <c r="M171" s="26">
        <f t="array" ref="M171">MEDIAN(IF($F$3:$F$810=F171,$L$3:$L$810))</f>
        <v>7412.5</v>
      </c>
      <c r="N171" s="47">
        <f>J171+K171</f>
        <v>7671</v>
      </c>
      <c r="O171" s="27"/>
      <c r="P171" s="76">
        <f>IF(N171&lt;INDEX(Sectorwise!E:E,MATCH(F171,Sectorwise!A:A,0)),1,0)</f>
        <v>0</v>
      </c>
      <c r="Q171" s="76">
        <f>IF(AND(N171&gt;=INDEX(Sectorwise!E:E,MATCH(F171,Sectorwise!A:A,0)),N171&lt;=INDEX(Sectorwise!F:F,MATCH(F171,Sectorwise!A:A,0))),1,0)</f>
        <v>1</v>
      </c>
      <c r="R171" s="76">
        <f>IF(N171&gt;INDEX(Sectorwise!F:F,MATCH(F171,Sectorwise!A:A,0)),1,0)</f>
        <v>0</v>
      </c>
      <c r="S171" s="27">
        <f t="shared" si="9"/>
        <v>0</v>
      </c>
      <c r="T171" s="27">
        <f t="shared" si="10"/>
        <v>7671</v>
      </c>
      <c r="U171" s="27">
        <f t="shared" si="11"/>
        <v>0</v>
      </c>
      <c r="V171" s="95">
        <f>IF(R171=1,(N171-INDEX(Sectorwise!F:F,MATCH(F171,Sectorwise!A:A,0))),0)</f>
        <v>0</v>
      </c>
      <c r="W171" s="97">
        <f>POISSON(N171,INDEX(Sectorwise!D:D,MATCH(Travel!F170,Sectorwise!A:A,0)),TRUE)</f>
        <v>0.99861843644391424</v>
      </c>
    </row>
    <row r="172" spans="1:24" ht="15.75" hidden="1" customHeight="1" x14ac:dyDescent="0.2">
      <c r="A172" s="53" t="s">
        <v>528</v>
      </c>
      <c r="B172" s="54" t="s">
        <v>533</v>
      </c>
      <c r="C172" s="22"/>
      <c r="D172" s="32"/>
      <c r="E172" s="60" t="s">
        <v>2284</v>
      </c>
      <c r="F172" s="29" t="s">
        <v>2134</v>
      </c>
      <c r="G172" s="56" t="s">
        <v>2309</v>
      </c>
      <c r="H172" s="21" t="s">
        <v>534</v>
      </c>
      <c r="I172" s="21" t="s">
        <v>528</v>
      </c>
      <c r="J172" s="25">
        <v>3010</v>
      </c>
      <c r="K172" s="25">
        <v>2983</v>
      </c>
      <c r="L172" s="26">
        <f t="shared" si="8"/>
        <v>5993</v>
      </c>
      <c r="M172" s="26">
        <f t="array" ref="M172">MEDIAN(IF($F$3:$F$810=F172,$L$3:$L$810))</f>
        <v>7412.5</v>
      </c>
      <c r="N172" s="47">
        <v>5993</v>
      </c>
      <c r="O172" s="27"/>
      <c r="P172" s="76">
        <f>IF(N172&lt;INDEX(Sectorwise!E:E,MATCH(F172,Sectorwise!A:A,0)),1,0)</f>
        <v>1</v>
      </c>
      <c r="Q172" s="76">
        <f>IF(AND(N172&gt;=INDEX(Sectorwise!E:E,MATCH(F172,Sectorwise!A:A,0)),N172&lt;=INDEX(Sectorwise!F:F,MATCH(F172,Sectorwise!A:A,0))),1,0)</f>
        <v>0</v>
      </c>
      <c r="R172" s="76">
        <f>IF(N172&gt;INDEX(Sectorwise!F:F,MATCH(F172,Sectorwise!A:A,0)),1,0)</f>
        <v>0</v>
      </c>
      <c r="S172" s="27">
        <f t="shared" si="9"/>
        <v>5993</v>
      </c>
      <c r="T172" s="27">
        <f t="shared" si="10"/>
        <v>0</v>
      </c>
      <c r="U172" s="27">
        <f t="shared" si="11"/>
        <v>0</v>
      </c>
      <c r="V172" s="95">
        <f>IF(R172=1,(N172-INDEX(Sectorwise!F:F,MATCH(F172,Sectorwise!A:A,0))),0)</f>
        <v>0</v>
      </c>
      <c r="W172" s="97">
        <f>POISSON(N172,INDEX(Sectorwise!D:D,MATCH(Travel!F198,Sectorwise!A:A,0)),TRUE)</f>
        <v>0</v>
      </c>
    </row>
    <row r="173" spans="1:24" ht="15.75" hidden="1" customHeight="1" x14ac:dyDescent="0.2">
      <c r="A173" s="21" t="s">
        <v>572</v>
      </c>
      <c r="B173" s="21" t="s">
        <v>573</v>
      </c>
      <c r="C173" s="22"/>
      <c r="E173" s="60" t="s">
        <v>2284</v>
      </c>
      <c r="F173" s="29" t="s">
        <v>2134</v>
      </c>
      <c r="G173" s="56" t="s">
        <v>2309</v>
      </c>
      <c r="H173" s="21" t="s">
        <v>574</v>
      </c>
      <c r="I173" s="21" t="s">
        <v>575</v>
      </c>
      <c r="J173" s="25">
        <v>2540</v>
      </c>
      <c r="K173" s="25">
        <v>1541</v>
      </c>
      <c r="L173" s="26">
        <f t="shared" si="8"/>
        <v>4081</v>
      </c>
      <c r="M173" s="26">
        <f t="array" ref="M173">MEDIAN(IF($F$3:$F$810=F173,$L$3:$L$810))</f>
        <v>7412.5</v>
      </c>
      <c r="N173" s="47">
        <v>4081</v>
      </c>
      <c r="O173" s="55"/>
      <c r="P173" s="76">
        <f>IF(N173&lt;INDEX(Sectorwise!E:E,MATCH(F173,Sectorwise!A:A,0)),1,0)</f>
        <v>1</v>
      </c>
      <c r="Q173" s="76">
        <f>IF(AND(N173&gt;=INDEX(Sectorwise!E:E,MATCH(F173,Sectorwise!A:A,0)),N173&lt;=INDEX(Sectorwise!F:F,MATCH(F173,Sectorwise!A:A,0))),1,0)</f>
        <v>0</v>
      </c>
      <c r="R173" s="76">
        <f>IF(N173&gt;INDEX(Sectorwise!F:F,MATCH(F173,Sectorwise!A:A,0)),1,0)</f>
        <v>0</v>
      </c>
      <c r="S173" s="27">
        <f t="shared" si="9"/>
        <v>4081</v>
      </c>
      <c r="T173" s="27">
        <f t="shared" si="10"/>
        <v>0</v>
      </c>
      <c r="U173" s="27">
        <f t="shared" si="11"/>
        <v>0</v>
      </c>
      <c r="V173" s="95">
        <f>IF(R173=1,(N173-INDEX(Sectorwise!F:F,MATCH(F173,Sectorwise!A:A,0))),0)</f>
        <v>0</v>
      </c>
      <c r="W173" s="97">
        <f>POISSON(N173,INDEX(Sectorwise!D:D,MATCH(Travel!F216,Sectorwise!A:A,0)),TRUE)</f>
        <v>0</v>
      </c>
    </row>
    <row r="174" spans="1:24" ht="15.75" hidden="1" customHeight="1" x14ac:dyDescent="0.2">
      <c r="A174" s="21" t="s">
        <v>615</v>
      </c>
      <c r="B174" s="21" t="s">
        <v>616</v>
      </c>
      <c r="C174" s="22"/>
      <c r="E174" s="60" t="s">
        <v>2284</v>
      </c>
      <c r="F174" s="29" t="s">
        <v>2134</v>
      </c>
      <c r="G174" s="56" t="s">
        <v>2309</v>
      </c>
      <c r="H174" s="21" t="s">
        <v>617</v>
      </c>
      <c r="I174" s="21" t="s">
        <v>578</v>
      </c>
      <c r="J174" s="25">
        <v>1382</v>
      </c>
      <c r="K174" s="25">
        <v>1477</v>
      </c>
      <c r="L174" s="26">
        <f t="shared" si="8"/>
        <v>2859</v>
      </c>
      <c r="M174" s="26">
        <f t="array" ref="M174">MEDIAN(IF($F$3:$F$810=F174,$L$3:$L$810))</f>
        <v>7412.5</v>
      </c>
      <c r="N174" s="47">
        <v>2859</v>
      </c>
      <c r="O174" s="55"/>
      <c r="P174" s="76">
        <f>IF(N174&lt;INDEX(Sectorwise!E:E,MATCH(F174,Sectorwise!A:A,0)),1,0)</f>
        <v>1</v>
      </c>
      <c r="Q174" s="76">
        <f>IF(AND(N174&gt;=INDEX(Sectorwise!E:E,MATCH(F174,Sectorwise!A:A,0)),N174&lt;=INDEX(Sectorwise!F:F,MATCH(F174,Sectorwise!A:A,0))),1,0)</f>
        <v>0</v>
      </c>
      <c r="R174" s="76">
        <f>IF(N174&gt;INDEX(Sectorwise!F:F,MATCH(F174,Sectorwise!A:A,0)),1,0)</f>
        <v>0</v>
      </c>
      <c r="S174" s="27">
        <f t="shared" si="9"/>
        <v>2859</v>
      </c>
      <c r="T174" s="27">
        <f t="shared" si="10"/>
        <v>0</v>
      </c>
      <c r="U174" s="27">
        <f t="shared" si="11"/>
        <v>0</v>
      </c>
      <c r="V174" s="95">
        <f>IF(R174=1,(N174-INDEX(Sectorwise!F:F,MATCH(F174,Sectorwise!A:A,0))),0)</f>
        <v>0</v>
      </c>
      <c r="W174" s="97">
        <f>POISSON(N174,INDEX(Sectorwise!D:D,MATCH(Travel!F231,Sectorwise!A:A,0)),TRUE)</f>
        <v>1.9939674952783686E-9</v>
      </c>
    </row>
    <row r="175" spans="1:24" ht="15.75" hidden="1" customHeight="1" x14ac:dyDescent="0.2">
      <c r="A175" s="21" t="s">
        <v>669</v>
      </c>
      <c r="B175" s="24" t="s">
        <v>673</v>
      </c>
      <c r="C175" s="22"/>
      <c r="D175" s="32"/>
      <c r="E175" s="60" t="s">
        <v>2284</v>
      </c>
      <c r="F175" s="29" t="s">
        <v>2134</v>
      </c>
      <c r="G175" s="56" t="s">
        <v>2309</v>
      </c>
      <c r="H175" s="21" t="s">
        <v>674</v>
      </c>
      <c r="I175" s="21" t="s">
        <v>675</v>
      </c>
      <c r="J175" s="25">
        <v>1382</v>
      </c>
      <c r="K175" s="25">
        <v>1476</v>
      </c>
      <c r="L175" s="26">
        <f t="shared" si="8"/>
        <v>2858</v>
      </c>
      <c r="M175" s="26">
        <f t="array" ref="M175">MEDIAN(IF($F$3:$F$810=F175,$L$3:$L$810))</f>
        <v>7412.5</v>
      </c>
      <c r="N175" s="47">
        <v>2858</v>
      </c>
      <c r="O175" s="55"/>
      <c r="P175" s="76">
        <f>IF(N175&lt;INDEX(Sectorwise!E:E,MATCH(F175,Sectorwise!A:A,0)),1,0)</f>
        <v>1</v>
      </c>
      <c r="Q175" s="76">
        <f>IF(AND(N175&gt;=INDEX(Sectorwise!E:E,MATCH(F175,Sectorwise!A:A,0)),N175&lt;=INDEX(Sectorwise!F:F,MATCH(F175,Sectorwise!A:A,0))),1,0)</f>
        <v>0</v>
      </c>
      <c r="R175" s="76">
        <f>IF(N175&gt;INDEX(Sectorwise!F:F,MATCH(F175,Sectorwise!A:A,0)),1,0)</f>
        <v>0</v>
      </c>
      <c r="S175" s="27">
        <f t="shared" si="9"/>
        <v>2858</v>
      </c>
      <c r="T175" s="27">
        <f t="shared" si="10"/>
        <v>0</v>
      </c>
      <c r="U175" s="27">
        <f t="shared" si="11"/>
        <v>0</v>
      </c>
      <c r="V175" s="95">
        <f>IF(R175=1,(N175-INDEX(Sectorwise!F:F,MATCH(F175,Sectorwise!A:A,0))),0)</f>
        <v>0</v>
      </c>
      <c r="W175" s="97">
        <f>POISSON(N175,INDEX(Sectorwise!D:D,MATCH(Travel!F255,Sectorwise!A:A,0)),TRUE)</f>
        <v>0</v>
      </c>
    </row>
    <row r="176" spans="1:24" ht="15.75" hidden="1" customHeight="1" x14ac:dyDescent="0.2">
      <c r="A176" s="60" t="s">
        <v>889</v>
      </c>
      <c r="B176" s="60" t="s">
        <v>890</v>
      </c>
      <c r="C176" s="60"/>
      <c r="E176" s="60" t="s">
        <v>2284</v>
      </c>
      <c r="F176" s="29" t="s">
        <v>2134</v>
      </c>
      <c r="G176" s="56" t="s">
        <v>2309</v>
      </c>
      <c r="H176" s="60" t="s">
        <v>891</v>
      </c>
      <c r="I176" s="60" t="s">
        <v>892</v>
      </c>
      <c r="J176" s="61">
        <v>5540</v>
      </c>
      <c r="K176" s="61">
        <v>1865</v>
      </c>
      <c r="L176" s="26">
        <f t="shared" si="8"/>
        <v>7405</v>
      </c>
      <c r="M176" s="26">
        <f t="array" ref="M176">MEDIAN(IF($F$3:$F$810=F176,$L$3:$L$810))</f>
        <v>7412.5</v>
      </c>
      <c r="N176" s="61">
        <v>7405</v>
      </c>
      <c r="O176" s="62">
        <v>0</v>
      </c>
      <c r="P176" s="76">
        <f>IF(N176&lt;INDEX(Sectorwise!E:E,MATCH(F176,Sectorwise!A:A,0)),1,0)</f>
        <v>0</v>
      </c>
      <c r="Q176" s="76">
        <f>IF(AND(N176&gt;=INDEX(Sectorwise!E:E,MATCH(F176,Sectorwise!A:A,0)),N176&lt;=INDEX(Sectorwise!F:F,MATCH(F176,Sectorwise!A:A,0))),1,0)</f>
        <v>1</v>
      </c>
      <c r="R176" s="76">
        <f>IF(N176&gt;INDEX(Sectorwise!F:F,MATCH(F176,Sectorwise!A:A,0)),1,0)</f>
        <v>0</v>
      </c>
      <c r="S176" s="27">
        <f t="shared" si="9"/>
        <v>0</v>
      </c>
      <c r="T176" s="27">
        <f t="shared" si="10"/>
        <v>7405</v>
      </c>
      <c r="U176" s="27">
        <f t="shared" si="11"/>
        <v>0</v>
      </c>
      <c r="V176" s="95">
        <f>IF(R176=1,(N176-INDEX(Sectorwise!F:F,MATCH(F176,Sectorwise!A:A,0))),0)</f>
        <v>0</v>
      </c>
      <c r="W176" s="97">
        <f>POISSON(N176,INDEX(Sectorwise!D:D,MATCH(Travel!F335,Sectorwise!A:A,0)),TRUE)</f>
        <v>0.46836465270902955</v>
      </c>
    </row>
    <row r="177" spans="1:24" ht="15.75" hidden="1" customHeight="1" x14ac:dyDescent="0.2">
      <c r="A177" s="63" t="s">
        <v>1234</v>
      </c>
      <c r="B177" s="63" t="s">
        <v>1240</v>
      </c>
      <c r="C177" s="63" t="s">
        <v>1241</v>
      </c>
      <c r="E177" s="60" t="s">
        <v>2284</v>
      </c>
      <c r="F177" s="29" t="s">
        <v>2134</v>
      </c>
      <c r="G177" s="56" t="s">
        <v>2309</v>
      </c>
      <c r="H177" s="63" t="s">
        <v>1242</v>
      </c>
      <c r="I177" s="63" t="s">
        <v>1243</v>
      </c>
      <c r="J177" s="65">
        <v>6100</v>
      </c>
      <c r="K177" s="65">
        <v>1896</v>
      </c>
      <c r="L177" s="26">
        <f t="shared" si="8"/>
        <v>7996</v>
      </c>
      <c r="M177" s="26">
        <f t="array" ref="M177">MEDIAN(IF($F$3:$F$810=F177,$L$3:$L$810))</f>
        <v>7412.5</v>
      </c>
      <c r="N177" s="65">
        <v>7996</v>
      </c>
      <c r="O177" s="62">
        <v>6317</v>
      </c>
      <c r="P177" s="76">
        <f>IF(N177&lt;INDEX(Sectorwise!E:E,MATCH(F177,Sectorwise!A:A,0)),1,0)</f>
        <v>0</v>
      </c>
      <c r="Q177" s="76">
        <f>IF(AND(N177&gt;=INDEX(Sectorwise!E:E,MATCH(F177,Sectorwise!A:A,0)),N177&lt;=INDEX(Sectorwise!F:F,MATCH(F177,Sectorwise!A:A,0))),1,0)</f>
        <v>1</v>
      </c>
      <c r="R177" s="76">
        <f>IF(N177&gt;INDEX(Sectorwise!F:F,MATCH(F177,Sectorwise!A:A,0)),1,0)</f>
        <v>0</v>
      </c>
      <c r="S177" s="27">
        <f t="shared" si="9"/>
        <v>0</v>
      </c>
      <c r="T177" s="27">
        <f t="shared" si="10"/>
        <v>7996</v>
      </c>
      <c r="U177" s="27">
        <f t="shared" si="11"/>
        <v>0</v>
      </c>
      <c r="V177" s="95">
        <f>IF(R177=1,(N177-INDEX(Sectorwise!F:F,MATCH(F177,Sectorwise!A:A,0))),0)</f>
        <v>0</v>
      </c>
      <c r="W177" s="97">
        <f>POISSON(N177,INDEX(Sectorwise!D:D,MATCH(Travel!F467,Sectorwise!A:A,0)),TRUE)</f>
        <v>0</v>
      </c>
    </row>
    <row r="178" spans="1:24" ht="15.75" hidden="1" customHeight="1" x14ac:dyDescent="0.2">
      <c r="A178" s="63" t="s">
        <v>1265</v>
      </c>
      <c r="B178" s="63" t="s">
        <v>1266</v>
      </c>
      <c r="C178" s="63"/>
      <c r="E178" s="60" t="s">
        <v>2284</v>
      </c>
      <c r="F178" s="29" t="s">
        <v>2134</v>
      </c>
      <c r="G178" s="56" t="s">
        <v>2309</v>
      </c>
      <c r="H178" s="63" t="s">
        <v>1267</v>
      </c>
      <c r="I178" s="63" t="s">
        <v>1243</v>
      </c>
      <c r="J178" s="65">
        <v>5800</v>
      </c>
      <c r="K178" s="65">
        <v>1879</v>
      </c>
      <c r="L178" s="26">
        <f t="shared" si="8"/>
        <v>7679</v>
      </c>
      <c r="M178" s="26">
        <f t="array" ref="M178">MEDIAN(IF($F$3:$F$810=F178,$L$3:$L$810))</f>
        <v>7412.5</v>
      </c>
      <c r="N178" s="65">
        <v>7679</v>
      </c>
      <c r="O178" s="62">
        <v>0</v>
      </c>
      <c r="P178" s="76">
        <f>IF(N178&lt;INDEX(Sectorwise!E:E,MATCH(F178,Sectorwise!A:A,0)),1,0)</f>
        <v>0</v>
      </c>
      <c r="Q178" s="76">
        <f>IF(AND(N178&gt;=INDEX(Sectorwise!E:E,MATCH(F178,Sectorwise!A:A,0)),N178&lt;=INDEX(Sectorwise!F:F,MATCH(F178,Sectorwise!A:A,0))),1,0)</f>
        <v>1</v>
      </c>
      <c r="R178" s="76">
        <f>IF(N178&gt;INDEX(Sectorwise!F:F,MATCH(F178,Sectorwise!A:A,0)),1,0)</f>
        <v>0</v>
      </c>
      <c r="S178" s="27">
        <f t="shared" si="9"/>
        <v>0</v>
      </c>
      <c r="T178" s="27">
        <f t="shared" si="10"/>
        <v>7679</v>
      </c>
      <c r="U178" s="27">
        <f t="shared" si="11"/>
        <v>0</v>
      </c>
      <c r="V178" s="95">
        <f>IF(R178=1,(N178-INDEX(Sectorwise!F:F,MATCH(F178,Sectorwise!A:A,0))),0)</f>
        <v>0</v>
      </c>
      <c r="W178" s="97">
        <f>POISSON(N178,INDEX(Sectorwise!D:D,MATCH(Travel!F476,Sectorwise!A:A,0)),TRUE)</f>
        <v>1.2982590073590982E-196</v>
      </c>
    </row>
    <row r="179" spans="1:24" ht="15.75" hidden="1" customHeight="1" x14ac:dyDescent="0.2">
      <c r="A179" s="29" t="s">
        <v>1676</v>
      </c>
      <c r="B179" s="29" t="s">
        <v>1681</v>
      </c>
      <c r="C179" s="29"/>
      <c r="E179" s="60" t="s">
        <v>2284</v>
      </c>
      <c r="F179" s="29" t="s">
        <v>2134</v>
      </c>
      <c r="G179" s="56" t="s">
        <v>2309</v>
      </c>
      <c r="H179" s="29" t="s">
        <v>1682</v>
      </c>
      <c r="I179" s="29" t="s">
        <v>1683</v>
      </c>
      <c r="J179" s="65">
        <v>6100</v>
      </c>
      <c r="K179" s="65">
        <v>1896</v>
      </c>
      <c r="L179" s="26">
        <f t="shared" si="8"/>
        <v>7996</v>
      </c>
      <c r="M179" s="26">
        <f t="array" ref="M179">MEDIAN(IF($F$3:$F$810=F179,$L$3:$L$810))</f>
        <v>7412.5</v>
      </c>
      <c r="N179" s="65">
        <v>15992</v>
      </c>
      <c r="O179" s="62"/>
      <c r="P179" s="76">
        <f>IF(N179&lt;INDEX(Sectorwise!E:E,MATCH(F179,Sectorwise!A:A,0)),1,0)</f>
        <v>0</v>
      </c>
      <c r="Q179" s="76">
        <f>IF(AND(N179&gt;=INDEX(Sectorwise!E:E,MATCH(F179,Sectorwise!A:A,0)),N179&lt;=INDEX(Sectorwise!F:F,MATCH(F179,Sectorwise!A:A,0))),1,0)</f>
        <v>0</v>
      </c>
      <c r="R179" s="76">
        <f>IF(N179&gt;INDEX(Sectorwise!F:F,MATCH(F179,Sectorwise!A:A,0)),1,0)</f>
        <v>1</v>
      </c>
      <c r="S179" s="27">
        <f t="shared" si="9"/>
        <v>0</v>
      </c>
      <c r="T179" s="27">
        <f t="shared" si="10"/>
        <v>0</v>
      </c>
      <c r="U179" s="27">
        <f t="shared" si="11"/>
        <v>15992</v>
      </c>
      <c r="V179" s="95">
        <f>IF(R179=1,(N179-INDEX(Sectorwise!F:F,MATCH(F179,Sectorwise!A:A,0))),0)</f>
        <v>7792</v>
      </c>
      <c r="W179" s="97">
        <f>POISSON(N179,INDEX(Sectorwise!D:D,MATCH(Travel!F638,Sectorwise!A:A,0)),TRUE)</f>
        <v>1.2605746427377676E-237</v>
      </c>
    </row>
    <row r="180" spans="1:24" ht="15.75" hidden="1" customHeight="1" x14ac:dyDescent="0.2">
      <c r="A180" s="69" t="s">
        <v>1994</v>
      </c>
      <c r="B180" s="69" t="s">
        <v>2015</v>
      </c>
      <c r="C180" s="69"/>
      <c r="E180" s="60" t="s">
        <v>2284</v>
      </c>
      <c r="F180" s="29" t="s">
        <v>2134</v>
      </c>
      <c r="G180" s="56" t="s">
        <v>2309</v>
      </c>
      <c r="H180" s="69" t="s">
        <v>2016</v>
      </c>
      <c r="I180" s="69" t="s">
        <v>1977</v>
      </c>
      <c r="J180" s="70">
        <v>6100</v>
      </c>
      <c r="K180" s="70">
        <v>1896</v>
      </c>
      <c r="L180" s="26">
        <f t="shared" si="8"/>
        <v>7996</v>
      </c>
      <c r="M180" s="26">
        <f t="array" ref="M180">MEDIAN(IF($F$3:$F$810=F180,$L$3:$L$810))</f>
        <v>7412.5</v>
      </c>
      <c r="N180" s="70">
        <v>7996</v>
      </c>
      <c r="O180" s="71">
        <v>0</v>
      </c>
      <c r="P180" s="76">
        <f>IF(N180&lt;INDEX(Sectorwise!E:E,MATCH(F180,Sectorwise!A:A,0)),1,0)</f>
        <v>0</v>
      </c>
      <c r="Q180" s="76">
        <f>IF(AND(N180&gt;=INDEX(Sectorwise!E:E,MATCH(F180,Sectorwise!A:A,0)),N180&lt;=INDEX(Sectorwise!F:F,MATCH(F180,Sectorwise!A:A,0))),1,0)</f>
        <v>1</v>
      </c>
      <c r="R180" s="76">
        <f>IF(N180&gt;INDEX(Sectorwise!F:F,MATCH(F180,Sectorwise!A:A,0)),1,0)</f>
        <v>0</v>
      </c>
      <c r="S180" s="27">
        <f t="shared" si="9"/>
        <v>0</v>
      </c>
      <c r="T180" s="27">
        <f t="shared" si="10"/>
        <v>7996</v>
      </c>
      <c r="U180" s="27">
        <f t="shared" si="11"/>
        <v>0</v>
      </c>
      <c r="V180" s="95">
        <f>IF(R180=1,(N180-INDEX(Sectorwise!F:F,MATCH(F180,Sectorwise!A:A,0))),0)</f>
        <v>0</v>
      </c>
      <c r="W180" s="97">
        <f>POISSON(N180,INDEX(Sectorwise!D:D,MATCH(Travel!F767,Sectorwise!A:A,0)),TRUE)</f>
        <v>1</v>
      </c>
    </row>
    <row r="181" spans="1:24" ht="15.75" hidden="1" customHeight="1" x14ac:dyDescent="0.2">
      <c r="A181" s="63" t="s">
        <v>1123</v>
      </c>
      <c r="B181" s="63" t="s">
        <v>1127</v>
      </c>
      <c r="C181" s="63"/>
      <c r="E181" s="60" t="s">
        <v>2284</v>
      </c>
      <c r="F181" s="63" t="s">
        <v>2136</v>
      </c>
      <c r="G181" s="56" t="s">
        <v>2309</v>
      </c>
      <c r="H181" s="63" t="s">
        <v>1128</v>
      </c>
      <c r="I181" s="63" t="s">
        <v>1104</v>
      </c>
      <c r="J181" s="65">
        <v>9345</v>
      </c>
      <c r="K181" s="65">
        <v>3588</v>
      </c>
      <c r="L181" s="26">
        <f t="shared" si="8"/>
        <v>12933</v>
      </c>
      <c r="M181" s="26">
        <f t="array" ref="M181">MEDIAN(IF($F$3:$F$810=F181,$L$3:$L$810))</f>
        <v>14406</v>
      </c>
      <c r="N181" s="65">
        <v>12933</v>
      </c>
      <c r="O181" s="62">
        <v>0</v>
      </c>
      <c r="P181" s="76">
        <f>IF(N181&lt;INDEX(Sectorwise!E:E,MATCH(F181,Sectorwise!A:A,0)),1,0)</f>
        <v>0</v>
      </c>
      <c r="Q181" s="76">
        <f>IF(AND(N181&gt;=INDEX(Sectorwise!E:E,MATCH(F181,Sectorwise!A:A,0)),N181&lt;=INDEX(Sectorwise!F:F,MATCH(F181,Sectorwise!A:A,0))),1,0)</f>
        <v>1</v>
      </c>
      <c r="R181" s="76">
        <f>IF(N181&gt;INDEX(Sectorwise!F:F,MATCH(F181,Sectorwise!A:A,0)),1,0)</f>
        <v>0</v>
      </c>
      <c r="S181" s="27">
        <f t="shared" si="9"/>
        <v>0</v>
      </c>
      <c r="T181" s="27">
        <f t="shared" si="10"/>
        <v>12933</v>
      </c>
      <c r="U181" s="27">
        <f t="shared" si="11"/>
        <v>0</v>
      </c>
      <c r="V181" s="95">
        <f>IF(R181=1,(N181-INDEX(Sectorwise!F:F,MATCH(F181,Sectorwise!A:A,0))),0)</f>
        <v>0</v>
      </c>
      <c r="W181" s="97">
        <f>POISSON(N181,INDEX(Sectorwise!D:D,MATCH(Travel!F425,Sectorwise!A:A,0)),TRUE)</f>
        <v>1</v>
      </c>
    </row>
    <row r="182" spans="1:24" ht="15.75" hidden="1" customHeight="1" x14ac:dyDescent="0.2">
      <c r="A182" s="63" t="s">
        <v>1473</v>
      </c>
      <c r="B182" s="63" t="s">
        <v>1477</v>
      </c>
      <c r="C182" s="63" t="s">
        <v>1478</v>
      </c>
      <c r="E182" s="60" t="s">
        <v>2284</v>
      </c>
      <c r="F182" s="63" t="s">
        <v>2160</v>
      </c>
      <c r="G182" s="56" t="s">
        <v>2309</v>
      </c>
      <c r="H182" s="63" t="s">
        <v>1479</v>
      </c>
      <c r="I182" s="63" t="s">
        <v>1453</v>
      </c>
      <c r="J182" s="65">
        <v>13750</v>
      </c>
      <c r="K182" s="65">
        <v>4948</v>
      </c>
      <c r="L182" s="26">
        <f t="shared" si="8"/>
        <v>18698</v>
      </c>
      <c r="M182" s="26">
        <f t="array" ref="M182">MEDIAN(IF($F$3:$F$810=F182,$L$3:$L$810))</f>
        <v>18882</v>
      </c>
      <c r="N182" s="65">
        <v>18698</v>
      </c>
      <c r="O182" s="62">
        <v>8383</v>
      </c>
      <c r="P182" s="76">
        <f>IF(N182&lt;INDEX(Sectorwise!E:E,MATCH(F182,Sectorwise!A:A,0)),1,0)</f>
        <v>0</v>
      </c>
      <c r="Q182" s="76">
        <f>IF(AND(N182&gt;=INDEX(Sectorwise!E:E,MATCH(F182,Sectorwise!A:A,0)),N182&lt;=INDEX(Sectorwise!F:F,MATCH(F182,Sectorwise!A:A,0))),1,0)</f>
        <v>1</v>
      </c>
      <c r="R182" s="76">
        <f>IF(N182&gt;INDEX(Sectorwise!F:F,MATCH(F182,Sectorwise!A:A,0)),1,0)</f>
        <v>0</v>
      </c>
      <c r="S182" s="27">
        <f t="shared" si="9"/>
        <v>0</v>
      </c>
      <c r="T182" s="27">
        <f t="shared" si="10"/>
        <v>18698</v>
      </c>
      <c r="U182" s="27">
        <f t="shared" si="11"/>
        <v>0</v>
      </c>
      <c r="V182" s="95">
        <f>IF(R182=1,(N182-INDEX(Sectorwise!F:F,MATCH(F182,Sectorwise!A:A,0))),0)</f>
        <v>0</v>
      </c>
      <c r="W182" s="97">
        <f>POISSON(N182,INDEX(Sectorwise!D:D,MATCH(Travel!F553,Sectorwise!A:A,0)),TRUE)</f>
        <v>1</v>
      </c>
    </row>
    <row r="183" spans="1:24" ht="15.75" hidden="1" customHeight="1" x14ac:dyDescent="0.2">
      <c r="A183" s="21" t="s">
        <v>141</v>
      </c>
      <c r="B183" s="21" t="s">
        <v>147</v>
      </c>
      <c r="C183" s="22"/>
      <c r="D183" s="32"/>
      <c r="E183" s="60" t="s">
        <v>2284</v>
      </c>
      <c r="F183" s="21" t="s">
        <v>2147</v>
      </c>
      <c r="G183" s="56" t="s">
        <v>2309</v>
      </c>
      <c r="H183" s="21" t="s">
        <v>148</v>
      </c>
      <c r="I183" s="21" t="s">
        <v>81</v>
      </c>
      <c r="J183" s="25">
        <v>5870</v>
      </c>
      <c r="K183" s="25">
        <v>5287</v>
      </c>
      <c r="L183" s="26">
        <f t="shared" si="8"/>
        <v>11157</v>
      </c>
      <c r="M183" s="26">
        <f t="array" ref="M183">MEDIAN(IF($F$3:$F$810=F183,$L$3:$L$810))</f>
        <v>10605</v>
      </c>
      <c r="N183" s="26">
        <v>11157</v>
      </c>
      <c r="O183" s="27"/>
      <c r="P183" s="76">
        <f>IF(N183&lt;INDEX(Sectorwise!E:E,MATCH(F183,Sectorwise!A:A,0)),1,0)</f>
        <v>0</v>
      </c>
      <c r="Q183" s="76">
        <f>IF(AND(N183&gt;=INDEX(Sectorwise!E:E,MATCH(F183,Sectorwise!A:A,0)),N183&lt;=INDEX(Sectorwise!F:F,MATCH(F183,Sectorwise!A:A,0))),1,0)</f>
        <v>1</v>
      </c>
      <c r="R183" s="76">
        <f>IF(N183&gt;INDEX(Sectorwise!F:F,MATCH(F183,Sectorwise!A:A,0)),1,0)</f>
        <v>0</v>
      </c>
      <c r="S183" s="27">
        <f t="shared" si="9"/>
        <v>0</v>
      </c>
      <c r="T183" s="27">
        <f t="shared" si="10"/>
        <v>11157</v>
      </c>
      <c r="U183" s="27">
        <f t="shared" si="11"/>
        <v>0</v>
      </c>
      <c r="V183" s="95">
        <f>IF(R183=1,(N183-INDEX(Sectorwise!F:F,MATCH(F183,Sectorwise!A:A,0))),0)</f>
        <v>0</v>
      </c>
      <c r="W183" s="97">
        <f>POISSON(N183,INDEX(Sectorwise!D:D,MATCH(Travel!F51,Sectorwise!A:A,0)),TRUE)</f>
        <v>1</v>
      </c>
      <c r="X183" s="28">
        <v>11157</v>
      </c>
    </row>
    <row r="184" spans="1:24" ht="15.75" hidden="1" customHeight="1" x14ac:dyDescent="0.2">
      <c r="A184" s="63" t="s">
        <v>1582</v>
      </c>
      <c r="B184" s="63" t="s">
        <v>1590</v>
      </c>
      <c r="C184" s="63"/>
      <c r="E184" s="60" t="s">
        <v>2284</v>
      </c>
      <c r="F184" s="63" t="s">
        <v>2147</v>
      </c>
      <c r="G184" s="56" t="s">
        <v>2309</v>
      </c>
      <c r="H184" s="63" t="s">
        <v>1591</v>
      </c>
      <c r="I184" s="63" t="s">
        <v>1516</v>
      </c>
      <c r="J184" s="65">
        <v>6400</v>
      </c>
      <c r="K184" s="65">
        <v>4129</v>
      </c>
      <c r="L184" s="26">
        <f t="shared" si="8"/>
        <v>10529</v>
      </c>
      <c r="M184" s="26">
        <f t="array" ref="M184">MEDIAN(IF($F$3:$F$810=F184,$L$3:$L$810))</f>
        <v>10605</v>
      </c>
      <c r="N184" s="65">
        <v>10529</v>
      </c>
      <c r="O184" s="62">
        <v>0</v>
      </c>
      <c r="P184" s="76">
        <f>IF(N184&lt;INDEX(Sectorwise!E:E,MATCH(F184,Sectorwise!A:A,0)),1,0)</f>
        <v>0</v>
      </c>
      <c r="Q184" s="76">
        <f>IF(AND(N184&gt;=INDEX(Sectorwise!E:E,MATCH(F184,Sectorwise!A:A,0)),N184&lt;=INDEX(Sectorwise!F:F,MATCH(F184,Sectorwise!A:A,0))),1,0)</f>
        <v>1</v>
      </c>
      <c r="R184" s="76">
        <f>IF(N184&gt;INDEX(Sectorwise!F:F,MATCH(F184,Sectorwise!A:A,0)),1,0)</f>
        <v>0</v>
      </c>
      <c r="S184" s="27">
        <f t="shared" si="9"/>
        <v>0</v>
      </c>
      <c r="T184" s="27">
        <f t="shared" si="10"/>
        <v>10529</v>
      </c>
      <c r="U184" s="27">
        <f t="shared" si="11"/>
        <v>0</v>
      </c>
      <c r="V184" s="95">
        <f>IF(R184=1,(N184-INDEX(Sectorwise!F:F,MATCH(F184,Sectorwise!A:A,0))),0)</f>
        <v>0</v>
      </c>
      <c r="W184" s="97">
        <f>POISSON(N184,INDEX(Sectorwise!D:D,MATCH(Travel!F603,Sectorwise!A:A,0)),TRUE)</f>
        <v>1</v>
      </c>
    </row>
    <row r="185" spans="1:24" ht="15.75" hidden="1" customHeight="1" x14ac:dyDescent="0.2">
      <c r="A185" s="63" t="s">
        <v>1644</v>
      </c>
      <c r="B185" s="63" t="s">
        <v>1651</v>
      </c>
      <c r="C185" s="63"/>
      <c r="E185" s="60" t="s">
        <v>2284</v>
      </c>
      <c r="F185" s="63" t="s">
        <v>2184</v>
      </c>
      <c r="G185" s="69" t="s">
        <v>2308</v>
      </c>
      <c r="H185" s="63" t="s">
        <v>1652</v>
      </c>
      <c r="I185" s="63" t="s">
        <v>1653</v>
      </c>
      <c r="J185" s="65">
        <v>5749</v>
      </c>
      <c r="K185" s="65">
        <v>931</v>
      </c>
      <c r="L185" s="26">
        <f t="shared" si="8"/>
        <v>6680</v>
      </c>
      <c r="M185" s="26">
        <f t="array" ref="M185">MEDIAN(IF($F$3:$F$810=F185,$L$3:$L$810))</f>
        <v>6680</v>
      </c>
      <c r="N185" s="65">
        <v>6680</v>
      </c>
      <c r="O185" s="62">
        <v>0</v>
      </c>
      <c r="P185" s="76">
        <f>IF(N185&lt;INDEX(Sectorwise!E:E,MATCH(F185,Sectorwise!A:A,0)),1,0)</f>
        <v>0</v>
      </c>
      <c r="Q185" s="76">
        <f>IF(AND(N185&gt;=INDEX(Sectorwise!E:E,MATCH(F185,Sectorwise!A:A,0)),N185&lt;=INDEX(Sectorwise!F:F,MATCH(F185,Sectorwise!A:A,0))),1,0)</f>
        <v>1</v>
      </c>
      <c r="R185" s="76">
        <f>IF(N185&gt;INDEX(Sectorwise!F:F,MATCH(F185,Sectorwise!A:A,0)),1,0)</f>
        <v>0</v>
      </c>
      <c r="S185" s="27">
        <f t="shared" si="9"/>
        <v>0</v>
      </c>
      <c r="T185" s="27">
        <f t="shared" si="10"/>
        <v>6680</v>
      </c>
      <c r="U185" s="27">
        <f t="shared" si="11"/>
        <v>0</v>
      </c>
      <c r="V185" s="95">
        <f>IF(R185=1,(N185-INDEX(Sectorwise!F:F,MATCH(F185,Sectorwise!A:A,0))),0)</f>
        <v>0</v>
      </c>
      <c r="W185" s="97">
        <f>POISSON(N185,INDEX(Sectorwise!D:D,MATCH(Travel!F629,Sectorwise!A:A,0)),TRUE)</f>
        <v>2.661949970720394E-18</v>
      </c>
    </row>
    <row r="186" spans="1:24" ht="15.75" hidden="1" customHeight="1" x14ac:dyDescent="0.2">
      <c r="A186" s="21" t="s">
        <v>161</v>
      </c>
      <c r="B186" s="21" t="s">
        <v>165</v>
      </c>
      <c r="C186" s="22"/>
      <c r="D186" s="32"/>
      <c r="E186" s="60" t="s">
        <v>2284</v>
      </c>
      <c r="F186" s="21" t="s">
        <v>2135</v>
      </c>
      <c r="G186" s="56" t="s">
        <v>2309</v>
      </c>
      <c r="H186" s="21" t="s">
        <v>167</v>
      </c>
      <c r="I186" s="21" t="s">
        <v>159</v>
      </c>
      <c r="J186" s="25">
        <v>3940</v>
      </c>
      <c r="K186" s="25">
        <v>3223</v>
      </c>
      <c r="L186" s="26">
        <f t="shared" si="8"/>
        <v>7163</v>
      </c>
      <c r="M186" s="26">
        <f t="array" ref="M186">MEDIAN(IF($F$3:$F$810=F186,$L$3:$L$810))</f>
        <v>7234</v>
      </c>
      <c r="N186" s="26">
        <v>7163</v>
      </c>
      <c r="O186" s="27"/>
      <c r="P186" s="76">
        <f>IF(N186&lt;INDEX(Sectorwise!E:E,MATCH(F186,Sectorwise!A:A,0)),1,0)</f>
        <v>0</v>
      </c>
      <c r="Q186" s="76">
        <f>IF(AND(N186&gt;=INDEX(Sectorwise!E:E,MATCH(F186,Sectorwise!A:A,0)),N186&lt;=INDEX(Sectorwise!F:F,MATCH(F186,Sectorwise!A:A,0))),1,0)</f>
        <v>1</v>
      </c>
      <c r="R186" s="76">
        <f>IF(N186&gt;INDEX(Sectorwise!F:F,MATCH(F186,Sectorwise!A:A,0)),1,0)</f>
        <v>0</v>
      </c>
      <c r="S186" s="27">
        <f t="shared" si="9"/>
        <v>0</v>
      </c>
      <c r="T186" s="27">
        <f t="shared" si="10"/>
        <v>7163</v>
      </c>
      <c r="U186" s="27">
        <f t="shared" si="11"/>
        <v>0</v>
      </c>
      <c r="V186" s="95">
        <f>IF(R186=1,(N186-INDEX(Sectorwise!F:F,MATCH(F186,Sectorwise!A:A,0))),0)</f>
        <v>0</v>
      </c>
      <c r="W186" s="97">
        <f>POISSON(N186,INDEX(Sectorwise!D:D,MATCH(Travel!F59,Sectorwise!A:A,0)),TRUE)</f>
        <v>2.9160950443441272E-239</v>
      </c>
      <c r="X186" s="28">
        <v>7163</v>
      </c>
    </row>
    <row r="187" spans="1:24" ht="15.75" hidden="1" customHeight="1" x14ac:dyDescent="0.2">
      <c r="A187" s="33" t="s">
        <v>198</v>
      </c>
      <c r="B187" s="33" t="s">
        <v>208</v>
      </c>
      <c r="C187" s="40"/>
      <c r="D187" s="35"/>
      <c r="E187" s="60" t="s">
        <v>2284</v>
      </c>
      <c r="F187" s="21" t="s">
        <v>2135</v>
      </c>
      <c r="G187" s="56" t="s">
        <v>2309</v>
      </c>
      <c r="H187" s="33" t="s">
        <v>210</v>
      </c>
      <c r="I187" s="33" t="s">
        <v>164</v>
      </c>
      <c r="J187" s="36">
        <v>3940</v>
      </c>
      <c r="K187" s="36">
        <v>3223</v>
      </c>
      <c r="L187" s="26">
        <f t="shared" si="8"/>
        <v>7163</v>
      </c>
      <c r="M187" s="26">
        <f t="array" ref="M187">MEDIAN(IF($F$3:$F$810=F187,$L$3:$L$810))</f>
        <v>7234</v>
      </c>
      <c r="N187" s="41">
        <v>7163</v>
      </c>
      <c r="O187" s="38"/>
      <c r="P187" s="76">
        <f>IF(N187&lt;INDEX(Sectorwise!E:E,MATCH(F187,Sectorwise!A:A,0)),1,0)</f>
        <v>0</v>
      </c>
      <c r="Q187" s="76">
        <f>IF(AND(N187&gt;=INDEX(Sectorwise!E:E,MATCH(F187,Sectorwise!A:A,0)),N187&lt;=INDEX(Sectorwise!F:F,MATCH(F187,Sectorwise!A:A,0))),1,0)</f>
        <v>1</v>
      </c>
      <c r="R187" s="76">
        <f>IF(N187&gt;INDEX(Sectorwise!F:F,MATCH(F187,Sectorwise!A:A,0)),1,0)</f>
        <v>0</v>
      </c>
      <c r="S187" s="27">
        <f t="shared" si="9"/>
        <v>0</v>
      </c>
      <c r="T187" s="27">
        <f t="shared" si="10"/>
        <v>7163</v>
      </c>
      <c r="U187" s="27">
        <f t="shared" si="11"/>
        <v>0</v>
      </c>
      <c r="V187" s="95">
        <f>IF(R187=1,(N187-INDEX(Sectorwise!F:F,MATCH(F187,Sectorwise!A:A,0))),0)</f>
        <v>0</v>
      </c>
      <c r="W187" s="97">
        <f>POISSON(N187,INDEX(Sectorwise!D:D,MATCH(Travel!F78,Sectorwise!A:A,0)),TRUE)</f>
        <v>0.99981080059820537</v>
      </c>
      <c r="X187" s="39">
        <f>+N187-O187</f>
        <v>7163</v>
      </c>
    </row>
    <row r="188" spans="1:24" ht="15.75" hidden="1" customHeight="1" x14ac:dyDescent="0.2">
      <c r="A188" s="21" t="s">
        <v>449</v>
      </c>
      <c r="B188" s="21" t="s">
        <v>458</v>
      </c>
      <c r="C188" s="22"/>
      <c r="D188" s="32"/>
      <c r="E188" s="60" t="s">
        <v>2284</v>
      </c>
      <c r="F188" s="21" t="s">
        <v>2135</v>
      </c>
      <c r="G188" s="56" t="s">
        <v>2309</v>
      </c>
      <c r="H188" s="21" t="s">
        <v>459</v>
      </c>
      <c r="I188" s="21" t="s">
        <v>460</v>
      </c>
      <c r="J188" s="25">
        <v>3990</v>
      </c>
      <c r="K188" s="25">
        <v>3173</v>
      </c>
      <c r="L188" s="26">
        <f t="shared" si="8"/>
        <v>7163</v>
      </c>
      <c r="M188" s="26">
        <f t="array" ref="M188">MEDIAN(IF($F$3:$F$810=F188,$L$3:$L$810))</f>
        <v>7234</v>
      </c>
      <c r="N188" s="47">
        <f>J188+K188</f>
        <v>7163</v>
      </c>
      <c r="O188" s="27"/>
      <c r="P188" s="76">
        <f>IF(N188&lt;INDEX(Sectorwise!E:E,MATCH(F188,Sectorwise!A:A,0)),1,0)</f>
        <v>0</v>
      </c>
      <c r="Q188" s="76">
        <f>IF(AND(N188&gt;=INDEX(Sectorwise!E:E,MATCH(F188,Sectorwise!A:A,0)),N188&lt;=INDEX(Sectorwise!F:F,MATCH(F188,Sectorwise!A:A,0))),1,0)</f>
        <v>1</v>
      </c>
      <c r="R188" s="76">
        <f>IF(N188&gt;INDEX(Sectorwise!F:F,MATCH(F188,Sectorwise!A:A,0)),1,0)</f>
        <v>0</v>
      </c>
      <c r="S188" s="27">
        <f t="shared" si="9"/>
        <v>0</v>
      </c>
      <c r="T188" s="27">
        <f t="shared" si="10"/>
        <v>7163</v>
      </c>
      <c r="U188" s="27">
        <f t="shared" si="11"/>
        <v>0</v>
      </c>
      <c r="V188" s="95">
        <f>IF(R188=1,(N188-INDEX(Sectorwise!F:F,MATCH(F188,Sectorwise!A:A,0))),0)</f>
        <v>0</v>
      </c>
      <c r="W188" s="97">
        <f>POISSON(N188,INDEX(Sectorwise!D:D,MATCH(Travel!F171,Sectorwise!A:A,0)),TRUE)</f>
        <v>1.8268967333359607E-3</v>
      </c>
    </row>
    <row r="189" spans="1:24" ht="15.75" hidden="1" customHeight="1" x14ac:dyDescent="0.2">
      <c r="A189" s="53" t="s">
        <v>528</v>
      </c>
      <c r="B189" s="54" t="s">
        <v>535</v>
      </c>
      <c r="C189" s="22"/>
      <c r="D189" s="32"/>
      <c r="E189" s="60" t="s">
        <v>2284</v>
      </c>
      <c r="F189" s="21" t="s">
        <v>2135</v>
      </c>
      <c r="G189" s="56" t="s">
        <v>2309</v>
      </c>
      <c r="H189" s="21" t="s">
        <v>536</v>
      </c>
      <c r="I189" s="21" t="s">
        <v>528</v>
      </c>
      <c r="J189" s="25">
        <v>3010</v>
      </c>
      <c r="K189" s="25">
        <v>3120</v>
      </c>
      <c r="L189" s="26">
        <f t="shared" si="8"/>
        <v>6130</v>
      </c>
      <c r="M189" s="26">
        <f t="array" ref="M189">MEDIAN(IF($F$3:$F$810=F189,$L$3:$L$810))</f>
        <v>7234</v>
      </c>
      <c r="N189" s="47">
        <v>6130</v>
      </c>
      <c r="O189" s="27"/>
      <c r="P189" s="76">
        <f>IF(N189&lt;INDEX(Sectorwise!E:E,MATCH(F189,Sectorwise!A:A,0)),1,0)</f>
        <v>1</v>
      </c>
      <c r="Q189" s="76">
        <f>IF(AND(N189&gt;=INDEX(Sectorwise!E:E,MATCH(F189,Sectorwise!A:A,0)),N189&lt;=INDEX(Sectorwise!F:F,MATCH(F189,Sectorwise!A:A,0))),1,0)</f>
        <v>0</v>
      </c>
      <c r="R189" s="76">
        <f>IF(N189&gt;INDEX(Sectorwise!F:F,MATCH(F189,Sectorwise!A:A,0)),1,0)</f>
        <v>0</v>
      </c>
      <c r="S189" s="27">
        <f t="shared" si="9"/>
        <v>6130</v>
      </c>
      <c r="T189" s="27">
        <f t="shared" si="10"/>
        <v>0</v>
      </c>
      <c r="U189" s="27">
        <f t="shared" si="11"/>
        <v>0</v>
      </c>
      <c r="V189" s="95">
        <f>IF(R189=1,(N189-INDEX(Sectorwise!F:F,MATCH(F189,Sectorwise!A:A,0))),0)</f>
        <v>0</v>
      </c>
      <c r="W189" s="97">
        <f>POISSON(N189,INDEX(Sectorwise!D:D,MATCH(Travel!F199,Sectorwise!A:A,0)),TRUE)</f>
        <v>1.0372785732952348E-105</v>
      </c>
    </row>
    <row r="190" spans="1:24" ht="15.75" hidden="1" customHeight="1" x14ac:dyDescent="0.2">
      <c r="A190" s="21" t="s">
        <v>587</v>
      </c>
      <c r="B190" s="21" t="s">
        <v>588</v>
      </c>
      <c r="C190" s="22"/>
      <c r="E190" s="60" t="s">
        <v>2284</v>
      </c>
      <c r="F190" s="21" t="s">
        <v>2135</v>
      </c>
      <c r="G190" s="56" t="s">
        <v>2309</v>
      </c>
      <c r="H190" s="21" t="s">
        <v>589</v>
      </c>
      <c r="I190" s="21" t="s">
        <v>590</v>
      </c>
      <c r="J190" s="25">
        <v>1482</v>
      </c>
      <c r="K190" s="25">
        <v>1617</v>
      </c>
      <c r="L190" s="26">
        <f t="shared" si="8"/>
        <v>3099</v>
      </c>
      <c r="M190" s="26">
        <f t="array" ref="M190">MEDIAN(IF($F$3:$F$810=F190,$L$3:$L$810))</f>
        <v>7234</v>
      </c>
      <c r="N190" s="47">
        <v>3099</v>
      </c>
      <c r="O190" s="55"/>
      <c r="P190" s="76">
        <f>IF(N190&lt;INDEX(Sectorwise!E:E,MATCH(F190,Sectorwise!A:A,0)),1,0)</f>
        <v>1</v>
      </c>
      <c r="Q190" s="76">
        <f>IF(AND(N190&gt;=INDEX(Sectorwise!E:E,MATCH(F190,Sectorwise!A:A,0)),N190&lt;=INDEX(Sectorwise!F:F,MATCH(F190,Sectorwise!A:A,0))),1,0)</f>
        <v>0</v>
      </c>
      <c r="R190" s="76">
        <f>IF(N190&gt;INDEX(Sectorwise!F:F,MATCH(F190,Sectorwise!A:A,0)),1,0)</f>
        <v>0</v>
      </c>
      <c r="S190" s="27">
        <f t="shared" si="9"/>
        <v>3099</v>
      </c>
      <c r="T190" s="27">
        <f t="shared" si="10"/>
        <v>0</v>
      </c>
      <c r="U190" s="27">
        <f t="shared" si="11"/>
        <v>0</v>
      </c>
      <c r="V190" s="95">
        <f>IF(R190=1,(N190-INDEX(Sectorwise!F:F,MATCH(F190,Sectorwise!A:A,0))),0)</f>
        <v>0</v>
      </c>
      <c r="W190" s="97">
        <f>POISSON(N190,INDEX(Sectorwise!D:D,MATCH(Travel!F221,Sectorwise!A:A,0)),TRUE)</f>
        <v>0</v>
      </c>
    </row>
    <row r="191" spans="1:24" ht="15.75" hidden="1" customHeight="1" x14ac:dyDescent="0.2">
      <c r="A191" s="21" t="s">
        <v>657</v>
      </c>
      <c r="B191" s="21" t="s">
        <v>667</v>
      </c>
      <c r="C191" s="22"/>
      <c r="E191" s="60" t="s">
        <v>2284</v>
      </c>
      <c r="F191" s="21" t="s">
        <v>2135</v>
      </c>
      <c r="G191" s="33" t="s">
        <v>2321</v>
      </c>
      <c r="H191" s="21" t="s">
        <v>668</v>
      </c>
      <c r="I191" s="21" t="s">
        <v>624</v>
      </c>
      <c r="J191" s="25">
        <v>2004</v>
      </c>
      <c r="K191" s="25">
        <v>2721</v>
      </c>
      <c r="L191" s="26">
        <f t="shared" si="8"/>
        <v>4725</v>
      </c>
      <c r="M191" s="26">
        <f t="array" ref="M191">MEDIAN(IF($F$3:$F$810=F191,$L$3:$L$810))</f>
        <v>7234</v>
      </c>
      <c r="N191" s="47">
        <v>4725</v>
      </c>
      <c r="O191" s="55"/>
      <c r="P191" s="76">
        <f>IF(N191&lt;INDEX(Sectorwise!E:E,MATCH(F191,Sectorwise!A:A,0)),1,0)</f>
        <v>1</v>
      </c>
      <c r="Q191" s="76">
        <f>IF(AND(N191&gt;=INDEX(Sectorwise!E:E,MATCH(F191,Sectorwise!A:A,0)),N191&lt;=INDEX(Sectorwise!F:F,MATCH(F191,Sectorwise!A:A,0))),1,0)</f>
        <v>0</v>
      </c>
      <c r="R191" s="76">
        <f>IF(N191&gt;INDEX(Sectorwise!F:F,MATCH(F191,Sectorwise!A:A,0)),1,0)</f>
        <v>0</v>
      </c>
      <c r="S191" s="27">
        <f t="shared" si="9"/>
        <v>4725</v>
      </c>
      <c r="T191" s="27">
        <f t="shared" si="10"/>
        <v>0</v>
      </c>
      <c r="U191" s="27">
        <f t="shared" si="11"/>
        <v>0</v>
      </c>
      <c r="V191" s="95">
        <f>IF(R191=1,(N191-INDEX(Sectorwise!F:F,MATCH(F191,Sectorwise!A:A,0))),0)</f>
        <v>0</v>
      </c>
      <c r="W191" s="97">
        <f>POISSON(N191,INDEX(Sectorwise!D:D,MATCH(Travel!F253,Sectorwise!A:A,0)),TRUE)</f>
        <v>0.46331354554573556</v>
      </c>
    </row>
    <row r="192" spans="1:24" ht="15.75" hidden="1" customHeight="1" x14ac:dyDescent="0.2">
      <c r="A192" s="21" t="s">
        <v>688</v>
      </c>
      <c r="B192" s="24" t="s">
        <v>689</v>
      </c>
      <c r="C192" s="22"/>
      <c r="D192" s="32"/>
      <c r="E192" s="60" t="s">
        <v>2284</v>
      </c>
      <c r="F192" s="21" t="s">
        <v>2135</v>
      </c>
      <c r="G192" s="56" t="s">
        <v>2309</v>
      </c>
      <c r="H192" s="21" t="s">
        <v>690</v>
      </c>
      <c r="I192" s="21" t="s">
        <v>675</v>
      </c>
      <c r="J192" s="25">
        <v>2345</v>
      </c>
      <c r="K192" s="25">
        <v>1771</v>
      </c>
      <c r="L192" s="26">
        <f t="shared" si="8"/>
        <v>4116</v>
      </c>
      <c r="M192" s="26">
        <f t="array" ref="M192">MEDIAN(IF($F$3:$F$810=F192,$L$3:$L$810))</f>
        <v>7234</v>
      </c>
      <c r="N192" s="47">
        <v>4116</v>
      </c>
      <c r="O192" s="55"/>
      <c r="P192" s="76">
        <f>IF(N192&lt;INDEX(Sectorwise!E:E,MATCH(F192,Sectorwise!A:A,0)),1,0)</f>
        <v>1</v>
      </c>
      <c r="Q192" s="76">
        <f>IF(AND(N192&gt;=INDEX(Sectorwise!E:E,MATCH(F192,Sectorwise!A:A,0)),N192&lt;=INDEX(Sectorwise!F:F,MATCH(F192,Sectorwise!A:A,0))),1,0)</f>
        <v>0</v>
      </c>
      <c r="R192" s="76">
        <f>IF(N192&gt;INDEX(Sectorwise!F:F,MATCH(F192,Sectorwise!A:A,0)),1,0)</f>
        <v>0</v>
      </c>
      <c r="S192" s="27">
        <f t="shared" si="9"/>
        <v>4116</v>
      </c>
      <c r="T192" s="27">
        <f t="shared" si="10"/>
        <v>0</v>
      </c>
      <c r="U192" s="27">
        <f t="shared" si="11"/>
        <v>0</v>
      </c>
      <c r="V192" s="95">
        <f>IF(R192=1,(N192-INDEX(Sectorwise!F:F,MATCH(F192,Sectorwise!A:A,0))),0)</f>
        <v>0</v>
      </c>
      <c r="W192" s="97">
        <f>POISSON(N192,INDEX(Sectorwise!D:D,MATCH(Travel!F261,Sectorwise!A:A,0)),TRUE)</f>
        <v>0</v>
      </c>
    </row>
    <row r="193" spans="1:24" ht="15.75" hidden="1" customHeight="1" x14ac:dyDescent="0.2">
      <c r="A193" s="60" t="s">
        <v>1000</v>
      </c>
      <c r="B193" s="60" t="s">
        <v>1001</v>
      </c>
      <c r="C193" s="60"/>
      <c r="E193" s="60" t="s">
        <v>2284</v>
      </c>
      <c r="F193" s="21" t="s">
        <v>2135</v>
      </c>
      <c r="G193" s="56" t="s">
        <v>2309</v>
      </c>
      <c r="H193" s="60" t="s">
        <v>1002</v>
      </c>
      <c r="I193" s="60" t="s">
        <v>930</v>
      </c>
      <c r="J193" s="61">
        <v>5540</v>
      </c>
      <c r="K193" s="61">
        <v>1947</v>
      </c>
      <c r="L193" s="26">
        <f t="shared" si="8"/>
        <v>7487</v>
      </c>
      <c r="M193" s="26">
        <f t="array" ref="M193">MEDIAN(IF($F$3:$F$810=F193,$L$3:$L$810))</f>
        <v>7234</v>
      </c>
      <c r="N193" s="61">
        <v>7487</v>
      </c>
      <c r="O193" s="62">
        <v>0</v>
      </c>
      <c r="P193" s="76">
        <f>IF(N193&lt;INDEX(Sectorwise!E:E,MATCH(F193,Sectorwise!A:A,0)),1,0)</f>
        <v>0</v>
      </c>
      <c r="Q193" s="76">
        <f>IF(AND(N193&gt;=INDEX(Sectorwise!E:E,MATCH(F193,Sectorwise!A:A,0)),N193&lt;=INDEX(Sectorwise!F:F,MATCH(F193,Sectorwise!A:A,0))),1,0)</f>
        <v>1</v>
      </c>
      <c r="R193" s="76">
        <f>IF(N193&gt;INDEX(Sectorwise!F:F,MATCH(F193,Sectorwise!A:A,0)),1,0)</f>
        <v>0</v>
      </c>
      <c r="S193" s="27">
        <f t="shared" si="9"/>
        <v>0</v>
      </c>
      <c r="T193" s="27">
        <f t="shared" si="10"/>
        <v>7487</v>
      </c>
      <c r="U193" s="27">
        <f t="shared" si="11"/>
        <v>0</v>
      </c>
      <c r="V193" s="95">
        <f>IF(R193=1,(N193-INDEX(Sectorwise!F:F,MATCH(F193,Sectorwise!A:A,0))),0)</f>
        <v>0</v>
      </c>
      <c r="W193" s="97">
        <f>POISSON(N193,INDEX(Sectorwise!D:D,MATCH(Travel!F375,Sectorwise!A:A,0)),TRUE)</f>
        <v>0.99848799814603706</v>
      </c>
    </row>
    <row r="194" spans="1:24" ht="15.75" hidden="1" customHeight="1" x14ac:dyDescent="0.2">
      <c r="A194" s="60" t="s">
        <v>1311</v>
      </c>
      <c r="B194" s="60" t="s">
        <v>1319</v>
      </c>
      <c r="C194" s="60"/>
      <c r="E194" s="60" t="s">
        <v>2284</v>
      </c>
      <c r="F194" s="21" t="s">
        <v>2135</v>
      </c>
      <c r="G194" s="56" t="s">
        <v>2309</v>
      </c>
      <c r="H194" s="60" t="s">
        <v>1320</v>
      </c>
      <c r="I194" s="60" t="s">
        <v>1321</v>
      </c>
      <c r="J194" s="61">
        <v>5800</v>
      </c>
      <c r="K194" s="61">
        <v>1962</v>
      </c>
      <c r="L194" s="26">
        <f t="shared" si="8"/>
        <v>7762</v>
      </c>
      <c r="M194" s="26">
        <f t="array" ref="M194">MEDIAN(IF($F$3:$F$810=F194,$L$3:$L$810))</f>
        <v>7234</v>
      </c>
      <c r="N194" s="61">
        <v>7762</v>
      </c>
      <c r="O194" s="62">
        <v>0</v>
      </c>
      <c r="P194" s="76">
        <f>IF(N194&lt;INDEX(Sectorwise!E:E,MATCH(F194,Sectorwise!A:A,0)),1,0)</f>
        <v>0</v>
      </c>
      <c r="Q194" s="76">
        <f>IF(AND(N194&gt;=INDEX(Sectorwise!E:E,MATCH(F194,Sectorwise!A:A,0)),N194&lt;=INDEX(Sectorwise!F:F,MATCH(F194,Sectorwise!A:A,0))),1,0)</f>
        <v>1</v>
      </c>
      <c r="R194" s="76">
        <f>IF(N194&gt;INDEX(Sectorwise!F:F,MATCH(F194,Sectorwise!A:A,0)),1,0)</f>
        <v>0</v>
      </c>
      <c r="S194" s="27">
        <f t="shared" si="9"/>
        <v>0</v>
      </c>
      <c r="T194" s="27">
        <f t="shared" si="10"/>
        <v>7762</v>
      </c>
      <c r="U194" s="27">
        <f t="shared" si="11"/>
        <v>0</v>
      </c>
      <c r="V194" s="95">
        <f>IF(R194=1,(N194-INDEX(Sectorwise!F:F,MATCH(F194,Sectorwise!A:A,0))),0)</f>
        <v>0</v>
      </c>
      <c r="W194" s="97">
        <f>POISSON(N194,INDEX(Sectorwise!D:D,MATCH(Travel!F494,Sectorwise!A:A,0)),TRUE)</f>
        <v>0.99999999959324259</v>
      </c>
    </row>
    <row r="195" spans="1:24" ht="15.75" hidden="1" customHeight="1" x14ac:dyDescent="0.2">
      <c r="A195" s="29" t="s">
        <v>2080</v>
      </c>
      <c r="B195" s="29" t="s">
        <v>2081</v>
      </c>
      <c r="C195" s="29"/>
      <c r="E195" s="60" t="s">
        <v>2284</v>
      </c>
      <c r="F195" s="21" t="s">
        <v>2135</v>
      </c>
      <c r="G195" s="69" t="s">
        <v>2308</v>
      </c>
      <c r="H195" s="29" t="s">
        <v>2082</v>
      </c>
      <c r="I195" s="29" t="s">
        <v>2042</v>
      </c>
      <c r="J195" s="65">
        <v>9220</v>
      </c>
      <c r="K195" s="65">
        <v>1206</v>
      </c>
      <c r="L195" s="26">
        <f t="shared" ref="L195:L258" si="12">J195+K195</f>
        <v>10426</v>
      </c>
      <c r="M195" s="26">
        <f t="array" ref="M195">MEDIAN(IF($F$3:$F$810=F195,$L$3:$L$810))</f>
        <v>7234</v>
      </c>
      <c r="N195" s="65">
        <v>10426</v>
      </c>
      <c r="O195" s="65" t="e">
        <f>N195-#REF!</f>
        <v>#REF!</v>
      </c>
      <c r="P195" s="76">
        <f>IF(N195&lt;INDEX(Sectorwise!E:E,MATCH(F195,Sectorwise!A:A,0)),1,0)</f>
        <v>0</v>
      </c>
      <c r="Q195" s="76">
        <f>IF(AND(N195&gt;=INDEX(Sectorwise!E:E,MATCH(F195,Sectorwise!A:A,0)),N195&lt;=INDEX(Sectorwise!F:F,MATCH(F195,Sectorwise!A:A,0))),1,0)</f>
        <v>0</v>
      </c>
      <c r="R195" s="76">
        <f>IF(N195&gt;INDEX(Sectorwise!F:F,MATCH(F195,Sectorwise!A:A,0)),1,0)</f>
        <v>1</v>
      </c>
      <c r="S195" s="27">
        <f t="shared" ref="S195:S258" si="13">IF(P195=0,0,N195)</f>
        <v>0</v>
      </c>
      <c r="T195" s="27">
        <f t="shared" ref="T195:T258" si="14">IF(Q195=0,0,N195)</f>
        <v>0</v>
      </c>
      <c r="U195" s="27">
        <f t="shared" ref="U195:U258" si="15">IF(R195=0,0,N195)</f>
        <v>10426</v>
      </c>
      <c r="V195" s="95">
        <f>IF(R195=1,(N195-INDEX(Sectorwise!F:F,MATCH(F195,Sectorwise!A:A,0))),0)</f>
        <v>2426</v>
      </c>
      <c r="W195" s="97">
        <f>POISSON(N195,INDEX(Sectorwise!D:D,MATCH(Travel!F790,Sectorwise!A:A,0)),TRUE)</f>
        <v>1</v>
      </c>
    </row>
    <row r="196" spans="1:24" ht="15.75" hidden="1" customHeight="1" x14ac:dyDescent="0.2">
      <c r="A196" s="63" t="s">
        <v>1496</v>
      </c>
      <c r="B196" s="63" t="s">
        <v>1502</v>
      </c>
      <c r="C196" s="63"/>
      <c r="E196" s="60" t="s">
        <v>2284</v>
      </c>
      <c r="F196" s="21" t="s">
        <v>2151</v>
      </c>
      <c r="G196" s="56" t="s">
        <v>2309</v>
      </c>
      <c r="H196" s="63" t="s">
        <v>1503</v>
      </c>
      <c r="I196" s="63" t="s">
        <v>1463</v>
      </c>
      <c r="J196" s="65">
        <v>7650</v>
      </c>
      <c r="K196" s="65">
        <v>3422</v>
      </c>
      <c r="L196" s="26">
        <f t="shared" si="12"/>
        <v>11072</v>
      </c>
      <c r="M196" s="26">
        <f t="array" ref="M196">MEDIAN(IF($F$3:$F$810=F196,$L$3:$L$810))</f>
        <v>10079</v>
      </c>
      <c r="N196" s="65">
        <v>11072</v>
      </c>
      <c r="O196" s="62">
        <v>0</v>
      </c>
      <c r="P196" s="76">
        <f>IF(N196&lt;INDEX(Sectorwise!E:E,MATCH(F196,Sectorwise!A:A,0)),1,0)</f>
        <v>0</v>
      </c>
      <c r="Q196" s="76">
        <f>IF(AND(N196&gt;=INDEX(Sectorwise!E:E,MATCH(F196,Sectorwise!A:A,0)),N196&lt;=INDEX(Sectorwise!F:F,MATCH(F196,Sectorwise!A:A,0))),1,0)</f>
        <v>1</v>
      </c>
      <c r="R196" s="76">
        <f>IF(N196&gt;INDEX(Sectorwise!F:F,MATCH(F196,Sectorwise!A:A,0)),1,0)</f>
        <v>0</v>
      </c>
      <c r="S196" s="27">
        <f t="shared" si="13"/>
        <v>0</v>
      </c>
      <c r="T196" s="27">
        <f t="shared" si="14"/>
        <v>11072</v>
      </c>
      <c r="U196" s="27">
        <f t="shared" si="15"/>
        <v>0</v>
      </c>
      <c r="V196" s="95">
        <f>IF(R196=1,(N196-INDEX(Sectorwise!F:F,MATCH(F196,Sectorwise!A:A,0))),0)</f>
        <v>0</v>
      </c>
      <c r="W196" s="97">
        <f>POISSON(N196,INDEX(Sectorwise!D:D,MATCH(Travel!F567,Sectorwise!A:A,0)),TRUE)</f>
        <v>1</v>
      </c>
    </row>
    <row r="197" spans="1:24" ht="15.75" hidden="1" customHeight="1" x14ac:dyDescent="0.2">
      <c r="A197" s="63" t="s">
        <v>1582</v>
      </c>
      <c r="B197" s="63" t="s">
        <v>1588</v>
      </c>
      <c r="C197" s="63"/>
      <c r="E197" s="60" t="s">
        <v>2284</v>
      </c>
      <c r="F197" s="60" t="s">
        <v>2220</v>
      </c>
      <c r="G197" s="60" t="s">
        <v>2316</v>
      </c>
      <c r="H197" s="63" t="s">
        <v>1589</v>
      </c>
      <c r="I197" s="63" t="s">
        <v>1483</v>
      </c>
      <c r="J197" s="65">
        <v>5340</v>
      </c>
      <c r="K197" s="65">
        <v>3332</v>
      </c>
      <c r="L197" s="26">
        <f t="shared" si="12"/>
        <v>8672</v>
      </c>
      <c r="M197" s="26">
        <f t="array" ref="M197">MEDIAN(IF($F$3:$F$810=F197,$L$3:$L$810))</f>
        <v>6944</v>
      </c>
      <c r="N197" s="65">
        <v>8672</v>
      </c>
      <c r="O197" s="62">
        <v>0</v>
      </c>
      <c r="P197" s="76">
        <f>IF(N197&lt;INDEX(Sectorwise!E:E,MATCH(F197,Sectorwise!A:A,0)),1,0)</f>
        <v>0</v>
      </c>
      <c r="Q197" s="76">
        <f>IF(AND(N197&gt;=INDEX(Sectorwise!E:E,MATCH(F197,Sectorwise!A:A,0)),N197&lt;=INDEX(Sectorwise!F:F,MATCH(F197,Sectorwise!A:A,0))),1,0)</f>
        <v>0</v>
      </c>
      <c r="R197" s="76">
        <f>IF(N197&gt;INDEX(Sectorwise!F:F,MATCH(F197,Sectorwise!A:A,0)),1,0)</f>
        <v>1</v>
      </c>
      <c r="S197" s="27">
        <f t="shared" si="13"/>
        <v>0</v>
      </c>
      <c r="T197" s="27">
        <f t="shared" si="14"/>
        <v>0</v>
      </c>
      <c r="U197" s="27">
        <f t="shared" si="15"/>
        <v>8672</v>
      </c>
      <c r="V197" s="95">
        <f>IF(R197=1,(N197-INDEX(Sectorwise!F:F,MATCH(F197,Sectorwise!A:A,0))),0)</f>
        <v>972</v>
      </c>
      <c r="W197" s="97">
        <f>POISSON(N197,INDEX(Sectorwise!D:D,MATCH(Travel!F602,Sectorwise!A:A,0)),TRUE)</f>
        <v>1</v>
      </c>
    </row>
    <row r="198" spans="1:24" ht="15.75" hidden="1" customHeight="1" x14ac:dyDescent="0.2">
      <c r="A198" s="63" t="s">
        <v>1737</v>
      </c>
      <c r="B198" s="63" t="s">
        <v>1748</v>
      </c>
      <c r="C198" s="63"/>
      <c r="E198" s="60" t="s">
        <v>2284</v>
      </c>
      <c r="F198" s="63" t="s">
        <v>2235</v>
      </c>
      <c r="G198" s="63" t="s">
        <v>2315</v>
      </c>
      <c r="H198" s="63" t="s">
        <v>1749</v>
      </c>
      <c r="I198" s="63" t="s">
        <v>1750</v>
      </c>
      <c r="J198" s="65">
        <v>14015</v>
      </c>
      <c r="K198" s="65">
        <v>20985</v>
      </c>
      <c r="L198" s="26">
        <f t="shared" si="12"/>
        <v>35000</v>
      </c>
      <c r="M198" s="26">
        <f t="array" ref="M198">MEDIAN(IF($F$3:$F$810=F198,$L$3:$L$810))</f>
        <v>35000</v>
      </c>
      <c r="N198" s="65">
        <v>35000</v>
      </c>
      <c r="O198" s="62">
        <v>0</v>
      </c>
      <c r="P198" s="76">
        <f>IF(N198&lt;INDEX(Sectorwise!E:E,MATCH(F198,Sectorwise!A:A,0)),1,0)</f>
        <v>0</v>
      </c>
      <c r="Q198" s="76">
        <f>IF(AND(N198&gt;=INDEX(Sectorwise!E:E,MATCH(F198,Sectorwise!A:A,0)),N198&lt;=INDEX(Sectorwise!F:F,MATCH(F198,Sectorwise!A:A,0))),1,0)</f>
        <v>1</v>
      </c>
      <c r="R198" s="76">
        <f>IF(N198&gt;INDEX(Sectorwise!F:F,MATCH(F198,Sectorwise!A:A,0)),1,0)</f>
        <v>0</v>
      </c>
      <c r="S198" s="27">
        <f t="shared" si="13"/>
        <v>0</v>
      </c>
      <c r="T198" s="27">
        <f t="shared" si="14"/>
        <v>35000</v>
      </c>
      <c r="U198" s="27">
        <f t="shared" si="15"/>
        <v>0</v>
      </c>
      <c r="V198" s="95">
        <f>IF(R198=1,(N198-INDEX(Sectorwise!F:F,MATCH(F198,Sectorwise!A:A,0))),0)</f>
        <v>0</v>
      </c>
      <c r="W198" s="97">
        <f>POISSON(N198,INDEX(Sectorwise!D:D,MATCH(Travel!F662,Sectorwise!A:A,0)),TRUE)</f>
        <v>1</v>
      </c>
    </row>
    <row r="199" spans="1:24" ht="15.75" hidden="1" customHeight="1" x14ac:dyDescent="0.2">
      <c r="A199" s="21" t="s">
        <v>710</v>
      </c>
      <c r="B199" s="24" t="s">
        <v>713</v>
      </c>
      <c r="C199" s="22"/>
      <c r="D199" s="32"/>
      <c r="E199" s="60" t="s">
        <v>2284</v>
      </c>
      <c r="F199" s="21" t="s">
        <v>714</v>
      </c>
      <c r="G199" s="21" t="s">
        <v>2333</v>
      </c>
      <c r="H199" s="21" t="s">
        <v>715</v>
      </c>
      <c r="I199" s="21" t="s">
        <v>41</v>
      </c>
      <c r="J199" s="25">
        <v>5655</v>
      </c>
      <c r="K199" s="25">
        <v>2345</v>
      </c>
      <c r="L199" s="26">
        <f t="shared" si="12"/>
        <v>8000</v>
      </c>
      <c r="M199" s="26">
        <f t="array" ref="M199">MEDIAN(IF($F$3:$F$810=F199,$L$3:$L$810))</f>
        <v>8000</v>
      </c>
      <c r="N199" s="47">
        <v>8000</v>
      </c>
      <c r="O199" s="55"/>
      <c r="P199" s="76">
        <f>IF(N199&lt;INDEX(Sectorwise!E:E,MATCH(F199,Sectorwise!A:A,0)),1,0)</f>
        <v>0</v>
      </c>
      <c r="Q199" s="76">
        <f>IF(AND(N199&gt;=INDEX(Sectorwise!E:E,MATCH(F199,Sectorwise!A:A,0)),N199&lt;=INDEX(Sectorwise!F:F,MATCH(F199,Sectorwise!A:A,0))),1,0)</f>
        <v>1</v>
      </c>
      <c r="R199" s="76">
        <f>IF(N199&gt;INDEX(Sectorwise!F:F,MATCH(F199,Sectorwise!A:A,0)),1,0)</f>
        <v>0</v>
      </c>
      <c r="S199" s="27">
        <f t="shared" si="13"/>
        <v>0</v>
      </c>
      <c r="T199" s="27">
        <f t="shared" si="14"/>
        <v>8000</v>
      </c>
      <c r="U199" s="27">
        <f t="shared" si="15"/>
        <v>0</v>
      </c>
      <c r="V199" s="95">
        <f>IF(R199=1,(N199-INDEX(Sectorwise!F:F,MATCH(F199,Sectorwise!A:A,0))),0)</f>
        <v>0</v>
      </c>
      <c r="W199" s="97">
        <f>POISSON(N199,INDEX(Sectorwise!D:D,MATCH(Travel!F270,Sectorwise!A:A,0)),TRUE)</f>
        <v>1</v>
      </c>
    </row>
    <row r="200" spans="1:24" ht="15.75" hidden="1" customHeight="1" x14ac:dyDescent="0.2">
      <c r="A200" s="63" t="s">
        <v>1413</v>
      </c>
      <c r="B200" s="63" t="s">
        <v>1424</v>
      </c>
      <c r="C200" s="63"/>
      <c r="E200" s="60" t="s">
        <v>2284</v>
      </c>
      <c r="F200" s="63" t="s">
        <v>2231</v>
      </c>
      <c r="G200" s="56" t="s">
        <v>2309</v>
      </c>
      <c r="H200" s="63" t="s">
        <v>1425</v>
      </c>
      <c r="I200" s="63" t="s">
        <v>1426</v>
      </c>
      <c r="J200" s="65">
        <v>11535</v>
      </c>
      <c r="K200" s="65">
        <v>3325</v>
      </c>
      <c r="L200" s="26">
        <f t="shared" si="12"/>
        <v>14860</v>
      </c>
      <c r="M200" s="26">
        <f t="array" ref="M200">MEDIAN(IF($F$3:$F$810=F200,$L$3:$L$810))</f>
        <v>14860</v>
      </c>
      <c r="N200" s="65">
        <v>14860</v>
      </c>
      <c r="O200" s="62">
        <v>0</v>
      </c>
      <c r="P200" s="76">
        <f>IF(N200&lt;INDEX(Sectorwise!E:E,MATCH(F200,Sectorwise!A:A,0)),1,0)</f>
        <v>0</v>
      </c>
      <c r="Q200" s="76">
        <f>IF(AND(N200&gt;=INDEX(Sectorwise!E:E,MATCH(F200,Sectorwise!A:A,0)),N200&lt;=INDEX(Sectorwise!F:F,MATCH(F200,Sectorwise!A:A,0))),1,0)</f>
        <v>1</v>
      </c>
      <c r="R200" s="76">
        <f>IF(N200&gt;INDEX(Sectorwise!F:F,MATCH(F200,Sectorwise!A:A,0)),1,0)</f>
        <v>0</v>
      </c>
      <c r="S200" s="27">
        <f t="shared" si="13"/>
        <v>0</v>
      </c>
      <c r="T200" s="27">
        <f t="shared" si="14"/>
        <v>14860</v>
      </c>
      <c r="U200" s="27">
        <f t="shared" si="15"/>
        <v>0</v>
      </c>
      <c r="V200" s="95">
        <f>IF(R200=1,(N200-INDEX(Sectorwise!F:F,MATCH(F200,Sectorwise!A:A,0))),0)</f>
        <v>0</v>
      </c>
      <c r="W200" s="97">
        <f>POISSON(N200,INDEX(Sectorwise!D:D,MATCH(Travel!F534,Sectorwise!A:A,0)),TRUE)</f>
        <v>1</v>
      </c>
    </row>
    <row r="201" spans="1:24" ht="15.75" hidden="1" customHeight="1" x14ac:dyDescent="0.2">
      <c r="A201" s="21" t="s">
        <v>121</v>
      </c>
      <c r="B201" s="21" t="s">
        <v>125</v>
      </c>
      <c r="C201" s="22"/>
      <c r="D201" s="32"/>
      <c r="E201" s="60" t="s">
        <v>2284</v>
      </c>
      <c r="F201" s="21" t="s">
        <v>2149</v>
      </c>
      <c r="G201" s="56" t="s">
        <v>2309</v>
      </c>
      <c r="H201" s="21" t="s">
        <v>126</v>
      </c>
      <c r="I201" s="21" t="s">
        <v>120</v>
      </c>
      <c r="J201" s="25">
        <v>5000</v>
      </c>
      <c r="K201" s="25">
        <v>5099</v>
      </c>
      <c r="L201" s="26">
        <f t="shared" si="12"/>
        <v>10099</v>
      </c>
      <c r="M201" s="26">
        <f t="array" ref="M201">MEDIAN(IF($F$3:$F$810=F201,$L$3:$L$810))</f>
        <v>10332</v>
      </c>
      <c r="N201" s="26">
        <v>10099</v>
      </c>
      <c r="O201" s="27"/>
      <c r="P201" s="76">
        <f>IF(N201&lt;INDEX(Sectorwise!E:E,MATCH(F201,Sectorwise!A:A,0)),1,0)</f>
        <v>0</v>
      </c>
      <c r="Q201" s="76">
        <f>IF(AND(N201&gt;=INDEX(Sectorwise!E:E,MATCH(F201,Sectorwise!A:A,0)),N201&lt;=INDEX(Sectorwise!F:F,MATCH(F201,Sectorwise!A:A,0))),1,0)</f>
        <v>1</v>
      </c>
      <c r="R201" s="76">
        <f>IF(N201&gt;INDEX(Sectorwise!F:F,MATCH(F201,Sectorwise!A:A,0)),1,0)</f>
        <v>0</v>
      </c>
      <c r="S201" s="27">
        <f t="shared" si="13"/>
        <v>0</v>
      </c>
      <c r="T201" s="27">
        <f t="shared" si="14"/>
        <v>10099</v>
      </c>
      <c r="U201" s="27">
        <f t="shared" si="15"/>
        <v>0</v>
      </c>
      <c r="V201" s="95">
        <f>IF(R201=1,(N201-INDEX(Sectorwise!F:F,MATCH(F201,Sectorwise!A:A,0))),0)</f>
        <v>0</v>
      </c>
      <c r="W201" s="97">
        <f>POISSON(N201,INDEX(Sectorwise!D:D,MATCH(Travel!F43,Sectorwise!A:A,0)),TRUE)</f>
        <v>0</v>
      </c>
      <c r="X201" s="28">
        <v>10099</v>
      </c>
    </row>
    <row r="202" spans="1:24" ht="15.75" hidden="1" customHeight="1" x14ac:dyDescent="0.2">
      <c r="A202" s="21" t="s">
        <v>141</v>
      </c>
      <c r="B202" s="21" t="s">
        <v>149</v>
      </c>
      <c r="C202" s="22"/>
      <c r="D202" s="32"/>
      <c r="E202" s="60" t="s">
        <v>2284</v>
      </c>
      <c r="F202" s="21" t="s">
        <v>2149</v>
      </c>
      <c r="G202" s="56" t="s">
        <v>2309</v>
      </c>
      <c r="H202" s="21" t="s">
        <v>150</v>
      </c>
      <c r="I202" s="21" t="s">
        <v>81</v>
      </c>
      <c r="J202" s="25">
        <v>5870</v>
      </c>
      <c r="K202" s="25">
        <v>5147</v>
      </c>
      <c r="L202" s="26">
        <f t="shared" si="12"/>
        <v>11017</v>
      </c>
      <c r="M202" s="26">
        <f t="array" ref="M202">MEDIAN(IF($F$3:$F$810=F202,$L$3:$L$810))</f>
        <v>10332</v>
      </c>
      <c r="N202" s="26">
        <v>11017</v>
      </c>
      <c r="O202" s="27"/>
      <c r="P202" s="76">
        <f>IF(N202&lt;INDEX(Sectorwise!E:E,MATCH(F202,Sectorwise!A:A,0)),1,0)</f>
        <v>0</v>
      </c>
      <c r="Q202" s="76">
        <f>IF(AND(N202&gt;=INDEX(Sectorwise!E:E,MATCH(F202,Sectorwise!A:A,0)),N202&lt;=INDEX(Sectorwise!F:F,MATCH(F202,Sectorwise!A:A,0))),1,0)</f>
        <v>1</v>
      </c>
      <c r="R202" s="76">
        <f>IF(N202&gt;INDEX(Sectorwise!F:F,MATCH(F202,Sectorwise!A:A,0)),1,0)</f>
        <v>0</v>
      </c>
      <c r="S202" s="27">
        <f t="shared" si="13"/>
        <v>0</v>
      </c>
      <c r="T202" s="27">
        <f t="shared" si="14"/>
        <v>11017</v>
      </c>
      <c r="U202" s="27">
        <f t="shared" si="15"/>
        <v>0</v>
      </c>
      <c r="V202" s="95">
        <f>IF(R202=1,(N202-INDEX(Sectorwise!F:F,MATCH(F202,Sectorwise!A:A,0))),0)</f>
        <v>0</v>
      </c>
      <c r="W202" s="97">
        <f>POISSON(N202,INDEX(Sectorwise!D:D,MATCH(Travel!F52,Sectorwise!A:A,0)),TRUE)</f>
        <v>1</v>
      </c>
      <c r="X202" s="28">
        <v>11017</v>
      </c>
    </row>
    <row r="203" spans="1:24" ht="15.75" hidden="1" customHeight="1" x14ac:dyDescent="0.2">
      <c r="A203" s="63" t="s">
        <v>1511</v>
      </c>
      <c r="B203" s="63" t="s">
        <v>1512</v>
      </c>
      <c r="C203" s="63"/>
      <c r="E203" s="60" t="s">
        <v>2284</v>
      </c>
      <c r="F203" s="21" t="s">
        <v>2149</v>
      </c>
      <c r="G203" s="33" t="s">
        <v>2321</v>
      </c>
      <c r="H203" s="63" t="s">
        <v>1513</v>
      </c>
      <c r="I203" s="63" t="s">
        <v>1495</v>
      </c>
      <c r="J203" s="65">
        <v>8451</v>
      </c>
      <c r="K203" s="65">
        <v>1406</v>
      </c>
      <c r="L203" s="26">
        <f t="shared" si="12"/>
        <v>9857</v>
      </c>
      <c r="M203" s="26">
        <f t="array" ref="M203">MEDIAN(IF($F$3:$F$810=F203,$L$3:$L$810))</f>
        <v>10332</v>
      </c>
      <c r="N203" s="57">
        <f>J203+K203</f>
        <v>9857</v>
      </c>
      <c r="O203" s="62">
        <v>0</v>
      </c>
      <c r="P203" s="76">
        <f>IF(N203&lt;INDEX(Sectorwise!E:E,MATCH(F203,Sectorwise!A:A,0)),1,0)</f>
        <v>0</v>
      </c>
      <c r="Q203" s="76">
        <f>IF(AND(N203&gt;=INDEX(Sectorwise!E:E,MATCH(F203,Sectorwise!A:A,0)),N203&lt;=INDEX(Sectorwise!F:F,MATCH(F203,Sectorwise!A:A,0))),1,0)</f>
        <v>1</v>
      </c>
      <c r="R203" s="76">
        <f>IF(N203&gt;INDEX(Sectorwise!F:F,MATCH(F203,Sectorwise!A:A,0)),1,0)</f>
        <v>0</v>
      </c>
      <c r="S203" s="27">
        <f t="shared" si="13"/>
        <v>0</v>
      </c>
      <c r="T203" s="27">
        <f t="shared" si="14"/>
        <v>9857</v>
      </c>
      <c r="U203" s="27">
        <f t="shared" si="15"/>
        <v>0</v>
      </c>
      <c r="V203" s="95">
        <f>IF(R203=1,(N203-INDEX(Sectorwise!F:F,MATCH(F203,Sectorwise!A:A,0))),0)</f>
        <v>0</v>
      </c>
      <c r="W203" s="97">
        <f>POISSON(N203,INDEX(Sectorwise!D:D,MATCH(Travel!F572,Sectorwise!A:A,0)),TRUE)</f>
        <v>1</v>
      </c>
    </row>
    <row r="204" spans="1:24" ht="15.75" hidden="1" customHeight="1" x14ac:dyDescent="0.2">
      <c r="A204" s="63" t="s">
        <v>1582</v>
      </c>
      <c r="B204" s="63" t="s">
        <v>1592</v>
      </c>
      <c r="C204" s="63"/>
      <c r="E204" s="60" t="s">
        <v>2284</v>
      </c>
      <c r="F204" s="63" t="s">
        <v>2153</v>
      </c>
      <c r="G204" s="56" t="s">
        <v>2309</v>
      </c>
      <c r="H204" s="63" t="s">
        <v>1593</v>
      </c>
      <c r="I204" s="63" t="s">
        <v>1563</v>
      </c>
      <c r="J204" s="65">
        <v>7330</v>
      </c>
      <c r="K204" s="65">
        <v>3306</v>
      </c>
      <c r="L204" s="26">
        <f t="shared" si="12"/>
        <v>10636</v>
      </c>
      <c r="M204" s="26">
        <f t="array" ref="M204">MEDIAN(IF($F$3:$F$810=F204,$L$3:$L$810))</f>
        <v>9855</v>
      </c>
      <c r="N204" s="65">
        <v>10636</v>
      </c>
      <c r="O204" s="62">
        <v>0</v>
      </c>
      <c r="P204" s="76">
        <f>IF(N204&lt;INDEX(Sectorwise!E:E,MATCH(F204,Sectorwise!A:A,0)),1,0)</f>
        <v>0</v>
      </c>
      <c r="Q204" s="76">
        <f>IF(AND(N204&gt;=INDEX(Sectorwise!E:E,MATCH(F204,Sectorwise!A:A,0)),N204&lt;=INDEX(Sectorwise!F:F,MATCH(F204,Sectorwise!A:A,0))),1,0)</f>
        <v>1</v>
      </c>
      <c r="R204" s="76">
        <f>IF(N204&gt;INDEX(Sectorwise!F:F,MATCH(F204,Sectorwise!A:A,0)),1,0)</f>
        <v>0</v>
      </c>
      <c r="S204" s="27">
        <f t="shared" si="13"/>
        <v>0</v>
      </c>
      <c r="T204" s="27">
        <f t="shared" si="14"/>
        <v>10636</v>
      </c>
      <c r="U204" s="27">
        <f t="shared" si="15"/>
        <v>0</v>
      </c>
      <c r="V204" s="95">
        <f>IF(R204=1,(N204-INDEX(Sectorwise!F:F,MATCH(F204,Sectorwise!A:A,0))),0)</f>
        <v>0</v>
      </c>
      <c r="W204" s="97">
        <f>POISSON(N204,INDEX(Sectorwise!D:D,MATCH(Travel!F604,Sectorwise!A:A,0)),TRUE)</f>
        <v>1</v>
      </c>
    </row>
    <row r="205" spans="1:24" ht="15.75" hidden="1" customHeight="1" x14ac:dyDescent="0.2">
      <c r="A205" s="33" t="s">
        <v>295</v>
      </c>
      <c r="B205" s="33" t="s">
        <v>299</v>
      </c>
      <c r="C205" s="40"/>
      <c r="D205" s="35"/>
      <c r="E205" s="60" t="s">
        <v>2284</v>
      </c>
      <c r="F205" s="33" t="s">
        <v>2196</v>
      </c>
      <c r="G205" s="69" t="s">
        <v>2308</v>
      </c>
      <c r="H205" s="33" t="s">
        <v>300</v>
      </c>
      <c r="I205" s="33" t="s">
        <v>301</v>
      </c>
      <c r="J205" s="42">
        <v>1640</v>
      </c>
      <c r="K205" s="45">
        <v>2540</v>
      </c>
      <c r="L205" s="26">
        <f t="shared" si="12"/>
        <v>4180</v>
      </c>
      <c r="M205" s="26">
        <f t="array" ref="M205">MEDIAN(IF($F$3:$F$810=F205,$L$3:$L$810))</f>
        <v>8768.5</v>
      </c>
      <c r="N205" s="43">
        <f>+J205+K205</f>
        <v>4180</v>
      </c>
      <c r="O205" s="38"/>
      <c r="P205" s="76">
        <f>IF(N205&lt;INDEX(Sectorwise!E:E,MATCH(F205,Sectorwise!A:A,0)),1,0)</f>
        <v>1</v>
      </c>
      <c r="Q205" s="76">
        <f>IF(AND(N205&gt;=INDEX(Sectorwise!E:E,MATCH(F205,Sectorwise!A:A,0)),N205&lt;=INDEX(Sectorwise!F:F,MATCH(F205,Sectorwise!A:A,0))),1,0)</f>
        <v>0</v>
      </c>
      <c r="R205" s="76">
        <f>IF(N205&gt;INDEX(Sectorwise!F:F,MATCH(F205,Sectorwise!A:A,0)),1,0)</f>
        <v>0</v>
      </c>
      <c r="S205" s="27">
        <f t="shared" si="13"/>
        <v>4180</v>
      </c>
      <c r="T205" s="27">
        <f t="shared" si="14"/>
        <v>0</v>
      </c>
      <c r="U205" s="27">
        <f t="shared" si="15"/>
        <v>0</v>
      </c>
      <c r="V205" s="95">
        <f>IF(R205=1,(N205-INDEX(Sectorwise!F:F,MATCH(F205,Sectorwise!A:A,0))),0)</f>
        <v>0</v>
      </c>
      <c r="W205" s="97">
        <f>POISSON(N205,INDEX(Sectorwise!D:D,MATCH(Travel!F112,Sectorwise!A:A,0)),TRUE)</f>
        <v>0</v>
      </c>
      <c r="X205" s="44">
        <f>+N205-O205</f>
        <v>4180</v>
      </c>
    </row>
    <row r="206" spans="1:24" ht="15.75" hidden="1" customHeight="1" x14ac:dyDescent="0.2">
      <c r="A206" s="63" t="s">
        <v>1644</v>
      </c>
      <c r="B206" s="63" t="s">
        <v>1648</v>
      </c>
      <c r="C206" s="63"/>
      <c r="E206" s="60" t="s">
        <v>2284</v>
      </c>
      <c r="F206" s="33" t="s">
        <v>2196</v>
      </c>
      <c r="G206" s="56" t="s">
        <v>2309</v>
      </c>
      <c r="H206" s="63" t="s">
        <v>1649</v>
      </c>
      <c r="I206" s="63" t="s">
        <v>1650</v>
      </c>
      <c r="J206" s="65">
        <v>11646</v>
      </c>
      <c r="K206" s="65">
        <v>1711</v>
      </c>
      <c r="L206" s="26">
        <f t="shared" si="12"/>
        <v>13357</v>
      </c>
      <c r="M206" s="26">
        <f t="array" ref="M206">MEDIAN(IF($F$3:$F$810=F206,$L$3:$L$810))</f>
        <v>8768.5</v>
      </c>
      <c r="N206" s="65">
        <v>13357</v>
      </c>
      <c r="O206" s="62">
        <v>0</v>
      </c>
      <c r="P206" s="76">
        <f>IF(N206&lt;INDEX(Sectorwise!E:E,MATCH(F206,Sectorwise!A:A,0)),1,0)</f>
        <v>0</v>
      </c>
      <c r="Q206" s="76">
        <f>IF(AND(N206&gt;=INDEX(Sectorwise!E:E,MATCH(F206,Sectorwise!A:A,0)),N206&lt;=INDEX(Sectorwise!F:F,MATCH(F206,Sectorwise!A:A,0))),1,0)</f>
        <v>0</v>
      </c>
      <c r="R206" s="76">
        <f>IF(N206&gt;INDEX(Sectorwise!F:F,MATCH(F206,Sectorwise!A:A,0)),1,0)</f>
        <v>1</v>
      </c>
      <c r="S206" s="27">
        <f t="shared" si="13"/>
        <v>0</v>
      </c>
      <c r="T206" s="27">
        <f t="shared" si="14"/>
        <v>0</v>
      </c>
      <c r="U206" s="27">
        <f t="shared" si="15"/>
        <v>13357</v>
      </c>
      <c r="V206" s="95">
        <f>IF(R206=1,(N206-INDEX(Sectorwise!F:F,MATCH(F206,Sectorwise!A:A,0))),0)</f>
        <v>3657</v>
      </c>
      <c r="W206" s="97">
        <f>POISSON(N206,INDEX(Sectorwise!D:D,MATCH(Travel!F628,Sectorwise!A:A,0)),TRUE)</f>
        <v>1</v>
      </c>
    </row>
    <row r="207" spans="1:24" ht="15.75" hidden="1" customHeight="1" x14ac:dyDescent="0.2">
      <c r="A207" s="63" t="s">
        <v>1114</v>
      </c>
      <c r="B207" s="63" t="s">
        <v>1118</v>
      </c>
      <c r="C207" s="63"/>
      <c r="E207" s="63" t="s">
        <v>1095</v>
      </c>
      <c r="F207" s="29" t="s">
        <v>2134</v>
      </c>
      <c r="G207" s="56" t="s">
        <v>2309</v>
      </c>
      <c r="H207" s="63" t="s">
        <v>1119</v>
      </c>
      <c r="I207" s="63" t="s">
        <v>1088</v>
      </c>
      <c r="J207" s="65">
        <v>6050</v>
      </c>
      <c r="K207" s="65">
        <v>1893</v>
      </c>
      <c r="L207" s="26">
        <f t="shared" si="12"/>
        <v>7943</v>
      </c>
      <c r="M207" s="26">
        <f t="array" ref="M207">MEDIAN(IF($F$3:$F$810=F207,$L$3:$L$810))</f>
        <v>7412.5</v>
      </c>
      <c r="N207" s="65">
        <v>7943</v>
      </c>
      <c r="O207" s="62">
        <v>0</v>
      </c>
      <c r="P207" s="76">
        <f>IF(N207&lt;INDEX(Sectorwise!E:E,MATCH(F207,Sectorwise!A:A,0)),1,0)</f>
        <v>0</v>
      </c>
      <c r="Q207" s="76">
        <f>IF(AND(N207&gt;=INDEX(Sectorwise!E:E,MATCH(F207,Sectorwise!A:A,0)),N207&lt;=INDEX(Sectorwise!F:F,MATCH(F207,Sectorwise!A:A,0))),1,0)</f>
        <v>1</v>
      </c>
      <c r="R207" s="76">
        <f>IF(N207&gt;INDEX(Sectorwise!F:F,MATCH(F207,Sectorwise!A:A,0)),1,0)</f>
        <v>0</v>
      </c>
      <c r="S207" s="27">
        <f t="shared" si="13"/>
        <v>0</v>
      </c>
      <c r="T207" s="27">
        <f t="shared" si="14"/>
        <v>7943</v>
      </c>
      <c r="U207" s="27">
        <f t="shared" si="15"/>
        <v>0</v>
      </c>
      <c r="V207" s="95">
        <f>IF(R207=1,(N207-INDEX(Sectorwise!F:F,MATCH(F207,Sectorwise!A:A,0))),0)</f>
        <v>0</v>
      </c>
      <c r="W207" s="97">
        <f>POISSON(N207,INDEX(Sectorwise!D:D,MATCH(Travel!F421,Sectorwise!A:A,0)),TRUE)</f>
        <v>0.99999999946276175</v>
      </c>
    </row>
    <row r="208" spans="1:24" ht="15.75" hidden="1" customHeight="1" x14ac:dyDescent="0.2">
      <c r="A208" s="63" t="s">
        <v>1093</v>
      </c>
      <c r="B208" s="63" t="s">
        <v>1094</v>
      </c>
      <c r="C208" s="63"/>
      <c r="E208" s="63" t="s">
        <v>1095</v>
      </c>
      <c r="F208" s="21" t="s">
        <v>2135</v>
      </c>
      <c r="G208" s="56" t="s">
        <v>2309</v>
      </c>
      <c r="H208" s="63" t="s">
        <v>1096</v>
      </c>
      <c r="I208" s="63" t="s">
        <v>1088</v>
      </c>
      <c r="J208" s="65">
        <v>6050</v>
      </c>
      <c r="K208" s="65">
        <v>1976</v>
      </c>
      <c r="L208" s="26">
        <f t="shared" si="12"/>
        <v>8026</v>
      </c>
      <c r="M208" s="26">
        <f t="array" ref="M208">MEDIAN(IF($F$3:$F$810=F208,$L$3:$L$810))</f>
        <v>7234</v>
      </c>
      <c r="N208" s="65">
        <v>8026</v>
      </c>
      <c r="O208" s="62">
        <v>0</v>
      </c>
      <c r="P208" s="76">
        <f>IF(N208&lt;INDEX(Sectorwise!E:E,MATCH(F208,Sectorwise!A:A,0)),1,0)</f>
        <v>0</v>
      </c>
      <c r="Q208" s="76">
        <f>IF(AND(N208&gt;=INDEX(Sectorwise!E:E,MATCH(F208,Sectorwise!A:A,0)),N208&lt;=INDEX(Sectorwise!F:F,MATCH(F208,Sectorwise!A:A,0))),1,0)</f>
        <v>0</v>
      </c>
      <c r="R208" s="76">
        <f>IF(N208&gt;INDEX(Sectorwise!F:F,MATCH(F208,Sectorwise!A:A,0)),1,0)</f>
        <v>1</v>
      </c>
      <c r="S208" s="27">
        <f t="shared" si="13"/>
        <v>0</v>
      </c>
      <c r="T208" s="27">
        <f t="shared" si="14"/>
        <v>0</v>
      </c>
      <c r="U208" s="27">
        <f t="shared" si="15"/>
        <v>8026</v>
      </c>
      <c r="V208" s="95">
        <f>IF(R208=1,(N208-INDEX(Sectorwise!F:F,MATCH(F208,Sectorwise!A:A,0))),0)</f>
        <v>26</v>
      </c>
      <c r="W208" s="97">
        <f>POISSON(N208,INDEX(Sectorwise!D:D,MATCH(Travel!F412,Sectorwise!A:A,0)),TRUE)</f>
        <v>0.999999999999027</v>
      </c>
    </row>
    <row r="209" spans="1:23" ht="15.75" hidden="1" customHeight="1" x14ac:dyDescent="0.2">
      <c r="A209" s="56" t="s">
        <v>831</v>
      </c>
      <c r="B209" s="56" t="s">
        <v>834</v>
      </c>
      <c r="C209" s="56"/>
      <c r="E209" s="21" t="s">
        <v>2285</v>
      </c>
      <c r="F209" s="56" t="s">
        <v>2144</v>
      </c>
      <c r="G209" s="69" t="s">
        <v>2308</v>
      </c>
      <c r="H209" s="56" t="s">
        <v>835</v>
      </c>
      <c r="I209" s="56" t="s">
        <v>811</v>
      </c>
      <c r="J209" s="57">
        <v>849</v>
      </c>
      <c r="K209" s="57">
        <v>3246</v>
      </c>
      <c r="L209" s="26">
        <f t="shared" si="12"/>
        <v>4095</v>
      </c>
      <c r="M209" s="26">
        <f t="array" ref="M209">MEDIAN(IF($F$3:$F$810=F209,$L$3:$L$810))</f>
        <v>9066</v>
      </c>
      <c r="N209" s="57">
        <v>4095</v>
      </c>
      <c r="O209" s="58">
        <v>0</v>
      </c>
      <c r="P209" s="76">
        <f>IF(N209&lt;INDEX(Sectorwise!E:E,MATCH(F209,Sectorwise!A:A,0)),1,0)</f>
        <v>1</v>
      </c>
      <c r="Q209" s="76">
        <f>IF(AND(N209&gt;=INDEX(Sectorwise!E:E,MATCH(F209,Sectorwise!A:A,0)),N209&lt;=INDEX(Sectorwise!F:F,MATCH(F209,Sectorwise!A:A,0))),1,0)</f>
        <v>0</v>
      </c>
      <c r="R209" s="76">
        <f>IF(N209&gt;INDEX(Sectorwise!F:F,MATCH(F209,Sectorwise!A:A,0)),1,0)</f>
        <v>0</v>
      </c>
      <c r="S209" s="27">
        <f t="shared" si="13"/>
        <v>4095</v>
      </c>
      <c r="T209" s="27">
        <f t="shared" si="14"/>
        <v>0</v>
      </c>
      <c r="U209" s="27">
        <f t="shared" si="15"/>
        <v>0</v>
      </c>
      <c r="V209" s="95">
        <f>IF(R209=1,(N209-INDEX(Sectorwise!F:F,MATCH(F209,Sectorwise!A:A,0))),0)</f>
        <v>0</v>
      </c>
      <c r="W209" s="97">
        <f>POISSON(N209,INDEX(Sectorwise!D:D,MATCH(Travel!F315,Sectorwise!A:A,0)),TRUE)</f>
        <v>0</v>
      </c>
    </row>
    <row r="210" spans="1:23" ht="15.75" hidden="1" customHeight="1" x14ac:dyDescent="0.2">
      <c r="A210" s="63" t="s">
        <v>1069</v>
      </c>
      <c r="B210" s="63" t="s">
        <v>1079</v>
      </c>
      <c r="C210" s="63"/>
      <c r="E210" s="21" t="s">
        <v>2285</v>
      </c>
      <c r="F210" s="60" t="s">
        <v>2237</v>
      </c>
      <c r="G210" s="69" t="s">
        <v>2308</v>
      </c>
      <c r="H210" s="63" t="s">
        <v>1080</v>
      </c>
      <c r="I210" s="63" t="s">
        <v>1072</v>
      </c>
      <c r="J210" s="65">
        <v>16848</v>
      </c>
      <c r="K210" s="65">
        <v>2030</v>
      </c>
      <c r="L210" s="26">
        <f t="shared" si="12"/>
        <v>18878</v>
      </c>
      <c r="M210" s="26">
        <f t="array" ref="M210">MEDIAN(IF($F$3:$F$810=F210,$L$3:$L$810))</f>
        <v>19030</v>
      </c>
      <c r="N210" s="65">
        <v>37756</v>
      </c>
      <c r="O210" s="62">
        <v>0</v>
      </c>
      <c r="P210" s="76">
        <f>IF(N210&lt;INDEX(Sectorwise!E:E,MATCH(F210,Sectorwise!A:A,0)),1,0)</f>
        <v>0</v>
      </c>
      <c r="Q210" s="76">
        <f>IF(AND(N210&gt;=INDEX(Sectorwise!E:E,MATCH(F210,Sectorwise!A:A,0)),N210&lt;=INDEX(Sectorwise!F:F,MATCH(F210,Sectorwise!A:A,0))),1,0)</f>
        <v>0</v>
      </c>
      <c r="R210" s="76">
        <f>IF(N210&gt;INDEX(Sectorwise!F:F,MATCH(F210,Sectorwise!A:A,0)),1,0)</f>
        <v>1</v>
      </c>
      <c r="S210" s="27">
        <f t="shared" si="13"/>
        <v>0</v>
      </c>
      <c r="T210" s="27">
        <f t="shared" si="14"/>
        <v>0</v>
      </c>
      <c r="U210" s="27">
        <f t="shared" si="15"/>
        <v>37756</v>
      </c>
      <c r="V210" s="95">
        <f>IF(R210=1,(N210-INDEX(Sectorwise!F:F,MATCH(F210,Sectorwise!A:A,0))),0)</f>
        <v>16756</v>
      </c>
      <c r="W210" s="97">
        <f>POISSON(N210,INDEX(Sectorwise!D:D,MATCH(Travel!F407,Sectorwise!A:A,0)),TRUE)</f>
        <v>1</v>
      </c>
    </row>
    <row r="211" spans="1:23" ht="15.75" hidden="1" customHeight="1" x14ac:dyDescent="0.2">
      <c r="A211" s="53" t="s">
        <v>556</v>
      </c>
      <c r="B211" s="54" t="s">
        <v>559</v>
      </c>
      <c r="C211" s="22"/>
      <c r="D211" s="32"/>
      <c r="E211" s="21" t="s">
        <v>2285</v>
      </c>
      <c r="F211" s="29" t="s">
        <v>2134</v>
      </c>
      <c r="G211" s="63" t="s">
        <v>2312</v>
      </c>
      <c r="H211" s="21" t="s">
        <v>560</v>
      </c>
      <c r="I211" s="21" t="s">
        <v>556</v>
      </c>
      <c r="J211" s="25">
        <v>2585</v>
      </c>
      <c r="K211" s="25">
        <v>3013</v>
      </c>
      <c r="L211" s="26">
        <f t="shared" si="12"/>
        <v>5598</v>
      </c>
      <c r="M211" s="26">
        <f t="array" ref="M211">MEDIAN(IF($F$3:$F$810=F211,$L$3:$L$810))</f>
        <v>7412.5</v>
      </c>
      <c r="N211" s="47">
        <v>5598</v>
      </c>
      <c r="O211" s="27"/>
      <c r="P211" s="76">
        <f>IF(N211&lt;INDEX(Sectorwise!E:E,MATCH(F211,Sectorwise!A:A,0)),1,0)</f>
        <v>1</v>
      </c>
      <c r="Q211" s="76">
        <f>IF(AND(N211&gt;=INDEX(Sectorwise!E:E,MATCH(F211,Sectorwise!A:A,0)),N211&lt;=INDEX(Sectorwise!F:F,MATCH(F211,Sectorwise!A:A,0))),1,0)</f>
        <v>0</v>
      </c>
      <c r="R211" s="76">
        <f>IF(N211&gt;INDEX(Sectorwise!F:F,MATCH(F211,Sectorwise!A:A,0)),1,0)</f>
        <v>0</v>
      </c>
      <c r="S211" s="27">
        <f t="shared" si="13"/>
        <v>5598</v>
      </c>
      <c r="T211" s="27">
        <f t="shared" si="14"/>
        <v>0</v>
      </c>
      <c r="U211" s="27">
        <f t="shared" si="15"/>
        <v>0</v>
      </c>
      <c r="V211" s="95">
        <f>IF(R211=1,(N211-INDEX(Sectorwise!F:F,MATCH(F211,Sectorwise!A:A,0))),0)</f>
        <v>0</v>
      </c>
      <c r="W211" s="97">
        <f>POISSON(N211,INDEX(Sectorwise!D:D,MATCH(Travel!F210,Sectorwise!A:A,0)),TRUE)</f>
        <v>0</v>
      </c>
    </row>
    <row r="212" spans="1:23" ht="15.75" hidden="1" customHeight="1" x14ac:dyDescent="0.2">
      <c r="A212" s="21" t="s">
        <v>630</v>
      </c>
      <c r="B212" s="21" t="s">
        <v>638</v>
      </c>
      <c r="C212" s="22"/>
      <c r="E212" s="21" t="s">
        <v>2285</v>
      </c>
      <c r="F212" s="29" t="s">
        <v>2134</v>
      </c>
      <c r="G212" s="33" t="s">
        <v>2321</v>
      </c>
      <c r="H212" s="21" t="s">
        <v>639</v>
      </c>
      <c r="I212" s="21" t="s">
        <v>604</v>
      </c>
      <c r="J212" s="25">
        <v>472</v>
      </c>
      <c r="K212" s="25">
        <v>2394</v>
      </c>
      <c r="L212" s="26">
        <f t="shared" si="12"/>
        <v>2866</v>
      </c>
      <c r="M212" s="26">
        <f t="array" ref="M212">MEDIAN(IF($F$3:$F$810=F212,$L$3:$L$810))</f>
        <v>7412.5</v>
      </c>
      <c r="N212" s="47">
        <v>2866</v>
      </c>
      <c r="O212" s="55"/>
      <c r="P212" s="76">
        <f>IF(N212&lt;INDEX(Sectorwise!E:E,MATCH(F212,Sectorwise!A:A,0)),1,0)</f>
        <v>1</v>
      </c>
      <c r="Q212" s="76">
        <f>IF(AND(N212&gt;=INDEX(Sectorwise!E:E,MATCH(F212,Sectorwise!A:A,0)),N212&lt;=INDEX(Sectorwise!F:F,MATCH(F212,Sectorwise!A:A,0))),1,0)</f>
        <v>0</v>
      </c>
      <c r="R212" s="76">
        <f>IF(N212&gt;INDEX(Sectorwise!F:F,MATCH(F212,Sectorwise!A:A,0)),1,0)</f>
        <v>0</v>
      </c>
      <c r="S212" s="27">
        <f t="shared" si="13"/>
        <v>2866</v>
      </c>
      <c r="T212" s="27">
        <f t="shared" si="14"/>
        <v>0</v>
      </c>
      <c r="U212" s="27">
        <f t="shared" si="15"/>
        <v>0</v>
      </c>
      <c r="V212" s="95">
        <f>IF(R212=1,(N212-INDEX(Sectorwise!F:F,MATCH(F212,Sectorwise!A:A,0))),0)</f>
        <v>0</v>
      </c>
      <c r="W212" s="97">
        <f>POISSON(N212,INDEX(Sectorwise!D:D,MATCH(Travel!F239,Sectorwise!A:A,0)),TRUE)</f>
        <v>0</v>
      </c>
    </row>
    <row r="213" spans="1:23" ht="15.75" hidden="1" customHeight="1" x14ac:dyDescent="0.2">
      <c r="A213" s="21" t="s">
        <v>669</v>
      </c>
      <c r="B213" s="24" t="s">
        <v>676</v>
      </c>
      <c r="C213" s="22"/>
      <c r="D213" s="32"/>
      <c r="E213" s="21" t="s">
        <v>2285</v>
      </c>
      <c r="F213" s="29" t="s">
        <v>2134</v>
      </c>
      <c r="G213" s="56" t="s">
        <v>2309</v>
      </c>
      <c r="H213" s="21" t="s">
        <v>677</v>
      </c>
      <c r="I213" s="21" t="s">
        <v>675</v>
      </c>
      <c r="J213" s="25">
        <v>1382</v>
      </c>
      <c r="K213" s="25">
        <v>1476</v>
      </c>
      <c r="L213" s="26">
        <f t="shared" si="12"/>
        <v>2858</v>
      </c>
      <c r="M213" s="26">
        <f t="array" ref="M213">MEDIAN(IF($F$3:$F$810=F213,$L$3:$L$810))</f>
        <v>7412.5</v>
      </c>
      <c r="N213" s="47">
        <v>2858</v>
      </c>
      <c r="O213" s="55"/>
      <c r="P213" s="76">
        <f>IF(N213&lt;INDEX(Sectorwise!E:E,MATCH(F213,Sectorwise!A:A,0)),1,0)</f>
        <v>1</v>
      </c>
      <c r="Q213" s="76">
        <f>IF(AND(N213&gt;=INDEX(Sectorwise!E:E,MATCH(F213,Sectorwise!A:A,0)),N213&lt;=INDEX(Sectorwise!F:F,MATCH(F213,Sectorwise!A:A,0))),1,0)</f>
        <v>0</v>
      </c>
      <c r="R213" s="76">
        <f>IF(N213&gt;INDEX(Sectorwise!F:F,MATCH(F213,Sectorwise!A:A,0)),1,0)</f>
        <v>0</v>
      </c>
      <c r="S213" s="27">
        <f t="shared" si="13"/>
        <v>2858</v>
      </c>
      <c r="T213" s="27">
        <f t="shared" si="14"/>
        <v>0</v>
      </c>
      <c r="U213" s="27">
        <f t="shared" si="15"/>
        <v>0</v>
      </c>
      <c r="V213" s="95">
        <f>IF(R213=1,(N213-INDEX(Sectorwise!F:F,MATCH(F213,Sectorwise!A:A,0))),0)</f>
        <v>0</v>
      </c>
      <c r="W213" s="97">
        <f>POISSON(N213,INDEX(Sectorwise!D:D,MATCH(Travel!F256,Sectorwise!A:A,0)),TRUE)</f>
        <v>0</v>
      </c>
    </row>
    <row r="214" spans="1:23" ht="15.75" hidden="1" customHeight="1" x14ac:dyDescent="0.2">
      <c r="A214" s="21" t="s">
        <v>755</v>
      </c>
      <c r="B214" s="24" t="s">
        <v>762</v>
      </c>
      <c r="C214" s="22"/>
      <c r="D214" s="32"/>
      <c r="E214" s="21" t="s">
        <v>2285</v>
      </c>
      <c r="F214" s="29" t="s">
        <v>2134</v>
      </c>
      <c r="G214" s="56" t="s">
        <v>2309</v>
      </c>
      <c r="H214" s="21" t="s">
        <v>763</v>
      </c>
      <c r="I214" s="21" t="s">
        <v>758</v>
      </c>
      <c r="J214" s="25">
        <v>1382</v>
      </c>
      <c r="K214" s="25">
        <v>1633</v>
      </c>
      <c r="L214" s="26">
        <f t="shared" si="12"/>
        <v>3015</v>
      </c>
      <c r="M214" s="26">
        <f t="array" ref="M214">MEDIAN(IF($F$3:$F$810=F214,$L$3:$L$810))</f>
        <v>7412.5</v>
      </c>
      <c r="N214" s="47">
        <v>3015</v>
      </c>
      <c r="O214" s="55"/>
      <c r="P214" s="76">
        <f>IF(N214&lt;INDEX(Sectorwise!E:E,MATCH(F214,Sectorwise!A:A,0)),1,0)</f>
        <v>1</v>
      </c>
      <c r="Q214" s="76">
        <f>IF(AND(N214&gt;=INDEX(Sectorwise!E:E,MATCH(F214,Sectorwise!A:A,0)),N214&lt;=INDEX(Sectorwise!F:F,MATCH(F214,Sectorwise!A:A,0))),1,0)</f>
        <v>0</v>
      </c>
      <c r="R214" s="76">
        <f>IF(N214&gt;INDEX(Sectorwise!F:F,MATCH(F214,Sectorwise!A:A,0)),1,0)</f>
        <v>0</v>
      </c>
      <c r="S214" s="27">
        <f t="shared" si="13"/>
        <v>3015</v>
      </c>
      <c r="T214" s="27">
        <f t="shared" si="14"/>
        <v>0</v>
      </c>
      <c r="U214" s="27">
        <f t="shared" si="15"/>
        <v>0</v>
      </c>
      <c r="V214" s="95">
        <f>IF(R214=1,(N214-INDEX(Sectorwise!F:F,MATCH(F214,Sectorwise!A:A,0))),0)</f>
        <v>0</v>
      </c>
      <c r="W214" s="97">
        <f>POISSON(N214,INDEX(Sectorwise!D:D,MATCH(Travel!F288,Sectorwise!A:A,0)),TRUE)</f>
        <v>0</v>
      </c>
    </row>
    <row r="215" spans="1:23" ht="15.75" hidden="1" customHeight="1" x14ac:dyDescent="0.2">
      <c r="A215" s="56" t="s">
        <v>770</v>
      </c>
      <c r="B215" s="56" t="s">
        <v>774</v>
      </c>
      <c r="C215" s="56"/>
      <c r="E215" s="21" t="s">
        <v>2285</v>
      </c>
      <c r="F215" s="29" t="s">
        <v>2134</v>
      </c>
      <c r="G215" s="63" t="s">
        <v>2312</v>
      </c>
      <c r="H215" s="56" t="s">
        <v>775</v>
      </c>
      <c r="I215" s="56" t="s">
        <v>776</v>
      </c>
      <c r="J215" s="57">
        <v>1716</v>
      </c>
      <c r="K215" s="57">
        <v>2964</v>
      </c>
      <c r="L215" s="26">
        <f t="shared" si="12"/>
        <v>4680</v>
      </c>
      <c r="M215" s="26">
        <f t="array" ref="M215">MEDIAN(IF($F$3:$F$810=F215,$L$3:$L$810))</f>
        <v>7412.5</v>
      </c>
      <c r="N215" s="57">
        <v>4680</v>
      </c>
      <c r="O215" s="58">
        <v>0</v>
      </c>
      <c r="P215" s="76">
        <f>IF(N215&lt;INDEX(Sectorwise!E:E,MATCH(F215,Sectorwise!A:A,0)),1,0)</f>
        <v>1</v>
      </c>
      <c r="Q215" s="76">
        <f>IF(AND(N215&gt;=INDEX(Sectorwise!E:E,MATCH(F215,Sectorwise!A:A,0)),N215&lt;=INDEX(Sectorwise!F:F,MATCH(F215,Sectorwise!A:A,0))),1,0)</f>
        <v>0</v>
      </c>
      <c r="R215" s="76">
        <f>IF(N215&gt;INDEX(Sectorwise!F:F,MATCH(F215,Sectorwise!A:A,0)),1,0)</f>
        <v>0</v>
      </c>
      <c r="S215" s="27">
        <f t="shared" si="13"/>
        <v>4680</v>
      </c>
      <c r="T215" s="27">
        <f t="shared" si="14"/>
        <v>0</v>
      </c>
      <c r="U215" s="27">
        <f t="shared" si="15"/>
        <v>0</v>
      </c>
      <c r="V215" s="95">
        <f>IF(R215=1,(N215-INDEX(Sectorwise!F:F,MATCH(F215,Sectorwise!A:A,0))),0)</f>
        <v>0</v>
      </c>
      <c r="W215" s="97">
        <f>POISSON(N215,INDEX(Sectorwise!D:D,MATCH(Travel!F292,Sectorwise!A:A,0)),TRUE)</f>
        <v>1.4909874446066445E-254</v>
      </c>
    </row>
    <row r="216" spans="1:23" ht="15.75" hidden="1" customHeight="1" x14ac:dyDescent="0.2">
      <c r="A216" s="56" t="s">
        <v>807</v>
      </c>
      <c r="B216" s="56" t="s">
        <v>812</v>
      </c>
      <c r="C216" s="56"/>
      <c r="E216" s="21" t="s">
        <v>2285</v>
      </c>
      <c r="F216" s="29" t="s">
        <v>2134</v>
      </c>
      <c r="G216" s="69" t="s">
        <v>2308</v>
      </c>
      <c r="H216" s="56" t="s">
        <v>813</v>
      </c>
      <c r="I216" s="56" t="s">
        <v>814</v>
      </c>
      <c r="J216" s="57">
        <v>1295</v>
      </c>
      <c r="K216" s="57">
        <v>2492</v>
      </c>
      <c r="L216" s="26">
        <f t="shared" si="12"/>
        <v>3787</v>
      </c>
      <c r="M216" s="26">
        <f t="array" ref="M216">MEDIAN(IF($F$3:$F$810=F216,$L$3:$L$810))</f>
        <v>7412.5</v>
      </c>
      <c r="N216" s="57">
        <v>3787</v>
      </c>
      <c r="O216" s="58">
        <v>0</v>
      </c>
      <c r="P216" s="76">
        <f>IF(N216&lt;INDEX(Sectorwise!E:E,MATCH(F216,Sectorwise!A:A,0)),1,0)</f>
        <v>1</v>
      </c>
      <c r="Q216" s="76">
        <f>IF(AND(N216&gt;=INDEX(Sectorwise!E:E,MATCH(F216,Sectorwise!A:A,0)),N216&lt;=INDEX(Sectorwise!F:F,MATCH(F216,Sectorwise!A:A,0))),1,0)</f>
        <v>0</v>
      </c>
      <c r="R216" s="76">
        <f>IF(N216&gt;INDEX(Sectorwise!F:F,MATCH(F216,Sectorwise!A:A,0)),1,0)</f>
        <v>0</v>
      </c>
      <c r="S216" s="27">
        <f t="shared" si="13"/>
        <v>3787</v>
      </c>
      <c r="T216" s="27">
        <f t="shared" si="14"/>
        <v>0</v>
      </c>
      <c r="U216" s="27">
        <f t="shared" si="15"/>
        <v>0</v>
      </c>
      <c r="V216" s="95">
        <f>IF(R216=1,(N216-INDEX(Sectorwise!F:F,MATCH(F216,Sectorwise!A:A,0))),0)</f>
        <v>0</v>
      </c>
      <c r="W216" s="97">
        <f>POISSON(N216,INDEX(Sectorwise!D:D,MATCH(Travel!F305,Sectorwise!A:A,0)),TRUE)</f>
        <v>0</v>
      </c>
    </row>
    <row r="217" spans="1:23" ht="15.75" hidden="1" customHeight="1" x14ac:dyDescent="0.2">
      <c r="A217" s="63" t="s">
        <v>1093</v>
      </c>
      <c r="B217" s="63" t="s">
        <v>1097</v>
      </c>
      <c r="C217" s="63"/>
      <c r="E217" s="21" t="s">
        <v>2285</v>
      </c>
      <c r="F217" s="29" t="s">
        <v>2134</v>
      </c>
      <c r="G217" s="63" t="s">
        <v>2312</v>
      </c>
      <c r="H217" s="63" t="s">
        <v>1098</v>
      </c>
      <c r="I217" s="63" t="s">
        <v>1088</v>
      </c>
      <c r="J217" s="65">
        <v>4820</v>
      </c>
      <c r="K217" s="65">
        <v>3136</v>
      </c>
      <c r="L217" s="26">
        <f t="shared" si="12"/>
        <v>7956</v>
      </c>
      <c r="M217" s="26">
        <f t="array" ref="M217">MEDIAN(IF($F$3:$F$810=F217,$L$3:$L$810))</f>
        <v>7412.5</v>
      </c>
      <c r="N217" s="65">
        <v>7956</v>
      </c>
      <c r="O217" s="62">
        <v>0</v>
      </c>
      <c r="P217" s="76">
        <f>IF(N217&lt;INDEX(Sectorwise!E:E,MATCH(F217,Sectorwise!A:A,0)),1,0)</f>
        <v>0</v>
      </c>
      <c r="Q217" s="76">
        <f>IF(AND(N217&gt;=INDEX(Sectorwise!E:E,MATCH(F217,Sectorwise!A:A,0)),N217&lt;=INDEX(Sectorwise!F:F,MATCH(F217,Sectorwise!A:A,0))),1,0)</f>
        <v>1</v>
      </c>
      <c r="R217" s="76">
        <f>IF(N217&gt;INDEX(Sectorwise!F:F,MATCH(F217,Sectorwise!A:A,0)),1,0)</f>
        <v>0</v>
      </c>
      <c r="S217" s="27">
        <f t="shared" si="13"/>
        <v>0</v>
      </c>
      <c r="T217" s="27">
        <f t="shared" si="14"/>
        <v>7956</v>
      </c>
      <c r="U217" s="27">
        <f t="shared" si="15"/>
        <v>0</v>
      </c>
      <c r="V217" s="95">
        <f>IF(R217=1,(N217-INDEX(Sectorwise!F:F,MATCH(F217,Sectorwise!A:A,0))),0)</f>
        <v>0</v>
      </c>
      <c r="W217" s="97">
        <f>POISSON(N217,INDEX(Sectorwise!D:D,MATCH(Travel!F413,Sectorwise!A:A,0)),TRUE)</f>
        <v>0</v>
      </c>
    </row>
    <row r="218" spans="1:23" ht="15.75" hidden="1" customHeight="1" x14ac:dyDescent="0.2">
      <c r="A218" s="63" t="s">
        <v>1246</v>
      </c>
      <c r="B218" s="63" t="s">
        <v>1256</v>
      </c>
      <c r="C218" s="63"/>
      <c r="E218" s="21" t="s">
        <v>2285</v>
      </c>
      <c r="F218" s="29" t="s">
        <v>2134</v>
      </c>
      <c r="G218" s="63" t="s">
        <v>2312</v>
      </c>
      <c r="H218" s="63" t="s">
        <v>1257</v>
      </c>
      <c r="I218" s="63" t="s">
        <v>1258</v>
      </c>
      <c r="J218" s="65">
        <v>4620</v>
      </c>
      <c r="K218" s="65">
        <v>3125</v>
      </c>
      <c r="L218" s="26">
        <f t="shared" si="12"/>
        <v>7745</v>
      </c>
      <c r="M218" s="26">
        <f t="array" ref="M218">MEDIAN(IF($F$3:$F$810=F218,$L$3:$L$810))</f>
        <v>7412.5</v>
      </c>
      <c r="N218" s="65">
        <v>7745</v>
      </c>
      <c r="O218" s="62">
        <v>0</v>
      </c>
      <c r="P218" s="76">
        <f>IF(N218&lt;INDEX(Sectorwise!E:E,MATCH(F218,Sectorwise!A:A,0)),1,0)</f>
        <v>0</v>
      </c>
      <c r="Q218" s="76">
        <f>IF(AND(N218&gt;=INDEX(Sectorwise!E:E,MATCH(F218,Sectorwise!A:A,0)),N218&lt;=INDEX(Sectorwise!F:F,MATCH(F218,Sectorwise!A:A,0))),1,0)</f>
        <v>1</v>
      </c>
      <c r="R218" s="76">
        <f>IF(N218&gt;INDEX(Sectorwise!F:F,MATCH(F218,Sectorwise!A:A,0)),1,0)</f>
        <v>0</v>
      </c>
      <c r="S218" s="27">
        <f t="shared" si="13"/>
        <v>0</v>
      </c>
      <c r="T218" s="27">
        <f t="shared" si="14"/>
        <v>7745</v>
      </c>
      <c r="U218" s="27">
        <f t="shared" si="15"/>
        <v>0</v>
      </c>
      <c r="V218" s="95">
        <f>IF(R218=1,(N218-INDEX(Sectorwise!F:F,MATCH(F218,Sectorwise!A:A,0))),0)</f>
        <v>0</v>
      </c>
      <c r="W218" s="97">
        <f>POISSON(N218,INDEX(Sectorwise!D:D,MATCH(Travel!F473,Sectorwise!A:A,0)),TRUE)</f>
        <v>0.99993880085701281</v>
      </c>
    </row>
    <row r="219" spans="1:23" ht="15.75" hidden="1" customHeight="1" x14ac:dyDescent="0.2">
      <c r="A219" s="60" t="s">
        <v>1322</v>
      </c>
      <c r="B219" s="60" t="s">
        <v>1334</v>
      </c>
      <c r="C219" s="60"/>
      <c r="E219" s="21" t="s">
        <v>2285</v>
      </c>
      <c r="F219" s="29" t="s">
        <v>2134</v>
      </c>
      <c r="G219" s="69" t="s">
        <v>2308</v>
      </c>
      <c r="H219" s="60" t="s">
        <v>1335</v>
      </c>
      <c r="I219" s="60" t="s">
        <v>1336</v>
      </c>
      <c r="J219" s="61">
        <v>6256</v>
      </c>
      <c r="K219" s="61">
        <v>960</v>
      </c>
      <c r="L219" s="26">
        <f t="shared" si="12"/>
        <v>7216</v>
      </c>
      <c r="M219" s="26">
        <f t="array" ref="M219">MEDIAN(IF($F$3:$F$810=F219,$L$3:$L$810))</f>
        <v>7412.5</v>
      </c>
      <c r="N219" s="61">
        <v>7216</v>
      </c>
      <c r="O219" s="62">
        <v>0</v>
      </c>
      <c r="P219" s="76">
        <f>IF(N219&lt;INDEX(Sectorwise!E:E,MATCH(F219,Sectorwise!A:A,0)),1,0)</f>
        <v>0</v>
      </c>
      <c r="Q219" s="76">
        <f>IF(AND(N219&gt;=INDEX(Sectorwise!E:E,MATCH(F219,Sectorwise!A:A,0)),N219&lt;=INDEX(Sectorwise!F:F,MATCH(F219,Sectorwise!A:A,0))),1,0)</f>
        <v>1</v>
      </c>
      <c r="R219" s="76">
        <f>IF(N219&gt;INDEX(Sectorwise!F:F,MATCH(F219,Sectorwise!A:A,0)),1,0)</f>
        <v>0</v>
      </c>
      <c r="S219" s="27">
        <f t="shared" si="13"/>
        <v>0</v>
      </c>
      <c r="T219" s="27">
        <f t="shared" si="14"/>
        <v>7216</v>
      </c>
      <c r="U219" s="27">
        <f t="shared" si="15"/>
        <v>0</v>
      </c>
      <c r="V219" s="95">
        <f>IF(R219=1,(N219-INDEX(Sectorwise!F:F,MATCH(F219,Sectorwise!A:A,0))),0)</f>
        <v>0</v>
      </c>
      <c r="W219" s="97">
        <f>POISSON(N219,INDEX(Sectorwise!D:D,MATCH(Travel!F499,Sectorwise!A:A,0)),TRUE)</f>
        <v>0</v>
      </c>
    </row>
    <row r="220" spans="1:23" ht="15.75" hidden="1" customHeight="1" x14ac:dyDescent="0.2">
      <c r="A220" s="63" t="s">
        <v>1407</v>
      </c>
      <c r="B220" s="63" t="s">
        <v>1408</v>
      </c>
      <c r="C220" s="63"/>
      <c r="E220" s="21" t="s">
        <v>2285</v>
      </c>
      <c r="F220" s="29" t="s">
        <v>2134</v>
      </c>
      <c r="G220" s="56" t="s">
        <v>2309</v>
      </c>
      <c r="H220" s="63" t="s">
        <v>1409</v>
      </c>
      <c r="I220" s="63" t="s">
        <v>1386</v>
      </c>
      <c r="J220" s="65">
        <v>6100</v>
      </c>
      <c r="K220" s="65">
        <v>1896</v>
      </c>
      <c r="L220" s="26">
        <f t="shared" si="12"/>
        <v>7996</v>
      </c>
      <c r="M220" s="26">
        <f t="array" ref="M220">MEDIAN(IF($F$3:$F$810=F220,$L$3:$L$810))</f>
        <v>7412.5</v>
      </c>
      <c r="N220" s="65">
        <v>16328</v>
      </c>
      <c r="O220" s="62">
        <v>0</v>
      </c>
      <c r="P220" s="76">
        <f>IF(N220&lt;INDEX(Sectorwise!E:E,MATCH(F220,Sectorwise!A:A,0)),1,0)</f>
        <v>0</v>
      </c>
      <c r="Q220" s="76">
        <f>IF(AND(N220&gt;=INDEX(Sectorwise!E:E,MATCH(F220,Sectorwise!A:A,0)),N220&lt;=INDEX(Sectorwise!F:F,MATCH(F220,Sectorwise!A:A,0))),1,0)</f>
        <v>0</v>
      </c>
      <c r="R220" s="76">
        <f>IF(N220&gt;INDEX(Sectorwise!F:F,MATCH(F220,Sectorwise!A:A,0)),1,0)</f>
        <v>1</v>
      </c>
      <c r="S220" s="27">
        <f t="shared" si="13"/>
        <v>0</v>
      </c>
      <c r="T220" s="27">
        <f t="shared" si="14"/>
        <v>0</v>
      </c>
      <c r="U220" s="27">
        <f t="shared" si="15"/>
        <v>16328</v>
      </c>
      <c r="V220" s="95">
        <f>IF(R220=1,(N220-INDEX(Sectorwise!F:F,MATCH(F220,Sectorwise!A:A,0))),0)</f>
        <v>8128</v>
      </c>
      <c r="W220" s="97">
        <f>POISSON(N220,INDEX(Sectorwise!D:D,MATCH(Travel!F527,Sectorwise!A:A,0)),TRUE)</f>
        <v>1</v>
      </c>
    </row>
    <row r="221" spans="1:23" ht="15.75" hidden="1" customHeight="1" x14ac:dyDescent="0.2">
      <c r="A221" s="63" t="s">
        <v>1427</v>
      </c>
      <c r="B221" s="63" t="s">
        <v>1428</v>
      </c>
      <c r="C221" s="63"/>
      <c r="E221" s="21" t="s">
        <v>2285</v>
      </c>
      <c r="F221" s="29" t="s">
        <v>2134</v>
      </c>
      <c r="G221" s="63" t="s">
        <v>2312</v>
      </c>
      <c r="H221" s="63" t="s">
        <v>1429</v>
      </c>
      <c r="I221" s="63" t="s">
        <v>1417</v>
      </c>
      <c r="J221" s="65">
        <v>5020</v>
      </c>
      <c r="K221" s="65">
        <v>3148</v>
      </c>
      <c r="L221" s="26">
        <f t="shared" si="12"/>
        <v>8168</v>
      </c>
      <c r="M221" s="26">
        <f t="array" ref="M221">MEDIAN(IF($F$3:$F$810=F221,$L$3:$L$810))</f>
        <v>7412.5</v>
      </c>
      <c r="N221" s="65">
        <v>16247</v>
      </c>
      <c r="O221" s="62">
        <v>0</v>
      </c>
      <c r="P221" s="76">
        <f>IF(N221&lt;INDEX(Sectorwise!E:E,MATCH(F221,Sectorwise!A:A,0)),1,0)</f>
        <v>0</v>
      </c>
      <c r="Q221" s="76">
        <f>IF(AND(N221&gt;=INDEX(Sectorwise!E:E,MATCH(F221,Sectorwise!A:A,0)),N221&lt;=INDEX(Sectorwise!F:F,MATCH(F221,Sectorwise!A:A,0))),1,0)</f>
        <v>0</v>
      </c>
      <c r="R221" s="76">
        <f>IF(N221&gt;INDEX(Sectorwise!F:F,MATCH(F221,Sectorwise!A:A,0)),1,0)</f>
        <v>1</v>
      </c>
      <c r="S221" s="27">
        <f t="shared" si="13"/>
        <v>0</v>
      </c>
      <c r="T221" s="27">
        <f t="shared" si="14"/>
        <v>0</v>
      </c>
      <c r="U221" s="27">
        <f t="shared" si="15"/>
        <v>16247</v>
      </c>
      <c r="V221" s="95">
        <f>IF(R221=1,(N221-INDEX(Sectorwise!F:F,MATCH(F221,Sectorwise!A:A,0))),0)</f>
        <v>8047</v>
      </c>
      <c r="W221" s="97">
        <f>POISSON(N221,INDEX(Sectorwise!D:D,MATCH(Travel!F535,Sectorwise!A:A,0)),TRUE)</f>
        <v>1</v>
      </c>
    </row>
    <row r="222" spans="1:23" ht="15.75" hidden="1" customHeight="1" x14ac:dyDescent="0.2">
      <c r="A222" s="63" t="s">
        <v>1549</v>
      </c>
      <c r="B222" s="63" t="s">
        <v>1555</v>
      </c>
      <c r="C222" s="63"/>
      <c r="E222" s="21" t="s">
        <v>2285</v>
      </c>
      <c r="F222" s="29" t="s">
        <v>2134</v>
      </c>
      <c r="G222" s="56" t="s">
        <v>2309</v>
      </c>
      <c r="H222" s="63" t="s">
        <v>1556</v>
      </c>
      <c r="I222" s="63" t="s">
        <v>1540</v>
      </c>
      <c r="J222" s="65">
        <v>6100</v>
      </c>
      <c r="K222" s="65">
        <v>1896</v>
      </c>
      <c r="L222" s="26">
        <f t="shared" si="12"/>
        <v>7996</v>
      </c>
      <c r="M222" s="26">
        <f t="array" ref="M222">MEDIAN(IF($F$3:$F$810=F222,$L$3:$L$810))</f>
        <v>7412.5</v>
      </c>
      <c r="N222" s="65">
        <v>7996</v>
      </c>
      <c r="O222" s="62">
        <v>0</v>
      </c>
      <c r="P222" s="76">
        <f>IF(N222&lt;INDEX(Sectorwise!E:E,MATCH(F222,Sectorwise!A:A,0)),1,0)</f>
        <v>0</v>
      </c>
      <c r="Q222" s="76">
        <f>IF(AND(N222&gt;=INDEX(Sectorwise!E:E,MATCH(F222,Sectorwise!A:A,0)),N222&lt;=INDEX(Sectorwise!F:F,MATCH(F222,Sectorwise!A:A,0))),1,0)</f>
        <v>1</v>
      </c>
      <c r="R222" s="76">
        <f>IF(N222&gt;INDEX(Sectorwise!F:F,MATCH(F222,Sectorwise!A:A,0)),1,0)</f>
        <v>0</v>
      </c>
      <c r="S222" s="27">
        <f t="shared" si="13"/>
        <v>0</v>
      </c>
      <c r="T222" s="27">
        <f t="shared" si="14"/>
        <v>7996</v>
      </c>
      <c r="U222" s="27">
        <f t="shared" si="15"/>
        <v>0</v>
      </c>
      <c r="V222" s="95">
        <f>IF(R222=1,(N222-INDEX(Sectorwise!F:F,MATCH(F222,Sectorwise!A:A,0))),0)</f>
        <v>0</v>
      </c>
      <c r="W222" s="97">
        <f>POISSON(N222,INDEX(Sectorwise!D:D,MATCH(Travel!F588,Sectorwise!A:A,0)),TRUE)</f>
        <v>6.7653061184668775E-127</v>
      </c>
    </row>
    <row r="223" spans="1:23" ht="15.75" hidden="1" customHeight="1" x14ac:dyDescent="0.2">
      <c r="A223" s="63" t="s">
        <v>1600</v>
      </c>
      <c r="B223" s="63" t="s">
        <v>1607</v>
      </c>
      <c r="C223" s="63" t="s">
        <v>1608</v>
      </c>
      <c r="E223" s="21" t="s">
        <v>2285</v>
      </c>
      <c r="F223" s="29" t="s">
        <v>2134</v>
      </c>
      <c r="G223" s="63" t="s">
        <v>2312</v>
      </c>
      <c r="H223" s="63" t="s">
        <v>1609</v>
      </c>
      <c r="I223" s="63" t="s">
        <v>1598</v>
      </c>
      <c r="J223" s="65">
        <v>4620</v>
      </c>
      <c r="K223" s="65">
        <v>3125</v>
      </c>
      <c r="L223" s="26">
        <f t="shared" si="12"/>
        <v>7745</v>
      </c>
      <c r="M223" s="26">
        <f t="array" ref="M223">MEDIAN(IF($F$3:$F$810=F223,$L$3:$L$810))</f>
        <v>7412.5</v>
      </c>
      <c r="N223" s="65">
        <v>15996</v>
      </c>
      <c r="O223" s="62">
        <v>7098</v>
      </c>
      <c r="P223" s="76">
        <f>IF(N223&lt;INDEX(Sectorwise!E:E,MATCH(F223,Sectorwise!A:A,0)),1,0)</f>
        <v>0</v>
      </c>
      <c r="Q223" s="76">
        <f>IF(AND(N223&gt;=INDEX(Sectorwise!E:E,MATCH(F223,Sectorwise!A:A,0)),N223&lt;=INDEX(Sectorwise!F:F,MATCH(F223,Sectorwise!A:A,0))),1,0)</f>
        <v>0</v>
      </c>
      <c r="R223" s="76">
        <f>IF(N223&gt;INDEX(Sectorwise!F:F,MATCH(F223,Sectorwise!A:A,0)),1,0)</f>
        <v>1</v>
      </c>
      <c r="S223" s="27">
        <f t="shared" si="13"/>
        <v>0</v>
      </c>
      <c r="T223" s="27">
        <f t="shared" si="14"/>
        <v>0</v>
      </c>
      <c r="U223" s="27">
        <f t="shared" si="15"/>
        <v>15996</v>
      </c>
      <c r="V223" s="95">
        <f>IF(R223=1,(N223-INDEX(Sectorwise!F:F,MATCH(F223,Sectorwise!A:A,0))),0)</f>
        <v>7796</v>
      </c>
      <c r="W223" s="97">
        <f>POISSON(N223,INDEX(Sectorwise!D:D,MATCH(Travel!F613,Sectorwise!A:A,0)),TRUE)</f>
        <v>1</v>
      </c>
    </row>
    <row r="224" spans="1:23" ht="15.75" hidden="1" customHeight="1" x14ac:dyDescent="0.2">
      <c r="A224" s="69" t="s">
        <v>1994</v>
      </c>
      <c r="B224" s="69" t="s">
        <v>1995</v>
      </c>
      <c r="C224" s="69"/>
      <c r="E224" s="21" t="s">
        <v>2285</v>
      </c>
      <c r="F224" s="29" t="s">
        <v>2134</v>
      </c>
      <c r="G224" s="56" t="s">
        <v>2309</v>
      </c>
      <c r="H224" s="69" t="s">
        <v>1996</v>
      </c>
      <c r="I224" s="69" t="s">
        <v>1997</v>
      </c>
      <c r="J224" s="70">
        <v>6100</v>
      </c>
      <c r="K224" s="70">
        <v>1896</v>
      </c>
      <c r="L224" s="26">
        <f t="shared" si="12"/>
        <v>7996</v>
      </c>
      <c r="M224" s="26">
        <f t="array" ref="M224">MEDIAN(IF($F$3:$F$810=F224,$L$3:$L$810))</f>
        <v>7412.5</v>
      </c>
      <c r="N224" s="70">
        <v>7996</v>
      </c>
      <c r="O224" s="71">
        <v>0</v>
      </c>
      <c r="P224" s="76">
        <f>IF(N224&lt;INDEX(Sectorwise!E:E,MATCH(F224,Sectorwise!A:A,0)),1,0)</f>
        <v>0</v>
      </c>
      <c r="Q224" s="76">
        <f>IF(AND(N224&gt;=INDEX(Sectorwise!E:E,MATCH(F224,Sectorwise!A:A,0)),N224&lt;=INDEX(Sectorwise!F:F,MATCH(F224,Sectorwise!A:A,0))),1,0)</f>
        <v>1</v>
      </c>
      <c r="R224" s="76">
        <f>IF(N224&gt;INDEX(Sectorwise!F:F,MATCH(F224,Sectorwise!A:A,0)),1,0)</f>
        <v>0</v>
      </c>
      <c r="S224" s="27">
        <f t="shared" si="13"/>
        <v>0</v>
      </c>
      <c r="T224" s="27">
        <f t="shared" si="14"/>
        <v>7996</v>
      </c>
      <c r="U224" s="27">
        <f t="shared" si="15"/>
        <v>0</v>
      </c>
      <c r="V224" s="95">
        <f>IF(R224=1,(N224-INDEX(Sectorwise!F:F,MATCH(F224,Sectorwise!A:A,0))),0)</f>
        <v>0</v>
      </c>
      <c r="W224" s="97">
        <f>POISSON(N224,INDEX(Sectorwise!D:D,MATCH(Travel!F759,Sectorwise!A:A,0)),TRUE)</f>
        <v>0</v>
      </c>
    </row>
    <row r="225" spans="1:23" ht="15.75" hidden="1" customHeight="1" x14ac:dyDescent="0.2">
      <c r="A225" s="63" t="s">
        <v>1837</v>
      </c>
      <c r="B225" s="63" t="s">
        <v>1838</v>
      </c>
      <c r="C225" s="63"/>
      <c r="E225" s="21" t="s">
        <v>2285</v>
      </c>
      <c r="F225" s="21" t="s">
        <v>2136</v>
      </c>
      <c r="G225" s="56" t="s">
        <v>2309</v>
      </c>
      <c r="H225" s="63" t="s">
        <v>1839</v>
      </c>
      <c r="I225" s="63" t="s">
        <v>1827</v>
      </c>
      <c r="J225" s="65">
        <v>11018</v>
      </c>
      <c r="K225" s="65">
        <v>3422</v>
      </c>
      <c r="L225" s="26">
        <f t="shared" si="12"/>
        <v>14440</v>
      </c>
      <c r="M225" s="26">
        <f t="array" ref="M225">MEDIAN(IF($F$3:$F$810=F225,$L$3:$L$810))</f>
        <v>14406</v>
      </c>
      <c r="N225" s="65">
        <v>14440</v>
      </c>
      <c r="O225" s="62">
        <v>0</v>
      </c>
      <c r="P225" s="76">
        <f>IF(N225&lt;INDEX(Sectorwise!E:E,MATCH(F225,Sectorwise!A:A,0)),1,0)</f>
        <v>0</v>
      </c>
      <c r="Q225" s="76">
        <f>IF(AND(N225&gt;=INDEX(Sectorwise!E:E,MATCH(F225,Sectorwise!A:A,0)),N225&lt;=INDEX(Sectorwise!F:F,MATCH(F225,Sectorwise!A:A,0))),1,0)</f>
        <v>1</v>
      </c>
      <c r="R225" s="76">
        <f>IF(N225&gt;INDEX(Sectorwise!F:F,MATCH(F225,Sectorwise!A:A,0)),1,0)</f>
        <v>0</v>
      </c>
      <c r="S225" s="27">
        <f t="shared" si="13"/>
        <v>0</v>
      </c>
      <c r="T225" s="27">
        <f t="shared" si="14"/>
        <v>14440</v>
      </c>
      <c r="U225" s="27">
        <f t="shared" si="15"/>
        <v>0</v>
      </c>
      <c r="V225" s="95">
        <f>IF(R225=1,(N225-INDEX(Sectorwise!F:F,MATCH(F225,Sectorwise!A:A,0))),0)</f>
        <v>0</v>
      </c>
      <c r="W225" s="97">
        <f>POISSON(N225,INDEX(Sectorwise!D:D,MATCH(Travel!F695,Sectorwise!A:A,0)),TRUE)</f>
        <v>1</v>
      </c>
    </row>
    <row r="226" spans="1:23" ht="15.75" hidden="1" customHeight="1" x14ac:dyDescent="0.2">
      <c r="A226" s="69" t="s">
        <v>1994</v>
      </c>
      <c r="B226" s="69" t="s">
        <v>2013</v>
      </c>
      <c r="C226" s="69"/>
      <c r="E226" s="21" t="s">
        <v>2285</v>
      </c>
      <c r="F226" s="21" t="s">
        <v>2136</v>
      </c>
      <c r="G226" s="56" t="s">
        <v>2309</v>
      </c>
      <c r="H226" s="69" t="s">
        <v>2014</v>
      </c>
      <c r="I226" s="69" t="s">
        <v>1977</v>
      </c>
      <c r="J226" s="70">
        <v>10800</v>
      </c>
      <c r="K226" s="70">
        <v>3669</v>
      </c>
      <c r="L226" s="26">
        <f t="shared" si="12"/>
        <v>14469</v>
      </c>
      <c r="M226" s="26">
        <f t="array" ref="M226">MEDIAN(IF($F$3:$F$810=F226,$L$3:$L$810))</f>
        <v>14406</v>
      </c>
      <c r="N226" s="70">
        <v>14469</v>
      </c>
      <c r="O226" s="71">
        <v>0</v>
      </c>
      <c r="P226" s="76">
        <f>IF(N226&lt;INDEX(Sectorwise!E:E,MATCH(F226,Sectorwise!A:A,0)),1,0)</f>
        <v>0</v>
      </c>
      <c r="Q226" s="76">
        <f>IF(AND(N226&gt;=INDEX(Sectorwise!E:E,MATCH(F226,Sectorwise!A:A,0)),N226&lt;=INDEX(Sectorwise!F:F,MATCH(F226,Sectorwise!A:A,0))),1,0)</f>
        <v>1</v>
      </c>
      <c r="R226" s="76">
        <f>IF(N226&gt;INDEX(Sectorwise!F:F,MATCH(F226,Sectorwise!A:A,0)),1,0)</f>
        <v>0</v>
      </c>
      <c r="S226" s="27">
        <f t="shared" si="13"/>
        <v>0</v>
      </c>
      <c r="T226" s="27">
        <f t="shared" si="14"/>
        <v>14469</v>
      </c>
      <c r="U226" s="27">
        <f t="shared" si="15"/>
        <v>0</v>
      </c>
      <c r="V226" s="95">
        <f>IF(R226=1,(N226-INDEX(Sectorwise!F:F,MATCH(F226,Sectorwise!A:A,0))),0)</f>
        <v>0</v>
      </c>
      <c r="W226" s="97">
        <f>POISSON(N226,INDEX(Sectorwise!D:D,MATCH(Travel!F766,Sectorwise!A:A,0)),TRUE)</f>
        <v>1</v>
      </c>
    </row>
    <row r="227" spans="1:23" ht="15.75" hidden="1" customHeight="1" x14ac:dyDescent="0.2">
      <c r="A227" s="63" t="s">
        <v>1172</v>
      </c>
      <c r="B227" s="63" t="s">
        <v>1178</v>
      </c>
      <c r="C227" s="63" t="s">
        <v>1179</v>
      </c>
      <c r="E227" s="21" t="s">
        <v>2285</v>
      </c>
      <c r="F227" s="21" t="s">
        <v>2147</v>
      </c>
      <c r="G227" s="63" t="s">
        <v>2312</v>
      </c>
      <c r="H227" s="63" t="s">
        <v>1180</v>
      </c>
      <c r="I227" s="63" t="s">
        <v>1181</v>
      </c>
      <c r="J227" s="65">
        <v>6440</v>
      </c>
      <c r="K227" s="65">
        <v>5266</v>
      </c>
      <c r="L227" s="26">
        <f t="shared" si="12"/>
        <v>11706</v>
      </c>
      <c r="M227" s="26">
        <f t="array" ref="M227">MEDIAN(IF($F$3:$F$810=F227,$L$3:$L$810))</f>
        <v>10605</v>
      </c>
      <c r="N227" s="65">
        <v>11706</v>
      </c>
      <c r="O227" s="62">
        <v>10027</v>
      </c>
      <c r="P227" s="76">
        <f>IF(N227&lt;INDEX(Sectorwise!E:E,MATCH(F227,Sectorwise!A:A,0)),1,0)</f>
        <v>0</v>
      </c>
      <c r="Q227" s="76">
        <f>IF(AND(N227&gt;=INDEX(Sectorwise!E:E,MATCH(F227,Sectorwise!A:A,0)),N227&lt;=INDEX(Sectorwise!F:F,MATCH(F227,Sectorwise!A:A,0))),1,0)</f>
        <v>0</v>
      </c>
      <c r="R227" s="76">
        <f>IF(N227&gt;INDEX(Sectorwise!F:F,MATCH(F227,Sectorwise!A:A,0)),1,0)</f>
        <v>1</v>
      </c>
      <c r="S227" s="27">
        <f t="shared" si="13"/>
        <v>0</v>
      </c>
      <c r="T227" s="27">
        <f t="shared" si="14"/>
        <v>0</v>
      </c>
      <c r="U227" s="27">
        <f t="shared" si="15"/>
        <v>11706</v>
      </c>
      <c r="V227" s="95">
        <f>IF(R227=1,(N227-INDEX(Sectorwise!F:F,MATCH(F227,Sectorwise!A:A,0))),0)</f>
        <v>6</v>
      </c>
      <c r="W227" s="97">
        <f>POISSON(N227,INDEX(Sectorwise!D:D,MATCH(Travel!F445,Sectorwise!A:A,0)),TRUE)</f>
        <v>1</v>
      </c>
    </row>
    <row r="228" spans="1:23" ht="15.75" hidden="1" customHeight="1" x14ac:dyDescent="0.2">
      <c r="A228" s="63" t="s">
        <v>1172</v>
      </c>
      <c r="B228" s="63" t="s">
        <v>1184</v>
      </c>
      <c r="C228" s="63"/>
      <c r="E228" s="21" t="s">
        <v>2285</v>
      </c>
      <c r="F228" s="21" t="s">
        <v>2147</v>
      </c>
      <c r="G228" s="33" t="s">
        <v>2321</v>
      </c>
      <c r="H228" s="63" t="s">
        <v>1185</v>
      </c>
      <c r="I228" s="63" t="s">
        <v>1181</v>
      </c>
      <c r="J228" s="65">
        <v>8731</v>
      </c>
      <c r="K228" s="65">
        <v>1421</v>
      </c>
      <c r="L228" s="26">
        <f t="shared" si="12"/>
        <v>10152</v>
      </c>
      <c r="M228" s="26">
        <f t="array" ref="M228">MEDIAN(IF($F$3:$F$810=F228,$L$3:$L$810))</f>
        <v>10605</v>
      </c>
      <c r="N228" s="65">
        <v>20304</v>
      </c>
      <c r="O228" s="62">
        <v>0</v>
      </c>
      <c r="P228" s="76">
        <f>IF(N228&lt;INDEX(Sectorwise!E:E,MATCH(F228,Sectorwise!A:A,0)),1,0)</f>
        <v>0</v>
      </c>
      <c r="Q228" s="76">
        <f>IF(AND(N228&gt;=INDEX(Sectorwise!E:E,MATCH(F228,Sectorwise!A:A,0)),N228&lt;=INDEX(Sectorwise!F:F,MATCH(F228,Sectorwise!A:A,0))),1,0)</f>
        <v>0</v>
      </c>
      <c r="R228" s="76">
        <f>IF(N228&gt;INDEX(Sectorwise!F:F,MATCH(F228,Sectorwise!A:A,0)),1,0)</f>
        <v>1</v>
      </c>
      <c r="S228" s="27">
        <f t="shared" si="13"/>
        <v>0</v>
      </c>
      <c r="T228" s="27">
        <f t="shared" si="14"/>
        <v>0</v>
      </c>
      <c r="U228" s="27">
        <f t="shared" si="15"/>
        <v>20304</v>
      </c>
      <c r="V228" s="95">
        <f>IF(R228=1,(N228-INDEX(Sectorwise!F:F,MATCH(F228,Sectorwise!A:A,0))),0)</f>
        <v>8604</v>
      </c>
      <c r="W228" s="97">
        <f>POISSON(N228,INDEX(Sectorwise!D:D,MATCH(Travel!F447,Sectorwise!A:A,0)),TRUE)</f>
        <v>0</v>
      </c>
    </row>
    <row r="229" spans="1:23" ht="15.75" hidden="1" customHeight="1" x14ac:dyDescent="0.2">
      <c r="A229" s="63" t="s">
        <v>1189</v>
      </c>
      <c r="B229" s="63" t="s">
        <v>1192</v>
      </c>
      <c r="C229" s="63"/>
      <c r="E229" s="21" t="s">
        <v>2285</v>
      </c>
      <c r="F229" s="21" t="s">
        <v>2147</v>
      </c>
      <c r="G229" s="69" t="s">
        <v>2308</v>
      </c>
      <c r="H229" s="63" t="s">
        <v>1193</v>
      </c>
      <c r="I229" s="63" t="s">
        <v>1194</v>
      </c>
      <c r="J229" s="65">
        <v>9128</v>
      </c>
      <c r="K229" s="65">
        <v>1585</v>
      </c>
      <c r="L229" s="26">
        <f t="shared" si="12"/>
        <v>10713</v>
      </c>
      <c r="M229" s="26">
        <f t="array" ref="M229">MEDIAN(IF($F$3:$F$810=F229,$L$3:$L$810))</f>
        <v>10605</v>
      </c>
      <c r="N229" s="65">
        <v>10713</v>
      </c>
      <c r="O229" s="62">
        <v>0</v>
      </c>
      <c r="P229" s="76">
        <f>IF(N229&lt;INDEX(Sectorwise!E:E,MATCH(F229,Sectorwise!A:A,0)),1,0)</f>
        <v>0</v>
      </c>
      <c r="Q229" s="76">
        <f>IF(AND(N229&gt;=INDEX(Sectorwise!E:E,MATCH(F229,Sectorwise!A:A,0)),N229&lt;=INDEX(Sectorwise!F:F,MATCH(F229,Sectorwise!A:A,0))),1,0)</f>
        <v>1</v>
      </c>
      <c r="R229" s="76">
        <f>IF(N229&gt;INDEX(Sectorwise!F:F,MATCH(F229,Sectorwise!A:A,0)),1,0)</f>
        <v>0</v>
      </c>
      <c r="S229" s="27">
        <f t="shared" si="13"/>
        <v>0</v>
      </c>
      <c r="T229" s="27">
        <f t="shared" si="14"/>
        <v>10713</v>
      </c>
      <c r="U229" s="27">
        <f t="shared" si="15"/>
        <v>0</v>
      </c>
      <c r="V229" s="95">
        <f>IF(R229=1,(N229-INDEX(Sectorwise!F:F,MATCH(F229,Sectorwise!A:A,0))),0)</f>
        <v>0</v>
      </c>
      <c r="W229" s="97">
        <f>POISSON(N229,INDEX(Sectorwise!D:D,MATCH(Travel!F451,Sectorwise!A:A,0)),TRUE)</f>
        <v>1</v>
      </c>
    </row>
    <row r="230" spans="1:23" ht="15.75" hidden="1" customHeight="1" x14ac:dyDescent="0.2">
      <c r="A230" s="63" t="s">
        <v>1756</v>
      </c>
      <c r="B230" s="63" t="s">
        <v>1757</v>
      </c>
      <c r="C230" s="63"/>
      <c r="E230" s="21" t="s">
        <v>2285</v>
      </c>
      <c r="F230" s="63" t="s">
        <v>2177</v>
      </c>
      <c r="G230" s="63" t="s">
        <v>2324</v>
      </c>
      <c r="H230" s="63" t="s">
        <v>1758</v>
      </c>
      <c r="I230" s="63" t="s">
        <v>1740</v>
      </c>
      <c r="J230" s="65">
        <v>9600</v>
      </c>
      <c r="K230" s="65">
        <v>11200</v>
      </c>
      <c r="L230" s="26">
        <f t="shared" si="12"/>
        <v>20800</v>
      </c>
      <c r="M230" s="26">
        <f t="array" ref="M230">MEDIAN(IF($F$3:$F$810=F230,$L$3:$L$810))</f>
        <v>20800</v>
      </c>
      <c r="N230" s="65">
        <v>20800</v>
      </c>
      <c r="O230" s="62">
        <v>0</v>
      </c>
      <c r="P230" s="76">
        <f>IF(N230&lt;INDEX(Sectorwise!E:E,MATCH(F230,Sectorwise!A:A,0)),1,0)</f>
        <v>0</v>
      </c>
      <c r="Q230" s="76">
        <f>IF(AND(N230&gt;=INDEX(Sectorwise!E:E,MATCH(F230,Sectorwise!A:A,0)),N230&lt;=INDEX(Sectorwise!F:F,MATCH(F230,Sectorwise!A:A,0))),1,0)</f>
        <v>1</v>
      </c>
      <c r="R230" s="76">
        <f>IF(N230&gt;INDEX(Sectorwise!F:F,MATCH(F230,Sectorwise!A:A,0)),1,0)</f>
        <v>0</v>
      </c>
      <c r="S230" s="27">
        <f t="shared" si="13"/>
        <v>0</v>
      </c>
      <c r="T230" s="27">
        <f t="shared" si="14"/>
        <v>20800</v>
      </c>
      <c r="U230" s="27">
        <f t="shared" si="15"/>
        <v>0</v>
      </c>
      <c r="V230" s="95">
        <f>IF(R230=1,(N230-INDEX(Sectorwise!F:F,MATCH(F230,Sectorwise!A:A,0))),0)</f>
        <v>0</v>
      </c>
      <c r="W230" s="97">
        <f>POISSON(N230,INDEX(Sectorwise!D:D,MATCH(Travel!F665,Sectorwise!A:A,0)),TRUE)</f>
        <v>1</v>
      </c>
    </row>
    <row r="231" spans="1:23" ht="15.75" hidden="1" customHeight="1" x14ac:dyDescent="0.2">
      <c r="A231" s="56" t="s">
        <v>826</v>
      </c>
      <c r="B231" s="56" t="s">
        <v>827</v>
      </c>
      <c r="C231" s="56"/>
      <c r="E231" s="21" t="s">
        <v>2285</v>
      </c>
      <c r="F231" s="21" t="s">
        <v>2192</v>
      </c>
      <c r="G231" s="56" t="s">
        <v>2309</v>
      </c>
      <c r="H231" s="56" t="s">
        <v>828</v>
      </c>
      <c r="I231" s="56" t="s">
        <v>806</v>
      </c>
      <c r="J231" s="57">
        <v>1763</v>
      </c>
      <c r="K231" s="57">
        <v>1423</v>
      </c>
      <c r="L231" s="26">
        <f t="shared" si="12"/>
        <v>3186</v>
      </c>
      <c r="M231" s="26">
        <f t="array" ref="M231">MEDIAN(IF($F$3:$F$810=F231,$L$3:$L$810))</f>
        <v>3186</v>
      </c>
      <c r="N231" s="57">
        <v>3186</v>
      </c>
      <c r="O231" s="58">
        <v>0</v>
      </c>
      <c r="P231" s="76">
        <f>IF(N231&lt;INDEX(Sectorwise!E:E,MATCH(F231,Sectorwise!A:A,0)),1,0)</f>
        <v>0</v>
      </c>
      <c r="Q231" s="76">
        <f>IF(AND(N231&gt;=INDEX(Sectorwise!E:E,MATCH(F231,Sectorwise!A:A,0)),N231&lt;=INDEX(Sectorwise!F:F,MATCH(F231,Sectorwise!A:A,0))),1,0)</f>
        <v>1</v>
      </c>
      <c r="R231" s="76">
        <f>IF(N231&gt;INDEX(Sectorwise!F:F,MATCH(F231,Sectorwise!A:A,0)),1,0)</f>
        <v>0</v>
      </c>
      <c r="S231" s="27">
        <f t="shared" si="13"/>
        <v>0</v>
      </c>
      <c r="T231" s="27">
        <f t="shared" si="14"/>
        <v>3186</v>
      </c>
      <c r="U231" s="27">
        <f t="shared" si="15"/>
        <v>0</v>
      </c>
      <c r="V231" s="95">
        <f>IF(R231=1,(N231-INDEX(Sectorwise!F:F,MATCH(F231,Sectorwise!A:A,0))),0)</f>
        <v>0</v>
      </c>
      <c r="W231" s="97">
        <f>POISSON(N231,INDEX(Sectorwise!D:D,MATCH(Travel!F312,Sectorwise!A:A,0)),TRUE)</f>
        <v>0</v>
      </c>
    </row>
    <row r="232" spans="1:23" ht="15.75" hidden="1" customHeight="1" x14ac:dyDescent="0.2">
      <c r="A232" s="56" t="s">
        <v>831</v>
      </c>
      <c r="B232" s="56" t="s">
        <v>832</v>
      </c>
      <c r="C232" s="56"/>
      <c r="E232" s="21" t="s">
        <v>2285</v>
      </c>
      <c r="F232" s="21" t="s">
        <v>2192</v>
      </c>
      <c r="G232" s="63" t="s">
        <v>2312</v>
      </c>
      <c r="H232" s="56" t="s">
        <v>833</v>
      </c>
      <c r="I232" s="56" t="s">
        <v>811</v>
      </c>
      <c r="J232" s="57">
        <v>540</v>
      </c>
      <c r="K232" s="57">
        <v>2143</v>
      </c>
      <c r="L232" s="26">
        <f t="shared" si="12"/>
        <v>2683</v>
      </c>
      <c r="M232" s="26">
        <f t="array" ref="M232">MEDIAN(IF($F$3:$F$810=F232,$L$3:$L$810))</f>
        <v>3186</v>
      </c>
      <c r="N232" s="57">
        <v>2683</v>
      </c>
      <c r="O232" s="58">
        <v>0</v>
      </c>
      <c r="P232" s="76">
        <f>IF(N232&lt;INDEX(Sectorwise!E:E,MATCH(F232,Sectorwise!A:A,0)),1,0)</f>
        <v>1</v>
      </c>
      <c r="Q232" s="76">
        <f>IF(AND(N232&gt;=INDEX(Sectorwise!E:E,MATCH(F232,Sectorwise!A:A,0)),N232&lt;=INDEX(Sectorwise!F:F,MATCH(F232,Sectorwise!A:A,0))),1,0)</f>
        <v>0</v>
      </c>
      <c r="R232" s="76">
        <f>IF(N232&gt;INDEX(Sectorwise!F:F,MATCH(F232,Sectorwise!A:A,0)),1,0)</f>
        <v>0</v>
      </c>
      <c r="S232" s="27">
        <f t="shared" si="13"/>
        <v>2683</v>
      </c>
      <c r="T232" s="27">
        <f t="shared" si="14"/>
        <v>0</v>
      </c>
      <c r="U232" s="27">
        <f t="shared" si="15"/>
        <v>0</v>
      </c>
      <c r="V232" s="95">
        <f>IF(R232=1,(N232-INDEX(Sectorwise!F:F,MATCH(F232,Sectorwise!A:A,0))),0)</f>
        <v>0</v>
      </c>
      <c r="W232" s="97">
        <f>POISSON(N232,INDEX(Sectorwise!D:D,MATCH(Travel!F314,Sectorwise!A:A,0)),TRUE)</f>
        <v>0</v>
      </c>
    </row>
    <row r="233" spans="1:23" ht="15.75" hidden="1" customHeight="1" x14ac:dyDescent="0.2">
      <c r="A233" s="53" t="s">
        <v>556</v>
      </c>
      <c r="B233" s="54" t="s">
        <v>557</v>
      </c>
      <c r="C233" s="22"/>
      <c r="D233" s="32"/>
      <c r="E233" s="21" t="s">
        <v>2285</v>
      </c>
      <c r="F233" s="21" t="s">
        <v>2135</v>
      </c>
      <c r="G233" s="33" t="s">
        <v>2321</v>
      </c>
      <c r="H233" s="21" t="s">
        <v>558</v>
      </c>
      <c r="I233" s="21" t="s">
        <v>556</v>
      </c>
      <c r="J233" s="25">
        <v>4703</v>
      </c>
      <c r="K233" s="25">
        <v>3698</v>
      </c>
      <c r="L233" s="26">
        <f t="shared" si="12"/>
        <v>8401</v>
      </c>
      <c r="M233" s="26">
        <f t="array" ref="M233">MEDIAN(IF($F$3:$F$810=F233,$L$3:$L$810))</f>
        <v>7234</v>
      </c>
      <c r="N233" s="47">
        <v>8401</v>
      </c>
      <c r="O233" s="27"/>
      <c r="P233" s="76">
        <f>IF(N233&lt;INDEX(Sectorwise!E:E,MATCH(F233,Sectorwise!A:A,0)),1,0)</f>
        <v>0</v>
      </c>
      <c r="Q233" s="76">
        <f>IF(AND(N233&gt;=INDEX(Sectorwise!E:E,MATCH(F233,Sectorwise!A:A,0)),N233&lt;=INDEX(Sectorwise!F:F,MATCH(F233,Sectorwise!A:A,0))),1,0)</f>
        <v>0</v>
      </c>
      <c r="R233" s="76">
        <f>IF(N233&gt;INDEX(Sectorwise!F:F,MATCH(F233,Sectorwise!A:A,0)),1,0)</f>
        <v>1</v>
      </c>
      <c r="S233" s="27">
        <f t="shared" si="13"/>
        <v>0</v>
      </c>
      <c r="T233" s="27">
        <f t="shared" si="14"/>
        <v>0</v>
      </c>
      <c r="U233" s="27">
        <f t="shared" si="15"/>
        <v>8401</v>
      </c>
      <c r="V233" s="95">
        <f>IF(R233=1,(N233-INDEX(Sectorwise!F:F,MATCH(F233,Sectorwise!A:A,0))),0)</f>
        <v>401</v>
      </c>
      <c r="W233" s="97">
        <f>POISSON(N233,INDEX(Sectorwise!D:D,MATCH(Travel!F209,Sectorwise!A:A,0)),TRUE)</f>
        <v>8.0251086513131451E-13</v>
      </c>
    </row>
    <row r="234" spans="1:23" ht="15.75" hidden="1" customHeight="1" x14ac:dyDescent="0.2">
      <c r="A234" s="21" t="s">
        <v>630</v>
      </c>
      <c r="B234" s="21" t="s">
        <v>638</v>
      </c>
      <c r="C234" s="52" t="s">
        <v>640</v>
      </c>
      <c r="E234" s="21" t="s">
        <v>2285</v>
      </c>
      <c r="F234" s="21" t="s">
        <v>2135</v>
      </c>
      <c r="G234" s="63" t="s">
        <v>2312</v>
      </c>
      <c r="H234" s="21" t="s">
        <v>641</v>
      </c>
      <c r="I234" s="21" t="s">
        <v>604</v>
      </c>
      <c r="J234" s="25">
        <v>582</v>
      </c>
      <c r="K234" s="25">
        <v>2460</v>
      </c>
      <c r="L234" s="26">
        <f t="shared" si="12"/>
        <v>3042</v>
      </c>
      <c r="M234" s="26">
        <f t="array" ref="M234">MEDIAN(IF($F$3:$F$810=F234,$L$3:$L$810))</f>
        <v>7234</v>
      </c>
      <c r="N234" s="47">
        <v>3042</v>
      </c>
      <c r="O234" s="55">
        <v>1285</v>
      </c>
      <c r="P234" s="76">
        <f>IF(N234&lt;INDEX(Sectorwise!E:E,MATCH(F234,Sectorwise!A:A,0)),1,0)</f>
        <v>1</v>
      </c>
      <c r="Q234" s="76">
        <f>IF(AND(N234&gt;=INDEX(Sectorwise!E:E,MATCH(F234,Sectorwise!A:A,0)),N234&lt;=INDEX(Sectorwise!F:F,MATCH(F234,Sectorwise!A:A,0))),1,0)</f>
        <v>0</v>
      </c>
      <c r="R234" s="76">
        <f>IF(N234&gt;INDEX(Sectorwise!F:F,MATCH(F234,Sectorwise!A:A,0)),1,0)</f>
        <v>0</v>
      </c>
      <c r="S234" s="27">
        <f t="shared" si="13"/>
        <v>3042</v>
      </c>
      <c r="T234" s="27">
        <f t="shared" si="14"/>
        <v>0</v>
      </c>
      <c r="U234" s="27">
        <f t="shared" si="15"/>
        <v>0</v>
      </c>
      <c r="V234" s="95">
        <f>IF(R234=1,(N234-INDEX(Sectorwise!F:F,MATCH(F234,Sectorwise!A:A,0))),0)</f>
        <v>0</v>
      </c>
      <c r="W234" s="97">
        <f>POISSON(N234,INDEX(Sectorwise!D:D,MATCH(Travel!F240,Sectorwise!A:A,0)),TRUE)</f>
        <v>0</v>
      </c>
    </row>
    <row r="235" spans="1:23" ht="15.75" hidden="1" customHeight="1" x14ac:dyDescent="0.2">
      <c r="A235" s="21" t="s">
        <v>652</v>
      </c>
      <c r="B235" s="21" t="s">
        <v>655</v>
      </c>
      <c r="C235" s="22"/>
      <c r="E235" s="21" t="s">
        <v>2285</v>
      </c>
      <c r="F235" s="21" t="s">
        <v>2135</v>
      </c>
      <c r="G235" s="60" t="s">
        <v>2316</v>
      </c>
      <c r="H235" s="21" t="s">
        <v>656</v>
      </c>
      <c r="I235" s="21" t="s">
        <v>604</v>
      </c>
      <c r="J235" s="25">
        <v>533</v>
      </c>
      <c r="K235" s="25">
        <v>2540</v>
      </c>
      <c r="L235" s="26">
        <f t="shared" si="12"/>
        <v>3073</v>
      </c>
      <c r="M235" s="26">
        <f t="array" ref="M235">MEDIAN(IF($F$3:$F$810=F235,$L$3:$L$810))</f>
        <v>7234</v>
      </c>
      <c r="N235" s="47">
        <v>3073</v>
      </c>
      <c r="O235" s="55"/>
      <c r="P235" s="76">
        <f>IF(N235&lt;INDEX(Sectorwise!E:E,MATCH(F235,Sectorwise!A:A,0)),1,0)</f>
        <v>1</v>
      </c>
      <c r="Q235" s="76">
        <f>IF(AND(N235&gt;=INDEX(Sectorwise!E:E,MATCH(F235,Sectorwise!A:A,0)),N235&lt;=INDEX(Sectorwise!F:F,MATCH(F235,Sectorwise!A:A,0))),1,0)</f>
        <v>0</v>
      </c>
      <c r="R235" s="76">
        <f>IF(N235&gt;INDEX(Sectorwise!F:F,MATCH(F235,Sectorwise!A:A,0)),1,0)</f>
        <v>0</v>
      </c>
      <c r="S235" s="27">
        <f t="shared" si="13"/>
        <v>3073</v>
      </c>
      <c r="T235" s="27">
        <f t="shared" si="14"/>
        <v>0</v>
      </c>
      <c r="U235" s="27">
        <f t="shared" si="15"/>
        <v>0</v>
      </c>
      <c r="V235" s="95">
        <f>IF(R235=1,(N235-INDEX(Sectorwise!F:F,MATCH(F235,Sectorwise!A:A,0))),0)</f>
        <v>0</v>
      </c>
      <c r="W235" s="97">
        <f>POISSON(N235,INDEX(Sectorwise!D:D,MATCH(Travel!F248,Sectorwise!A:A,0)),TRUE)</f>
        <v>0</v>
      </c>
    </row>
    <row r="236" spans="1:23" ht="15.75" hidden="1" customHeight="1" x14ac:dyDescent="0.2">
      <c r="A236" s="21" t="s">
        <v>691</v>
      </c>
      <c r="B236" s="24" t="s">
        <v>694</v>
      </c>
      <c r="C236" s="22"/>
      <c r="D236" s="32"/>
      <c r="E236" s="21" t="s">
        <v>2285</v>
      </c>
      <c r="F236" s="21" t="s">
        <v>2135</v>
      </c>
      <c r="G236" s="69" t="s">
        <v>2308</v>
      </c>
      <c r="H236" s="21" t="s">
        <v>695</v>
      </c>
      <c r="I236" s="21" t="s">
        <v>675</v>
      </c>
      <c r="J236" s="25">
        <v>738</v>
      </c>
      <c r="K236" s="25">
        <v>2572</v>
      </c>
      <c r="L236" s="26">
        <f t="shared" si="12"/>
        <v>3310</v>
      </c>
      <c r="M236" s="26">
        <f t="array" ref="M236">MEDIAN(IF($F$3:$F$810=F236,$L$3:$L$810))</f>
        <v>7234</v>
      </c>
      <c r="N236" s="47">
        <v>3310</v>
      </c>
      <c r="O236" s="55"/>
      <c r="P236" s="76">
        <f>IF(N236&lt;INDEX(Sectorwise!E:E,MATCH(F236,Sectorwise!A:A,0)),1,0)</f>
        <v>1</v>
      </c>
      <c r="Q236" s="76">
        <f>IF(AND(N236&gt;=INDEX(Sectorwise!E:E,MATCH(F236,Sectorwise!A:A,0)),N236&lt;=INDEX(Sectorwise!F:F,MATCH(F236,Sectorwise!A:A,0))),1,0)</f>
        <v>0</v>
      </c>
      <c r="R236" s="76">
        <f>IF(N236&gt;INDEX(Sectorwise!F:F,MATCH(F236,Sectorwise!A:A,0)),1,0)</f>
        <v>0</v>
      </c>
      <c r="S236" s="27">
        <f t="shared" si="13"/>
        <v>3310</v>
      </c>
      <c r="T236" s="27">
        <f t="shared" si="14"/>
        <v>0</v>
      </c>
      <c r="U236" s="27">
        <f t="shared" si="15"/>
        <v>0</v>
      </c>
      <c r="V236" s="95">
        <f>IF(R236=1,(N236-INDEX(Sectorwise!F:F,MATCH(F236,Sectorwise!A:A,0))),0)</f>
        <v>0</v>
      </c>
      <c r="W236" s="97">
        <f>POISSON(N236,INDEX(Sectorwise!D:D,MATCH(Travel!F263,Sectorwise!A:A,0)),TRUE)</f>
        <v>0</v>
      </c>
    </row>
    <row r="237" spans="1:23" ht="15.75" hidden="1" customHeight="1" x14ac:dyDescent="0.2">
      <c r="A237" s="21" t="s">
        <v>755</v>
      </c>
      <c r="B237" s="24" t="s">
        <v>764</v>
      </c>
      <c r="C237" s="22"/>
      <c r="D237" s="32"/>
      <c r="E237" s="21" t="s">
        <v>2285</v>
      </c>
      <c r="F237" s="21" t="s">
        <v>2135</v>
      </c>
      <c r="G237" s="56" t="s">
        <v>2309</v>
      </c>
      <c r="H237" s="21" t="s">
        <v>765</v>
      </c>
      <c r="I237" s="21" t="s">
        <v>758</v>
      </c>
      <c r="J237" s="25">
        <v>1382</v>
      </c>
      <c r="K237" s="25">
        <v>1716</v>
      </c>
      <c r="L237" s="26">
        <f t="shared" si="12"/>
        <v>3098</v>
      </c>
      <c r="M237" s="26">
        <f t="array" ref="M237">MEDIAN(IF($F$3:$F$810=F237,$L$3:$L$810))</f>
        <v>7234</v>
      </c>
      <c r="N237" s="47">
        <v>3098</v>
      </c>
      <c r="O237" s="55"/>
      <c r="P237" s="76">
        <f>IF(N237&lt;INDEX(Sectorwise!E:E,MATCH(F237,Sectorwise!A:A,0)),1,0)</f>
        <v>1</v>
      </c>
      <c r="Q237" s="76">
        <f>IF(AND(N237&gt;=INDEX(Sectorwise!E:E,MATCH(F237,Sectorwise!A:A,0)),N237&lt;=INDEX(Sectorwise!F:F,MATCH(F237,Sectorwise!A:A,0))),1,0)</f>
        <v>0</v>
      </c>
      <c r="R237" s="76">
        <f>IF(N237&gt;INDEX(Sectorwise!F:F,MATCH(F237,Sectorwise!A:A,0)),1,0)</f>
        <v>0</v>
      </c>
      <c r="S237" s="27">
        <f t="shared" si="13"/>
        <v>3098</v>
      </c>
      <c r="T237" s="27">
        <f t="shared" si="14"/>
        <v>0</v>
      </c>
      <c r="U237" s="27">
        <f t="shared" si="15"/>
        <v>0</v>
      </c>
      <c r="V237" s="95">
        <f>IF(R237=1,(N237-INDEX(Sectorwise!F:F,MATCH(F237,Sectorwise!A:A,0))),0)</f>
        <v>0</v>
      </c>
      <c r="W237" s="97">
        <f>POISSON(N237,INDEX(Sectorwise!D:D,MATCH(Travel!F289,Sectorwise!A:A,0)),TRUE)</f>
        <v>0</v>
      </c>
    </row>
    <row r="238" spans="1:23" ht="15.75" hidden="1" customHeight="1" x14ac:dyDescent="0.2">
      <c r="A238" s="56" t="s">
        <v>794</v>
      </c>
      <c r="B238" s="56" t="s">
        <v>795</v>
      </c>
      <c r="E238" s="21" t="s">
        <v>2285</v>
      </c>
      <c r="F238" s="21" t="s">
        <v>2135</v>
      </c>
      <c r="G238" s="56" t="s">
        <v>2309</v>
      </c>
      <c r="H238" s="56" t="s">
        <v>796</v>
      </c>
      <c r="I238" s="56" t="s">
        <v>773</v>
      </c>
      <c r="J238" s="57">
        <v>4360</v>
      </c>
      <c r="K238" s="57">
        <v>1883</v>
      </c>
      <c r="L238" s="26">
        <f t="shared" si="12"/>
        <v>6243</v>
      </c>
      <c r="M238" s="26">
        <f t="array" ref="M238">MEDIAN(IF($F$3:$F$810=F238,$L$3:$L$810))</f>
        <v>7234</v>
      </c>
      <c r="N238" s="57">
        <v>6243</v>
      </c>
      <c r="O238" s="58">
        <v>0</v>
      </c>
      <c r="P238" s="76">
        <f>IF(N238&lt;INDEX(Sectorwise!E:E,MATCH(F238,Sectorwise!A:A,0)),1,0)</f>
        <v>1</v>
      </c>
      <c r="Q238" s="76">
        <f>IF(AND(N238&gt;=INDEX(Sectorwise!E:E,MATCH(F238,Sectorwise!A:A,0)),N238&lt;=INDEX(Sectorwise!F:F,MATCH(F238,Sectorwise!A:A,0))),1,0)</f>
        <v>0</v>
      </c>
      <c r="R238" s="76">
        <f>IF(N238&gt;INDEX(Sectorwise!F:F,MATCH(F238,Sectorwise!A:A,0)),1,0)</f>
        <v>0</v>
      </c>
      <c r="S238" s="27">
        <f t="shared" si="13"/>
        <v>6243</v>
      </c>
      <c r="T238" s="27">
        <f t="shared" si="14"/>
        <v>0</v>
      </c>
      <c r="U238" s="27">
        <f t="shared" si="15"/>
        <v>0</v>
      </c>
      <c r="V238" s="95">
        <f>IF(R238=1,(N238-INDEX(Sectorwise!F:F,MATCH(F238,Sectorwise!A:A,0))),0)</f>
        <v>0</v>
      </c>
      <c r="W238" s="97">
        <f>POISSON(N238,INDEX(Sectorwise!D:D,MATCH(Travel!F299,Sectorwise!A:A,0)),TRUE)</f>
        <v>0</v>
      </c>
    </row>
    <row r="239" spans="1:23" ht="15.75" hidden="1" customHeight="1" x14ac:dyDescent="0.2">
      <c r="A239" s="63" t="s">
        <v>1134</v>
      </c>
      <c r="B239" s="63" t="s">
        <v>1135</v>
      </c>
      <c r="C239" s="63"/>
      <c r="E239" s="21" t="s">
        <v>2285</v>
      </c>
      <c r="F239" s="21" t="s">
        <v>2135</v>
      </c>
      <c r="G239" s="63" t="s">
        <v>2312</v>
      </c>
      <c r="H239" s="63" t="s">
        <v>1136</v>
      </c>
      <c r="I239" s="63" t="s">
        <v>1104</v>
      </c>
      <c r="J239" s="65">
        <v>5020</v>
      </c>
      <c r="K239" s="65">
        <v>3231</v>
      </c>
      <c r="L239" s="26">
        <f t="shared" si="12"/>
        <v>8251</v>
      </c>
      <c r="M239" s="26">
        <f t="array" ref="M239">MEDIAN(IF($F$3:$F$810=F239,$L$3:$L$810))</f>
        <v>7234</v>
      </c>
      <c r="N239" s="65">
        <v>8251</v>
      </c>
      <c r="O239" s="62">
        <v>0</v>
      </c>
      <c r="P239" s="76">
        <f>IF(N239&lt;INDEX(Sectorwise!E:E,MATCH(F239,Sectorwise!A:A,0)),1,0)</f>
        <v>0</v>
      </c>
      <c r="Q239" s="76">
        <f>IF(AND(N239&gt;=INDEX(Sectorwise!E:E,MATCH(F239,Sectorwise!A:A,0)),N239&lt;=INDEX(Sectorwise!F:F,MATCH(F239,Sectorwise!A:A,0))),1,0)</f>
        <v>0</v>
      </c>
      <c r="R239" s="76">
        <f>IF(N239&gt;INDEX(Sectorwise!F:F,MATCH(F239,Sectorwise!A:A,0)),1,0)</f>
        <v>1</v>
      </c>
      <c r="S239" s="27">
        <f t="shared" si="13"/>
        <v>0</v>
      </c>
      <c r="T239" s="27">
        <f t="shared" si="14"/>
        <v>0</v>
      </c>
      <c r="U239" s="27">
        <f t="shared" si="15"/>
        <v>8251</v>
      </c>
      <c r="V239" s="95">
        <f>IF(R239=1,(N239-INDEX(Sectorwise!F:F,MATCH(F239,Sectorwise!A:A,0))),0)</f>
        <v>251</v>
      </c>
      <c r="W239" s="97">
        <f>POISSON(N239,INDEX(Sectorwise!D:D,MATCH(Travel!F428,Sectorwise!A:A,0)),TRUE)</f>
        <v>2.2867247262672579E-125</v>
      </c>
    </row>
    <row r="240" spans="1:23" ht="15.75" hidden="1" customHeight="1" x14ac:dyDescent="0.2">
      <c r="A240" s="63" t="s">
        <v>1234</v>
      </c>
      <c r="B240" s="63" t="s">
        <v>1237</v>
      </c>
      <c r="C240" s="63"/>
      <c r="E240" s="21" t="s">
        <v>2285</v>
      </c>
      <c r="F240" s="21" t="s">
        <v>2135</v>
      </c>
      <c r="G240" s="56" t="s">
        <v>2309</v>
      </c>
      <c r="H240" s="63" t="s">
        <v>1238</v>
      </c>
      <c r="I240" s="63" t="s">
        <v>1239</v>
      </c>
      <c r="J240" s="65">
        <v>6100</v>
      </c>
      <c r="K240" s="65">
        <v>1979</v>
      </c>
      <c r="L240" s="26">
        <f t="shared" si="12"/>
        <v>8079</v>
      </c>
      <c r="M240" s="26">
        <f t="array" ref="M240">MEDIAN(IF($F$3:$F$810=F240,$L$3:$L$810))</f>
        <v>7234</v>
      </c>
      <c r="N240" s="65">
        <v>8079</v>
      </c>
      <c r="O240" s="62">
        <v>0</v>
      </c>
      <c r="P240" s="76">
        <f>IF(N240&lt;INDEX(Sectorwise!E:E,MATCH(F240,Sectorwise!A:A,0)),1,0)</f>
        <v>0</v>
      </c>
      <c r="Q240" s="76">
        <f>IF(AND(N240&gt;=INDEX(Sectorwise!E:E,MATCH(F240,Sectorwise!A:A,0)),N240&lt;=INDEX(Sectorwise!F:F,MATCH(F240,Sectorwise!A:A,0))),1,0)</f>
        <v>0</v>
      </c>
      <c r="R240" s="76">
        <f>IF(N240&gt;INDEX(Sectorwise!F:F,MATCH(F240,Sectorwise!A:A,0)),1,0)</f>
        <v>1</v>
      </c>
      <c r="S240" s="27">
        <f t="shared" si="13"/>
        <v>0</v>
      </c>
      <c r="T240" s="27">
        <f t="shared" si="14"/>
        <v>0</v>
      </c>
      <c r="U240" s="27">
        <f t="shared" si="15"/>
        <v>8079</v>
      </c>
      <c r="V240" s="95">
        <f>IF(R240=1,(N240-INDEX(Sectorwise!F:F,MATCH(F240,Sectorwise!A:A,0))),0)</f>
        <v>79</v>
      </c>
      <c r="W240" s="97">
        <f>POISSON(N240,INDEX(Sectorwise!D:D,MATCH(Travel!F466,Sectorwise!A:A,0)),TRUE)</f>
        <v>1</v>
      </c>
    </row>
    <row r="241" spans="1:24" ht="15.75" hidden="1" customHeight="1" x14ac:dyDescent="0.2">
      <c r="A241" s="60" t="s">
        <v>1322</v>
      </c>
      <c r="B241" s="60" t="s">
        <v>1331</v>
      </c>
      <c r="C241" s="60" t="s">
        <v>1332</v>
      </c>
      <c r="E241" s="21" t="s">
        <v>2285</v>
      </c>
      <c r="F241" s="21" t="s">
        <v>2135</v>
      </c>
      <c r="G241" s="63" t="s">
        <v>2312</v>
      </c>
      <c r="H241" s="60" t="s">
        <v>1333</v>
      </c>
      <c r="I241" s="60" t="s">
        <v>1310</v>
      </c>
      <c r="J241" s="61">
        <v>4620</v>
      </c>
      <c r="K241" s="61">
        <v>3208</v>
      </c>
      <c r="L241" s="26">
        <f t="shared" si="12"/>
        <v>7828</v>
      </c>
      <c r="M241" s="26">
        <f t="array" ref="M241">MEDIAN(IF($F$3:$F$810=F241,$L$3:$L$810))</f>
        <v>7234</v>
      </c>
      <c r="N241" s="61">
        <v>7828</v>
      </c>
      <c r="O241" s="62">
        <v>6128</v>
      </c>
      <c r="P241" s="76">
        <f>IF(N241&lt;INDEX(Sectorwise!E:E,MATCH(F241,Sectorwise!A:A,0)),1,0)</f>
        <v>0</v>
      </c>
      <c r="Q241" s="76">
        <f>IF(AND(N241&gt;=INDEX(Sectorwise!E:E,MATCH(F241,Sectorwise!A:A,0)),N241&lt;=INDEX(Sectorwise!F:F,MATCH(F241,Sectorwise!A:A,0))),1,0)</f>
        <v>1</v>
      </c>
      <c r="R241" s="76">
        <f>IF(N241&gt;INDEX(Sectorwise!F:F,MATCH(F241,Sectorwise!A:A,0)),1,0)</f>
        <v>0</v>
      </c>
      <c r="S241" s="27">
        <f t="shared" si="13"/>
        <v>0</v>
      </c>
      <c r="T241" s="27">
        <f t="shared" si="14"/>
        <v>7828</v>
      </c>
      <c r="U241" s="27">
        <f t="shared" si="15"/>
        <v>0</v>
      </c>
      <c r="V241" s="95">
        <f>IF(R241=1,(N241-INDEX(Sectorwise!F:F,MATCH(F241,Sectorwise!A:A,0))),0)</f>
        <v>0</v>
      </c>
      <c r="W241" s="97">
        <f>POISSON(N241,INDEX(Sectorwise!D:D,MATCH(Travel!F498,Sectorwise!A:A,0)),TRUE)</f>
        <v>1</v>
      </c>
    </row>
    <row r="242" spans="1:24" ht="15.75" hidden="1" customHeight="1" x14ac:dyDescent="0.2">
      <c r="A242" s="60" t="s">
        <v>1347</v>
      </c>
      <c r="B242" s="60" t="s">
        <v>1363</v>
      </c>
      <c r="C242" s="60"/>
      <c r="E242" s="21" t="s">
        <v>2285</v>
      </c>
      <c r="F242" s="21" t="s">
        <v>2135</v>
      </c>
      <c r="G242" s="69" t="s">
        <v>2308</v>
      </c>
      <c r="H242" s="60" t="s">
        <v>1364</v>
      </c>
      <c r="I242" s="60" t="s">
        <v>1358</v>
      </c>
      <c r="J242" s="61">
        <v>6306</v>
      </c>
      <c r="K242" s="61">
        <v>1045</v>
      </c>
      <c r="L242" s="26">
        <f t="shared" si="12"/>
        <v>7351</v>
      </c>
      <c r="M242" s="26">
        <f t="array" ref="M242">MEDIAN(IF($F$3:$F$810=F242,$L$3:$L$810))</f>
        <v>7234</v>
      </c>
      <c r="N242" s="61">
        <v>7351</v>
      </c>
      <c r="O242" s="62">
        <v>0</v>
      </c>
      <c r="P242" s="76">
        <f>IF(N242&lt;INDEX(Sectorwise!E:E,MATCH(F242,Sectorwise!A:A,0)),1,0)</f>
        <v>0</v>
      </c>
      <c r="Q242" s="76">
        <f>IF(AND(N242&gt;=INDEX(Sectorwise!E:E,MATCH(F242,Sectorwise!A:A,0)),N242&lt;=INDEX(Sectorwise!F:F,MATCH(F242,Sectorwise!A:A,0))),1,0)</f>
        <v>1</v>
      </c>
      <c r="R242" s="76">
        <f>IF(N242&gt;INDEX(Sectorwise!F:F,MATCH(F242,Sectorwise!A:A,0)),1,0)</f>
        <v>0</v>
      </c>
      <c r="S242" s="27">
        <f t="shared" si="13"/>
        <v>0</v>
      </c>
      <c r="T242" s="27">
        <f t="shared" si="14"/>
        <v>7351</v>
      </c>
      <c r="U242" s="27">
        <f t="shared" si="15"/>
        <v>0</v>
      </c>
      <c r="V242" s="95">
        <f>IF(R242=1,(N242-INDEX(Sectorwise!F:F,MATCH(F242,Sectorwise!A:A,0))),0)</f>
        <v>0</v>
      </c>
      <c r="W242" s="97">
        <f>POISSON(N242,INDEX(Sectorwise!D:D,MATCH(Travel!F510,Sectorwise!A:A,0)),TRUE)</f>
        <v>0.23961267638003594</v>
      </c>
    </row>
    <row r="243" spans="1:24" ht="15.75" hidden="1" customHeight="1" x14ac:dyDescent="0.2">
      <c r="A243" s="63" t="s">
        <v>1407</v>
      </c>
      <c r="B243" s="63" t="s">
        <v>1408</v>
      </c>
      <c r="C243" s="63"/>
      <c r="E243" s="21" t="s">
        <v>2285</v>
      </c>
      <c r="F243" s="21" t="s">
        <v>2135</v>
      </c>
      <c r="G243" s="56" t="s">
        <v>2309</v>
      </c>
      <c r="H243" s="63" t="s">
        <v>1410</v>
      </c>
      <c r="I243" s="63" t="s">
        <v>1386</v>
      </c>
      <c r="J243" s="65">
        <v>6340</v>
      </c>
      <c r="K243" s="65">
        <v>1992</v>
      </c>
      <c r="L243" s="26">
        <f t="shared" si="12"/>
        <v>8332</v>
      </c>
      <c r="M243" s="26">
        <f t="array" ref="M243">MEDIAN(IF($F$3:$F$810=F243,$L$3:$L$810))</f>
        <v>7234</v>
      </c>
      <c r="N243" s="57">
        <f>J243+K243</f>
        <v>8332</v>
      </c>
      <c r="O243" s="62">
        <v>0</v>
      </c>
      <c r="P243" s="76">
        <f>IF(N243&lt;INDEX(Sectorwise!E:E,MATCH(F243,Sectorwise!A:A,0)),1,0)</f>
        <v>0</v>
      </c>
      <c r="Q243" s="76">
        <f>IF(AND(N243&gt;=INDEX(Sectorwise!E:E,MATCH(F243,Sectorwise!A:A,0)),N243&lt;=INDEX(Sectorwise!F:F,MATCH(F243,Sectorwise!A:A,0))),1,0)</f>
        <v>0</v>
      </c>
      <c r="R243" s="76">
        <f>IF(N243&gt;INDEX(Sectorwise!F:F,MATCH(F243,Sectorwise!A:A,0)),1,0)</f>
        <v>1</v>
      </c>
      <c r="S243" s="27">
        <f t="shared" si="13"/>
        <v>0</v>
      </c>
      <c r="T243" s="27">
        <f t="shared" si="14"/>
        <v>0</v>
      </c>
      <c r="U243" s="27">
        <f t="shared" si="15"/>
        <v>8332</v>
      </c>
      <c r="V243" s="95">
        <f>IF(R243=1,(N243-INDEX(Sectorwise!F:F,MATCH(F243,Sectorwise!A:A,0))),0)</f>
        <v>332</v>
      </c>
      <c r="W243" s="97">
        <f>POISSON(N243,INDEX(Sectorwise!D:D,MATCH(Travel!F528,Sectorwise!A:A,0)),TRUE)</f>
        <v>1</v>
      </c>
    </row>
    <row r="244" spans="1:24" ht="15.75" hidden="1" customHeight="1" x14ac:dyDescent="0.2">
      <c r="A244" s="63" t="s">
        <v>1427</v>
      </c>
      <c r="B244" s="63" t="s">
        <v>1428</v>
      </c>
      <c r="C244" s="63"/>
      <c r="E244" s="21" t="s">
        <v>2285</v>
      </c>
      <c r="F244" s="21" t="s">
        <v>2135</v>
      </c>
      <c r="G244" s="56" t="s">
        <v>2309</v>
      </c>
      <c r="H244" s="63" t="s">
        <v>1430</v>
      </c>
      <c r="I244" s="63" t="s">
        <v>1417</v>
      </c>
      <c r="J244" s="65">
        <v>6100</v>
      </c>
      <c r="K244" s="65">
        <v>1979</v>
      </c>
      <c r="L244" s="26">
        <f t="shared" si="12"/>
        <v>8079</v>
      </c>
      <c r="M244" s="26">
        <f t="array" ref="M244">MEDIAN(IF($F$3:$F$810=F244,$L$3:$L$810))</f>
        <v>7234</v>
      </c>
      <c r="N244" s="57">
        <f>J244+K244</f>
        <v>8079</v>
      </c>
      <c r="O244" s="62">
        <v>0</v>
      </c>
      <c r="P244" s="76">
        <f>IF(N244&lt;INDEX(Sectorwise!E:E,MATCH(F244,Sectorwise!A:A,0)),1,0)</f>
        <v>0</v>
      </c>
      <c r="Q244" s="76">
        <f>IF(AND(N244&gt;=INDEX(Sectorwise!E:E,MATCH(F244,Sectorwise!A:A,0)),N244&lt;=INDEX(Sectorwise!F:F,MATCH(F244,Sectorwise!A:A,0))),1,0)</f>
        <v>0</v>
      </c>
      <c r="R244" s="76">
        <f>IF(N244&gt;INDEX(Sectorwise!F:F,MATCH(F244,Sectorwise!A:A,0)),1,0)</f>
        <v>1</v>
      </c>
      <c r="S244" s="27">
        <f t="shared" si="13"/>
        <v>0</v>
      </c>
      <c r="T244" s="27">
        <f t="shared" si="14"/>
        <v>0</v>
      </c>
      <c r="U244" s="27">
        <f t="shared" si="15"/>
        <v>8079</v>
      </c>
      <c r="V244" s="95">
        <f>IF(R244=1,(N244-INDEX(Sectorwise!F:F,MATCH(F244,Sectorwise!A:A,0))),0)</f>
        <v>79</v>
      </c>
      <c r="W244" s="97">
        <f>POISSON(N244,INDEX(Sectorwise!D:D,MATCH(Travel!F536,Sectorwise!A:A,0)),TRUE)</f>
        <v>1</v>
      </c>
    </row>
    <row r="245" spans="1:24" ht="15.75" hidden="1" customHeight="1" x14ac:dyDescent="0.2">
      <c r="A245" s="63" t="s">
        <v>1560</v>
      </c>
      <c r="B245" s="63" t="s">
        <v>1567</v>
      </c>
      <c r="C245" s="63"/>
      <c r="E245" s="21" t="s">
        <v>2285</v>
      </c>
      <c r="F245" s="21" t="s">
        <v>2135</v>
      </c>
      <c r="G245" s="69" t="s">
        <v>2308</v>
      </c>
      <c r="H245" s="63" t="s">
        <v>1568</v>
      </c>
      <c r="I245" s="63" t="s">
        <v>1540</v>
      </c>
      <c r="J245" s="65">
        <v>4450</v>
      </c>
      <c r="K245" s="65">
        <v>3567</v>
      </c>
      <c r="L245" s="26">
        <f t="shared" si="12"/>
        <v>8017</v>
      </c>
      <c r="M245" s="26">
        <f t="array" ref="M245">MEDIAN(IF($F$3:$F$810=F245,$L$3:$L$810))</f>
        <v>7234</v>
      </c>
      <c r="N245" s="65">
        <v>8017</v>
      </c>
      <c r="O245" s="62">
        <v>0</v>
      </c>
      <c r="P245" s="76">
        <f>IF(N245&lt;INDEX(Sectorwise!E:E,MATCH(F245,Sectorwise!A:A,0)),1,0)</f>
        <v>0</v>
      </c>
      <c r="Q245" s="76">
        <f>IF(AND(N245&gt;=INDEX(Sectorwise!E:E,MATCH(F245,Sectorwise!A:A,0)),N245&lt;=INDEX(Sectorwise!F:F,MATCH(F245,Sectorwise!A:A,0))),1,0)</f>
        <v>0</v>
      </c>
      <c r="R245" s="76">
        <f>IF(N245&gt;INDEX(Sectorwise!F:F,MATCH(F245,Sectorwise!A:A,0)),1,0)</f>
        <v>1</v>
      </c>
      <c r="S245" s="27">
        <f t="shared" si="13"/>
        <v>0</v>
      </c>
      <c r="T245" s="27">
        <f t="shared" si="14"/>
        <v>0</v>
      </c>
      <c r="U245" s="27">
        <f t="shared" si="15"/>
        <v>8017</v>
      </c>
      <c r="V245" s="95">
        <f>IF(R245=1,(N245-INDEX(Sectorwise!F:F,MATCH(F245,Sectorwise!A:A,0))),0)</f>
        <v>17</v>
      </c>
      <c r="W245" s="97">
        <f>POISSON(N245,INDEX(Sectorwise!D:D,MATCH(Travel!F594,Sectorwise!A:A,0)),TRUE)</f>
        <v>0.99999999999799005</v>
      </c>
    </row>
    <row r="246" spans="1:24" ht="15.75" hidden="1" customHeight="1" x14ac:dyDescent="0.2">
      <c r="A246" s="63" t="s">
        <v>1600</v>
      </c>
      <c r="B246" s="63" t="s">
        <v>1607</v>
      </c>
      <c r="C246" s="63"/>
      <c r="E246" s="21" t="s">
        <v>2285</v>
      </c>
      <c r="F246" s="21" t="s">
        <v>2135</v>
      </c>
      <c r="G246" s="63" t="s">
        <v>2312</v>
      </c>
      <c r="H246" s="63" t="s">
        <v>1610</v>
      </c>
      <c r="I246" s="63" t="s">
        <v>1598</v>
      </c>
      <c r="J246" s="65">
        <v>5020</v>
      </c>
      <c r="K246" s="65">
        <v>3231</v>
      </c>
      <c r="L246" s="26">
        <f t="shared" si="12"/>
        <v>8251</v>
      </c>
      <c r="M246" s="26">
        <f t="array" ref="M246">MEDIAN(IF($F$3:$F$810=F246,$L$3:$L$810))</f>
        <v>7234</v>
      </c>
      <c r="N246" s="57">
        <f>J246+K246</f>
        <v>8251</v>
      </c>
      <c r="O246" s="62">
        <v>0</v>
      </c>
      <c r="P246" s="76">
        <f>IF(N246&lt;INDEX(Sectorwise!E:E,MATCH(F246,Sectorwise!A:A,0)),1,0)</f>
        <v>0</v>
      </c>
      <c r="Q246" s="76">
        <f>IF(AND(N246&gt;=INDEX(Sectorwise!E:E,MATCH(F246,Sectorwise!A:A,0)),N246&lt;=INDEX(Sectorwise!F:F,MATCH(F246,Sectorwise!A:A,0))),1,0)</f>
        <v>0</v>
      </c>
      <c r="R246" s="76">
        <f>IF(N246&gt;INDEX(Sectorwise!F:F,MATCH(F246,Sectorwise!A:A,0)),1,0)</f>
        <v>1</v>
      </c>
      <c r="S246" s="27">
        <f t="shared" si="13"/>
        <v>0</v>
      </c>
      <c r="T246" s="27">
        <f t="shared" si="14"/>
        <v>0</v>
      </c>
      <c r="U246" s="27">
        <f t="shared" si="15"/>
        <v>8251</v>
      </c>
      <c r="V246" s="95">
        <f>IF(R246=1,(N246-INDEX(Sectorwise!F:F,MATCH(F246,Sectorwise!A:A,0))),0)</f>
        <v>251</v>
      </c>
      <c r="W246" s="97">
        <f>POISSON(N246,INDEX(Sectorwise!D:D,MATCH(Travel!F614,Sectorwise!A:A,0)),TRUE)</f>
        <v>1</v>
      </c>
    </row>
    <row r="247" spans="1:24" ht="15.75" hidden="1" customHeight="1" x14ac:dyDescent="0.2">
      <c r="A247" s="63" t="s">
        <v>1626</v>
      </c>
      <c r="B247" s="63" t="s">
        <v>1630</v>
      </c>
      <c r="C247" s="63"/>
      <c r="E247" s="21" t="s">
        <v>2285</v>
      </c>
      <c r="F247" s="21" t="s">
        <v>2135</v>
      </c>
      <c r="G247" s="33" t="s">
        <v>2321</v>
      </c>
      <c r="H247" s="63" t="s">
        <v>1631</v>
      </c>
      <c r="I247" s="63" t="s">
        <v>1598</v>
      </c>
      <c r="J247" s="65">
        <v>5336</v>
      </c>
      <c r="K247" s="65">
        <v>991</v>
      </c>
      <c r="L247" s="26">
        <f t="shared" si="12"/>
        <v>6327</v>
      </c>
      <c r="M247" s="26">
        <f t="array" ref="M247">MEDIAN(IF($F$3:$F$810=F247,$L$3:$L$810))</f>
        <v>7234</v>
      </c>
      <c r="N247" s="65">
        <v>6327</v>
      </c>
      <c r="O247" s="62">
        <v>0</v>
      </c>
      <c r="P247" s="76">
        <f>IF(N247&lt;INDEX(Sectorwise!E:E,MATCH(F247,Sectorwise!A:A,0)),1,0)</f>
        <v>1</v>
      </c>
      <c r="Q247" s="76">
        <f>IF(AND(N247&gt;=INDEX(Sectorwise!E:E,MATCH(F247,Sectorwise!A:A,0)),N247&lt;=INDEX(Sectorwise!F:F,MATCH(F247,Sectorwise!A:A,0))),1,0)</f>
        <v>0</v>
      </c>
      <c r="R247" s="76">
        <f>IF(N247&gt;INDEX(Sectorwise!F:F,MATCH(F247,Sectorwise!A:A,0)),1,0)</f>
        <v>0</v>
      </c>
      <c r="S247" s="27">
        <f t="shared" si="13"/>
        <v>6327</v>
      </c>
      <c r="T247" s="27">
        <f t="shared" si="14"/>
        <v>0</v>
      </c>
      <c r="U247" s="27">
        <f t="shared" si="15"/>
        <v>0</v>
      </c>
      <c r="V247" s="95">
        <f>IF(R247=1,(N247-INDEX(Sectorwise!F:F,MATCH(F247,Sectorwise!A:A,0))),0)</f>
        <v>0</v>
      </c>
      <c r="W247" s="97">
        <f>POISSON(N247,INDEX(Sectorwise!D:D,MATCH(Travel!F622,Sectorwise!A:A,0)),TRUE)</f>
        <v>1.5620014133921113E-38</v>
      </c>
    </row>
    <row r="248" spans="1:24" ht="15.75" hidden="1" customHeight="1" x14ac:dyDescent="0.2">
      <c r="A248" s="29" t="s">
        <v>2083</v>
      </c>
      <c r="B248" s="29" t="s">
        <v>2084</v>
      </c>
      <c r="C248" s="29"/>
      <c r="E248" s="21" t="s">
        <v>2285</v>
      </c>
      <c r="F248" s="21" t="s">
        <v>2135</v>
      </c>
      <c r="G248" s="69" t="s">
        <v>2308</v>
      </c>
      <c r="H248" s="29" t="s">
        <v>2085</v>
      </c>
      <c r="I248" s="29" t="s">
        <v>2052</v>
      </c>
      <c r="J248" s="65">
        <v>4273</v>
      </c>
      <c r="K248" s="65">
        <v>933</v>
      </c>
      <c r="L248" s="26">
        <f t="shared" si="12"/>
        <v>5206</v>
      </c>
      <c r="M248" s="26">
        <f t="array" ref="M248">MEDIAN(IF($F$3:$F$810=F248,$L$3:$L$810))</f>
        <v>7234</v>
      </c>
      <c r="N248" s="65">
        <v>5206</v>
      </c>
      <c r="O248" s="65" t="e">
        <f>N248-#REF!</f>
        <v>#REF!</v>
      </c>
      <c r="P248" s="76">
        <f>IF(N248&lt;INDEX(Sectorwise!E:E,MATCH(F248,Sectorwise!A:A,0)),1,0)</f>
        <v>1</v>
      </c>
      <c r="Q248" s="76">
        <f>IF(AND(N248&gt;=INDEX(Sectorwise!E:E,MATCH(F248,Sectorwise!A:A,0)),N248&lt;=INDEX(Sectorwise!F:F,MATCH(F248,Sectorwise!A:A,0))),1,0)</f>
        <v>0</v>
      </c>
      <c r="R248" s="76">
        <f>IF(N248&gt;INDEX(Sectorwise!F:F,MATCH(F248,Sectorwise!A:A,0)),1,0)</f>
        <v>0</v>
      </c>
      <c r="S248" s="27">
        <f t="shared" si="13"/>
        <v>5206</v>
      </c>
      <c r="T248" s="27">
        <f t="shared" si="14"/>
        <v>0</v>
      </c>
      <c r="U248" s="27">
        <f t="shared" si="15"/>
        <v>0</v>
      </c>
      <c r="V248" s="95">
        <f>IF(R248=1,(N248-INDEX(Sectorwise!F:F,MATCH(F248,Sectorwise!A:A,0))),0)</f>
        <v>0</v>
      </c>
      <c r="W248" s="97">
        <f>POISSON(N248,INDEX(Sectorwise!D:D,MATCH(Travel!F791,Sectorwise!A:A,0)),TRUE)</f>
        <v>2.2336866704905874E-139</v>
      </c>
    </row>
    <row r="249" spans="1:24" ht="15.75" hidden="1" customHeight="1" x14ac:dyDescent="0.2">
      <c r="A249" s="63" t="s">
        <v>1569</v>
      </c>
      <c r="B249" s="63" t="s">
        <v>1579</v>
      </c>
      <c r="C249" s="63"/>
      <c r="E249" s="21" t="s">
        <v>2285</v>
      </c>
      <c r="F249" s="63" t="s">
        <v>1580</v>
      </c>
      <c r="G249" s="63" t="s">
        <v>2333</v>
      </c>
      <c r="H249" s="63" t="s">
        <v>1581</v>
      </c>
      <c r="I249" s="63" t="s">
        <v>41</v>
      </c>
      <c r="J249" s="65">
        <v>1300</v>
      </c>
      <c r="K249" s="65">
        <v>600</v>
      </c>
      <c r="L249" s="26">
        <f t="shared" si="12"/>
        <v>1900</v>
      </c>
      <c r="M249" s="26">
        <f t="array" ref="M249">MEDIAN(IF($F$3:$F$810=F249,$L$3:$L$810))</f>
        <v>1900</v>
      </c>
      <c r="N249" s="65">
        <v>1900</v>
      </c>
      <c r="O249" s="62">
        <v>0</v>
      </c>
      <c r="P249" s="76">
        <f>IF(N249&lt;INDEX(Sectorwise!E:E,MATCH(F249,Sectorwise!A:A,0)),1,0)</f>
        <v>0</v>
      </c>
      <c r="Q249" s="76">
        <f>IF(AND(N249&gt;=INDEX(Sectorwise!E:E,MATCH(F249,Sectorwise!A:A,0)),N249&lt;=INDEX(Sectorwise!F:F,MATCH(F249,Sectorwise!A:A,0))),1,0)</f>
        <v>1</v>
      </c>
      <c r="R249" s="76">
        <f>IF(N249&gt;INDEX(Sectorwise!F:F,MATCH(F249,Sectorwise!A:A,0)),1,0)</f>
        <v>0</v>
      </c>
      <c r="S249" s="27">
        <f t="shared" si="13"/>
        <v>0</v>
      </c>
      <c r="T249" s="27">
        <f t="shared" si="14"/>
        <v>1900</v>
      </c>
      <c r="U249" s="27">
        <f t="shared" si="15"/>
        <v>0</v>
      </c>
      <c r="V249" s="95">
        <f>IF(R249=1,(N249-INDEX(Sectorwise!F:F,MATCH(F249,Sectorwise!A:A,0))),0)</f>
        <v>0</v>
      </c>
      <c r="W249" s="97">
        <f>POISSON(N249,INDEX(Sectorwise!D:D,MATCH(Travel!F599,Sectorwise!A:A,0)),TRUE)</f>
        <v>0</v>
      </c>
    </row>
    <row r="250" spans="1:24" ht="15.75" hidden="1" customHeight="1" x14ac:dyDescent="0.2">
      <c r="A250" s="63" t="s">
        <v>1756</v>
      </c>
      <c r="B250" s="63" t="s">
        <v>1764</v>
      </c>
      <c r="C250" s="63"/>
      <c r="E250" s="21" t="s">
        <v>2285</v>
      </c>
      <c r="F250" s="63" t="s">
        <v>2209</v>
      </c>
      <c r="G250" s="63" t="s">
        <v>2326</v>
      </c>
      <c r="H250" s="63" t="s">
        <v>1765</v>
      </c>
      <c r="I250" s="68">
        <v>41661</v>
      </c>
      <c r="J250" s="65">
        <v>7959</v>
      </c>
      <c r="K250" s="65">
        <v>2770</v>
      </c>
      <c r="L250" s="26">
        <f t="shared" si="12"/>
        <v>10729</v>
      </c>
      <c r="M250" s="26">
        <f t="array" ref="M250">MEDIAN(IF($F$3:$F$810=F250,$L$3:$L$810))</f>
        <v>10729</v>
      </c>
      <c r="N250" s="65">
        <v>10729</v>
      </c>
      <c r="O250" s="62">
        <v>0</v>
      </c>
      <c r="P250" s="76">
        <f>IF(N250&lt;INDEX(Sectorwise!E:E,MATCH(F250,Sectorwise!A:A,0)),1,0)</f>
        <v>0</v>
      </c>
      <c r="Q250" s="76">
        <f>IF(AND(N250&gt;=INDEX(Sectorwise!E:E,MATCH(F250,Sectorwise!A:A,0)),N250&lt;=INDEX(Sectorwise!F:F,MATCH(F250,Sectorwise!A:A,0))),1,0)</f>
        <v>1</v>
      </c>
      <c r="R250" s="76">
        <f>IF(N250&gt;INDEX(Sectorwise!F:F,MATCH(F250,Sectorwise!A:A,0)),1,0)</f>
        <v>0</v>
      </c>
      <c r="S250" s="27">
        <f t="shared" si="13"/>
        <v>0</v>
      </c>
      <c r="T250" s="27">
        <f t="shared" si="14"/>
        <v>10729</v>
      </c>
      <c r="U250" s="27">
        <f t="shared" si="15"/>
        <v>0</v>
      </c>
      <c r="V250" s="95">
        <f>IF(R250=1,(N250-INDEX(Sectorwise!F:F,MATCH(F250,Sectorwise!A:A,0))),0)</f>
        <v>0</v>
      </c>
      <c r="W250" s="97">
        <f>POISSON(N250,INDEX(Sectorwise!D:D,MATCH(Travel!F668,Sectorwise!A:A,0)),TRUE)</f>
        <v>0</v>
      </c>
    </row>
    <row r="251" spans="1:24" ht="15.75" hidden="1" customHeight="1" x14ac:dyDescent="0.2">
      <c r="A251" s="21" t="s">
        <v>615</v>
      </c>
      <c r="B251" s="21" t="s">
        <v>625</v>
      </c>
      <c r="C251" s="22"/>
      <c r="E251" s="21" t="s">
        <v>610</v>
      </c>
      <c r="F251" s="21" t="s">
        <v>2142</v>
      </c>
      <c r="G251" s="69" t="s">
        <v>2308</v>
      </c>
      <c r="H251" s="21" t="s">
        <v>626</v>
      </c>
      <c r="I251" s="21" t="s">
        <v>570</v>
      </c>
      <c r="J251" s="25">
        <v>2899</v>
      </c>
      <c r="K251" s="25">
        <v>2348</v>
      </c>
      <c r="L251" s="26">
        <f t="shared" si="12"/>
        <v>5247</v>
      </c>
      <c r="M251" s="26">
        <f t="array" ref="M251">MEDIAN(IF($F$3:$F$810=F251,$L$3:$L$810))</f>
        <v>5161</v>
      </c>
      <c r="N251" s="47">
        <v>5247</v>
      </c>
      <c r="O251" s="55"/>
      <c r="P251" s="76">
        <f>IF(N251&lt;INDEX(Sectorwise!E:E,MATCH(F251,Sectorwise!A:A,0)),1,0)</f>
        <v>0</v>
      </c>
      <c r="Q251" s="76">
        <f>IF(AND(N251&gt;=INDEX(Sectorwise!E:E,MATCH(F251,Sectorwise!A:A,0)),N251&lt;=INDEX(Sectorwise!F:F,MATCH(F251,Sectorwise!A:A,0))),1,0)</f>
        <v>1</v>
      </c>
      <c r="R251" s="76">
        <f>IF(N251&gt;INDEX(Sectorwise!F:F,MATCH(F251,Sectorwise!A:A,0)),1,0)</f>
        <v>0</v>
      </c>
      <c r="S251" s="27">
        <f t="shared" si="13"/>
        <v>0</v>
      </c>
      <c r="T251" s="27">
        <f t="shared" si="14"/>
        <v>5247</v>
      </c>
      <c r="U251" s="27">
        <f t="shared" si="15"/>
        <v>0</v>
      </c>
      <c r="V251" s="95">
        <f>IF(R251=1,(N251-INDEX(Sectorwise!F:F,MATCH(F251,Sectorwise!A:A,0))),0)</f>
        <v>0</v>
      </c>
      <c r="W251" s="97">
        <f>POISSON(N251,INDEX(Sectorwise!D:D,MATCH(Travel!F234,Sectorwise!A:A,0)),TRUE)</f>
        <v>1.3934035672642663E-133</v>
      </c>
    </row>
    <row r="252" spans="1:24" ht="15.75" hidden="1" customHeight="1" x14ac:dyDescent="0.2">
      <c r="A252" s="21" t="s">
        <v>597</v>
      </c>
      <c r="B252" s="21" t="s">
        <v>608</v>
      </c>
      <c r="C252" s="30" t="s">
        <v>609</v>
      </c>
      <c r="E252" s="21" t="s">
        <v>610</v>
      </c>
      <c r="F252" s="21" t="s">
        <v>2222</v>
      </c>
      <c r="G252" s="69" t="s">
        <v>2308</v>
      </c>
      <c r="H252" s="21" t="s">
        <v>611</v>
      </c>
      <c r="I252" s="21" t="s">
        <v>570</v>
      </c>
      <c r="J252" s="25">
        <v>2842</v>
      </c>
      <c r="K252" s="25">
        <v>4637</v>
      </c>
      <c r="L252" s="26">
        <f t="shared" si="12"/>
        <v>7479</v>
      </c>
      <c r="M252" s="26">
        <f t="array" ref="M252">MEDIAN(IF($F$3:$F$810=F252,$L$3:$L$810))</f>
        <v>7479</v>
      </c>
      <c r="N252" s="47">
        <v>7479</v>
      </c>
      <c r="O252" s="55">
        <v>2000</v>
      </c>
      <c r="P252" s="76">
        <f>IF(N252&lt;INDEX(Sectorwise!E:E,MATCH(F252,Sectorwise!A:A,0)),1,0)</f>
        <v>0</v>
      </c>
      <c r="Q252" s="76">
        <f>IF(AND(N252&gt;=INDEX(Sectorwise!E:E,MATCH(F252,Sectorwise!A:A,0)),N252&lt;=INDEX(Sectorwise!F:F,MATCH(F252,Sectorwise!A:A,0))),1,0)</f>
        <v>1</v>
      </c>
      <c r="R252" s="76">
        <f>IF(N252&gt;INDEX(Sectorwise!F:F,MATCH(F252,Sectorwise!A:A,0)),1,0)</f>
        <v>0</v>
      </c>
      <c r="S252" s="27">
        <f t="shared" si="13"/>
        <v>0</v>
      </c>
      <c r="T252" s="27">
        <f t="shared" si="14"/>
        <v>7479</v>
      </c>
      <c r="U252" s="27">
        <f t="shared" si="15"/>
        <v>0</v>
      </c>
      <c r="V252" s="95">
        <f>IF(R252=1,(N252-INDEX(Sectorwise!F:F,MATCH(F252,Sectorwise!A:A,0))),0)</f>
        <v>0</v>
      </c>
      <c r="W252" s="97">
        <f>POISSON(N252,INDEX(Sectorwise!D:D,MATCH(Travel!F229,Sectorwise!A:A,0)),TRUE)</f>
        <v>8.093949106185608E-226</v>
      </c>
    </row>
    <row r="253" spans="1:24" ht="15.75" hidden="1" customHeight="1" x14ac:dyDescent="0.2">
      <c r="A253" s="21" t="s">
        <v>32</v>
      </c>
      <c r="B253" s="21" t="s">
        <v>33</v>
      </c>
      <c r="C253" s="22"/>
      <c r="D253" s="23" t="s">
        <v>16</v>
      </c>
      <c r="E253" s="21" t="s">
        <v>34</v>
      </c>
      <c r="F253" s="21" t="s">
        <v>2145</v>
      </c>
      <c r="G253" s="60" t="s">
        <v>2316</v>
      </c>
      <c r="H253" s="21" t="s">
        <v>35</v>
      </c>
      <c r="I253" s="21" t="s">
        <v>26</v>
      </c>
      <c r="J253" s="25">
        <v>2040</v>
      </c>
      <c r="K253" s="26">
        <v>2692</v>
      </c>
      <c r="L253" s="26">
        <f t="shared" si="12"/>
        <v>4732</v>
      </c>
      <c r="M253" s="26">
        <f t="array" ref="M253">MEDIAN(IF($F$3:$F$810=F253,$L$3:$L$810))</f>
        <v>4732</v>
      </c>
      <c r="N253" s="26">
        <v>4732</v>
      </c>
      <c r="O253" s="27"/>
      <c r="P253" s="76">
        <f>IF(N253&lt;INDEX(Sectorwise!E:E,MATCH(F253,Sectorwise!A:A,0)),1,0)</f>
        <v>0</v>
      </c>
      <c r="Q253" s="76">
        <f>IF(AND(N253&gt;=INDEX(Sectorwise!E:E,MATCH(F253,Sectorwise!A:A,0)),N253&lt;=INDEX(Sectorwise!F:F,MATCH(F253,Sectorwise!A:A,0))),1,0)</f>
        <v>1</v>
      </c>
      <c r="R253" s="76">
        <f>IF(N253&gt;INDEX(Sectorwise!F:F,MATCH(F253,Sectorwise!A:A,0)),1,0)</f>
        <v>0</v>
      </c>
      <c r="S253" s="27">
        <f t="shared" si="13"/>
        <v>0</v>
      </c>
      <c r="T253" s="27">
        <f t="shared" si="14"/>
        <v>4732</v>
      </c>
      <c r="U253" s="27">
        <f t="shared" si="15"/>
        <v>0</v>
      </c>
      <c r="V253" s="95">
        <f>IF(R253=1,(N253-INDEX(Sectorwise!F:F,MATCH(F253,Sectorwise!A:A,0))),0)</f>
        <v>0</v>
      </c>
      <c r="W253" s="97">
        <f>POISSON(N253,INDEX(Sectorwise!D:D,MATCH(Travel!F9,Sectorwise!A:A,0)),TRUE)</f>
        <v>2.7528647450836524E-244</v>
      </c>
      <c r="X253" s="28">
        <v>4732</v>
      </c>
    </row>
    <row r="254" spans="1:24" ht="15.75" hidden="1" customHeight="1" x14ac:dyDescent="0.2">
      <c r="A254" s="21" t="s">
        <v>32</v>
      </c>
      <c r="B254" s="21" t="s">
        <v>33</v>
      </c>
      <c r="C254" s="22"/>
      <c r="D254" s="23" t="s">
        <v>16</v>
      </c>
      <c r="E254" s="21" t="s">
        <v>34</v>
      </c>
      <c r="F254" s="21" t="s">
        <v>2146</v>
      </c>
      <c r="G254" s="33" t="s">
        <v>2321</v>
      </c>
      <c r="H254" s="21" t="s">
        <v>36</v>
      </c>
      <c r="I254" s="21" t="s">
        <v>26</v>
      </c>
      <c r="J254" s="25">
        <v>2253</v>
      </c>
      <c r="K254" s="26">
        <v>2449</v>
      </c>
      <c r="L254" s="26">
        <f t="shared" si="12"/>
        <v>4702</v>
      </c>
      <c r="M254" s="26">
        <f t="array" ref="M254">MEDIAN(IF($F$3:$F$810=F254,$L$3:$L$810))</f>
        <v>4702</v>
      </c>
      <c r="N254" s="26">
        <v>4702</v>
      </c>
      <c r="O254" s="27"/>
      <c r="P254" s="76">
        <f>IF(N254&lt;INDEX(Sectorwise!E:E,MATCH(F254,Sectorwise!A:A,0)),1,0)</f>
        <v>0</v>
      </c>
      <c r="Q254" s="76">
        <f>IF(AND(N254&gt;=INDEX(Sectorwise!E:E,MATCH(F254,Sectorwise!A:A,0)),N254&lt;=INDEX(Sectorwise!F:F,MATCH(F254,Sectorwise!A:A,0))),1,0)</f>
        <v>1</v>
      </c>
      <c r="R254" s="76">
        <f>IF(N254&gt;INDEX(Sectorwise!F:F,MATCH(F254,Sectorwise!A:A,0)),1,0)</f>
        <v>0</v>
      </c>
      <c r="S254" s="27">
        <f t="shared" si="13"/>
        <v>0</v>
      </c>
      <c r="T254" s="27">
        <f t="shared" si="14"/>
        <v>4702</v>
      </c>
      <c r="U254" s="27">
        <f t="shared" si="15"/>
        <v>0</v>
      </c>
      <c r="V254" s="95">
        <f>IF(R254=1,(N254-INDEX(Sectorwise!F:F,MATCH(F254,Sectorwise!A:A,0))),0)</f>
        <v>0</v>
      </c>
      <c r="W254" s="97">
        <f>POISSON(N254,INDEX(Sectorwise!D:D,MATCH(Travel!F10,Sectorwise!A:A,0)),TRUE)</f>
        <v>2.0490664459095856E-222</v>
      </c>
      <c r="X254" s="28">
        <v>4702</v>
      </c>
    </row>
    <row r="255" spans="1:24" ht="15.75" hidden="1" customHeight="1" x14ac:dyDescent="0.2">
      <c r="A255" s="21" t="s">
        <v>108</v>
      </c>
      <c r="B255" s="21" t="s">
        <v>115</v>
      </c>
      <c r="C255" s="22"/>
      <c r="D255" s="23" t="s">
        <v>16</v>
      </c>
      <c r="E255" s="21" t="s">
        <v>2286</v>
      </c>
      <c r="F255" s="29" t="s">
        <v>2134</v>
      </c>
      <c r="G255" s="63" t="s">
        <v>2312</v>
      </c>
      <c r="H255" s="21" t="s">
        <v>116</v>
      </c>
      <c r="I255" s="21" t="s">
        <v>94</v>
      </c>
      <c r="J255" s="25">
        <v>3940</v>
      </c>
      <c r="K255" s="26">
        <v>3088</v>
      </c>
      <c r="L255" s="26">
        <f t="shared" si="12"/>
        <v>7028</v>
      </c>
      <c r="M255" s="26">
        <f t="array" ref="M255">MEDIAN(IF($F$3:$F$810=F255,$L$3:$L$810))</f>
        <v>7412.5</v>
      </c>
      <c r="N255" s="26">
        <v>7028</v>
      </c>
      <c r="O255" s="27"/>
      <c r="P255" s="76">
        <f>IF(N255&lt;INDEX(Sectorwise!E:E,MATCH(F255,Sectorwise!A:A,0)),1,0)</f>
        <v>0</v>
      </c>
      <c r="Q255" s="76">
        <f>IF(AND(N255&gt;=INDEX(Sectorwise!E:E,MATCH(F255,Sectorwise!A:A,0)),N255&lt;=INDEX(Sectorwise!F:F,MATCH(F255,Sectorwise!A:A,0))),1,0)</f>
        <v>1</v>
      </c>
      <c r="R255" s="76">
        <f>IF(N255&gt;INDEX(Sectorwise!F:F,MATCH(F255,Sectorwise!A:A,0)),1,0)</f>
        <v>0</v>
      </c>
      <c r="S255" s="27">
        <f t="shared" si="13"/>
        <v>0</v>
      </c>
      <c r="T255" s="27">
        <f t="shared" si="14"/>
        <v>7028</v>
      </c>
      <c r="U255" s="27">
        <f t="shared" si="15"/>
        <v>0</v>
      </c>
      <c r="V255" s="95">
        <f>IF(R255=1,(N255-INDEX(Sectorwise!F:F,MATCH(F255,Sectorwise!A:A,0))),0)</f>
        <v>0</v>
      </c>
      <c r="W255" s="97">
        <f>POISSON(N255,INDEX(Sectorwise!D:D,MATCH(Travel!F38,Sectorwise!A:A,0)),TRUE)</f>
        <v>1</v>
      </c>
      <c r="X255" s="28">
        <v>7028</v>
      </c>
    </row>
    <row r="256" spans="1:24" ht="15.75" hidden="1" customHeight="1" x14ac:dyDescent="0.2">
      <c r="A256" s="21" t="s">
        <v>190</v>
      </c>
      <c r="B256" s="21" t="s">
        <v>191</v>
      </c>
      <c r="C256" s="22"/>
      <c r="D256" s="32"/>
      <c r="E256" s="21" t="s">
        <v>2286</v>
      </c>
      <c r="F256" s="29" t="s">
        <v>2134</v>
      </c>
      <c r="G256" s="56" t="s">
        <v>2309</v>
      </c>
      <c r="H256" s="21" t="s">
        <v>192</v>
      </c>
      <c r="I256" s="21" t="s">
        <v>183</v>
      </c>
      <c r="J256" s="25">
        <v>4500</v>
      </c>
      <c r="K256" s="25">
        <v>3171</v>
      </c>
      <c r="L256" s="26">
        <f t="shared" si="12"/>
        <v>7671</v>
      </c>
      <c r="M256" s="26">
        <f t="array" ref="M256">MEDIAN(IF($F$3:$F$810=F256,$L$3:$L$810))</f>
        <v>7412.5</v>
      </c>
      <c r="N256" s="26">
        <v>7671</v>
      </c>
      <c r="O256" s="27"/>
      <c r="P256" s="76">
        <f>IF(N256&lt;INDEX(Sectorwise!E:E,MATCH(F256,Sectorwise!A:A,0)),1,0)</f>
        <v>0</v>
      </c>
      <c r="Q256" s="76">
        <f>IF(AND(N256&gt;=INDEX(Sectorwise!E:E,MATCH(F256,Sectorwise!A:A,0)),N256&lt;=INDEX(Sectorwise!F:F,MATCH(F256,Sectorwise!A:A,0))),1,0)</f>
        <v>1</v>
      </c>
      <c r="R256" s="76">
        <f>IF(N256&gt;INDEX(Sectorwise!F:F,MATCH(F256,Sectorwise!A:A,0)),1,0)</f>
        <v>0</v>
      </c>
      <c r="S256" s="27">
        <f t="shared" si="13"/>
        <v>0</v>
      </c>
      <c r="T256" s="27">
        <f t="shared" si="14"/>
        <v>7671</v>
      </c>
      <c r="U256" s="27">
        <f t="shared" si="15"/>
        <v>0</v>
      </c>
      <c r="V256" s="95">
        <f>IF(R256=1,(N256-INDEX(Sectorwise!F:F,MATCH(F256,Sectorwise!A:A,0))),0)</f>
        <v>0</v>
      </c>
      <c r="W256" s="97">
        <f>POISSON(N256,INDEX(Sectorwise!D:D,MATCH(Travel!F69,Sectorwise!A:A,0)),TRUE)</f>
        <v>9.7486827763195762E-198</v>
      </c>
      <c r="X256" s="28">
        <v>7671</v>
      </c>
    </row>
    <row r="257" spans="1:24" ht="15.75" hidden="1" customHeight="1" x14ac:dyDescent="0.2">
      <c r="A257" s="33" t="s">
        <v>248</v>
      </c>
      <c r="B257" s="33" t="s">
        <v>251</v>
      </c>
      <c r="C257" s="14" t="s">
        <v>252</v>
      </c>
      <c r="D257" s="35"/>
      <c r="E257" s="21" t="s">
        <v>2286</v>
      </c>
      <c r="F257" s="29" t="s">
        <v>2134</v>
      </c>
      <c r="G257" s="56" t="s">
        <v>2309</v>
      </c>
      <c r="H257" s="33" t="s">
        <v>253</v>
      </c>
      <c r="I257" s="33" t="s">
        <v>254</v>
      </c>
      <c r="J257" s="36">
        <v>4500</v>
      </c>
      <c r="K257" s="36">
        <v>3171</v>
      </c>
      <c r="L257" s="26">
        <f t="shared" si="12"/>
        <v>7671</v>
      </c>
      <c r="M257" s="26">
        <f t="array" ref="M257">MEDIAN(IF($F$3:$F$810=F257,$L$3:$L$810))</f>
        <v>7412.5</v>
      </c>
      <c r="N257" s="41">
        <v>7671</v>
      </c>
      <c r="O257" s="38">
        <v>6521</v>
      </c>
      <c r="P257" s="76">
        <f>IF(N257&lt;INDEX(Sectorwise!E:E,MATCH(F257,Sectorwise!A:A,0)),1,0)</f>
        <v>0</v>
      </c>
      <c r="Q257" s="76">
        <f>IF(AND(N257&gt;=INDEX(Sectorwise!E:E,MATCH(F257,Sectorwise!A:A,0)),N257&lt;=INDEX(Sectorwise!F:F,MATCH(F257,Sectorwise!A:A,0))),1,0)</f>
        <v>1</v>
      </c>
      <c r="R257" s="76">
        <f>IF(N257&gt;INDEX(Sectorwise!F:F,MATCH(F257,Sectorwise!A:A,0)),1,0)</f>
        <v>0</v>
      </c>
      <c r="S257" s="27">
        <f t="shared" si="13"/>
        <v>0</v>
      </c>
      <c r="T257" s="27">
        <f t="shared" si="14"/>
        <v>7671</v>
      </c>
      <c r="U257" s="27">
        <f t="shared" si="15"/>
        <v>0</v>
      </c>
      <c r="V257" s="95">
        <f>IF(R257=1,(N257-INDEX(Sectorwise!F:F,MATCH(F257,Sectorwise!A:A,0))),0)</f>
        <v>0</v>
      </c>
      <c r="W257" s="97">
        <f>POISSON(N257,INDEX(Sectorwise!D:D,MATCH(Travel!F95,Sectorwise!A:A,0)),TRUE)</f>
        <v>1</v>
      </c>
      <c r="X257" s="39">
        <f>+N257-O257</f>
        <v>1150</v>
      </c>
    </row>
    <row r="258" spans="1:24" ht="15.75" hidden="1" customHeight="1" x14ac:dyDescent="0.2">
      <c r="A258" s="33" t="s">
        <v>248</v>
      </c>
      <c r="B258" s="33" t="s">
        <v>255</v>
      </c>
      <c r="C258" s="40"/>
      <c r="D258" s="35"/>
      <c r="E258" s="21" t="s">
        <v>2286</v>
      </c>
      <c r="F258" s="29" t="s">
        <v>2134</v>
      </c>
      <c r="G258" s="69" t="s">
        <v>2308</v>
      </c>
      <c r="H258" s="33" t="s">
        <v>256</v>
      </c>
      <c r="I258" s="33" t="s">
        <v>254</v>
      </c>
      <c r="J258" s="36">
        <v>5874</v>
      </c>
      <c r="K258" s="36">
        <v>938</v>
      </c>
      <c r="L258" s="26">
        <f t="shared" si="12"/>
        <v>6812</v>
      </c>
      <c r="M258" s="26">
        <f t="array" ref="M258">MEDIAN(IF($F$3:$F$810=F258,$L$3:$L$810))</f>
        <v>7412.5</v>
      </c>
      <c r="N258" s="41">
        <v>6812</v>
      </c>
      <c r="O258" s="38"/>
      <c r="P258" s="76">
        <f>IF(N258&lt;INDEX(Sectorwise!E:E,MATCH(F258,Sectorwise!A:A,0)),1,0)</f>
        <v>0</v>
      </c>
      <c r="Q258" s="76">
        <f>IF(AND(N258&gt;=INDEX(Sectorwise!E:E,MATCH(F258,Sectorwise!A:A,0)),N258&lt;=INDEX(Sectorwise!F:F,MATCH(F258,Sectorwise!A:A,0))),1,0)</f>
        <v>1</v>
      </c>
      <c r="R258" s="76">
        <f>IF(N258&gt;INDEX(Sectorwise!F:F,MATCH(F258,Sectorwise!A:A,0)),1,0)</f>
        <v>0</v>
      </c>
      <c r="S258" s="27">
        <f t="shared" si="13"/>
        <v>0</v>
      </c>
      <c r="T258" s="27">
        <f t="shared" si="14"/>
        <v>6812</v>
      </c>
      <c r="U258" s="27">
        <f t="shared" si="15"/>
        <v>0</v>
      </c>
      <c r="V258" s="95">
        <f>IF(R258=1,(N258-INDEX(Sectorwise!F:F,MATCH(F258,Sectorwise!A:A,0))),0)</f>
        <v>0</v>
      </c>
      <c r="W258" s="97">
        <f>POISSON(N258,INDEX(Sectorwise!D:D,MATCH(Travel!F96,Sectorwise!A:A,0)),TRUE)</f>
        <v>0</v>
      </c>
      <c r="X258" s="39">
        <f>+N258-O258</f>
        <v>6812</v>
      </c>
    </row>
    <row r="259" spans="1:24" ht="15.75" hidden="1" customHeight="1" x14ac:dyDescent="0.2">
      <c r="A259" s="33" t="s">
        <v>358</v>
      </c>
      <c r="B259" s="33" t="s">
        <v>368</v>
      </c>
      <c r="C259" s="40"/>
      <c r="D259" s="35"/>
      <c r="E259" s="21" t="s">
        <v>2286</v>
      </c>
      <c r="F259" s="29" t="s">
        <v>2134</v>
      </c>
      <c r="G259" s="56" t="s">
        <v>2309</v>
      </c>
      <c r="H259" s="33" t="s">
        <v>369</v>
      </c>
      <c r="I259" s="33" t="s">
        <v>361</v>
      </c>
      <c r="J259" s="42">
        <v>4550</v>
      </c>
      <c r="K259" s="45">
        <v>3122</v>
      </c>
      <c r="L259" s="26">
        <f t="shared" ref="L259:L322" si="16">J259+K259</f>
        <v>7672</v>
      </c>
      <c r="M259" s="26">
        <f t="array" ref="M259">MEDIAN(IF($F$3:$F$810=F259,$L$3:$L$810))</f>
        <v>7412.5</v>
      </c>
      <c r="N259" s="43">
        <f>+J259+K259</f>
        <v>7672</v>
      </c>
      <c r="O259" s="38"/>
      <c r="P259" s="76">
        <f>IF(N259&lt;INDEX(Sectorwise!E:E,MATCH(F259,Sectorwise!A:A,0)),1,0)</f>
        <v>0</v>
      </c>
      <c r="Q259" s="76">
        <f>IF(AND(N259&gt;=INDEX(Sectorwise!E:E,MATCH(F259,Sectorwise!A:A,0)),N259&lt;=INDEX(Sectorwise!F:F,MATCH(F259,Sectorwise!A:A,0))),1,0)</f>
        <v>1</v>
      </c>
      <c r="R259" s="76">
        <f>IF(N259&gt;INDEX(Sectorwise!F:F,MATCH(F259,Sectorwise!A:A,0)),1,0)</f>
        <v>0</v>
      </c>
      <c r="S259" s="27">
        <f t="shared" ref="S259:S322" si="17">IF(P259=0,0,N259)</f>
        <v>0</v>
      </c>
      <c r="T259" s="27">
        <f t="shared" ref="T259:T322" si="18">IF(Q259=0,0,N259)</f>
        <v>7672</v>
      </c>
      <c r="U259" s="27">
        <f t="shared" ref="U259:U322" si="19">IF(R259=0,0,N259)</f>
        <v>0</v>
      </c>
      <c r="V259" s="95">
        <f>IF(R259=1,(N259-INDEX(Sectorwise!F:F,MATCH(F259,Sectorwise!A:A,0))),0)</f>
        <v>0</v>
      </c>
      <c r="W259" s="97">
        <f>POISSON(N259,INDEX(Sectorwise!D:D,MATCH(Travel!F137,Sectorwise!A:A,0)),TRUE)</f>
        <v>0</v>
      </c>
      <c r="X259" s="44">
        <f>+N259-O259</f>
        <v>7672</v>
      </c>
    </row>
    <row r="260" spans="1:24" ht="15.75" hidden="1" customHeight="1" x14ac:dyDescent="0.2">
      <c r="A260" s="21" t="s">
        <v>440</v>
      </c>
      <c r="B260" s="21" t="s">
        <v>441</v>
      </c>
      <c r="C260" s="22"/>
      <c r="D260" s="32"/>
      <c r="E260" s="21" t="s">
        <v>2286</v>
      </c>
      <c r="F260" s="29" t="s">
        <v>2134</v>
      </c>
      <c r="G260" s="56" t="s">
        <v>2309</v>
      </c>
      <c r="H260" s="21" t="s">
        <v>442</v>
      </c>
      <c r="I260" s="21" t="s">
        <v>443</v>
      </c>
      <c r="J260" s="25">
        <v>4550</v>
      </c>
      <c r="K260" s="25">
        <v>3121</v>
      </c>
      <c r="L260" s="26">
        <f t="shared" si="16"/>
        <v>7671</v>
      </c>
      <c r="M260" s="26">
        <f t="array" ref="M260">MEDIAN(IF($F$3:$F$810=F260,$L$3:$L$810))</f>
        <v>7412.5</v>
      </c>
      <c r="N260" s="47">
        <f>J260+K260</f>
        <v>7671</v>
      </c>
      <c r="O260" s="27"/>
      <c r="P260" s="76">
        <f>IF(N260&lt;INDEX(Sectorwise!E:E,MATCH(F260,Sectorwise!A:A,0)),1,0)</f>
        <v>0</v>
      </c>
      <c r="Q260" s="76">
        <f>IF(AND(N260&gt;=INDEX(Sectorwise!E:E,MATCH(F260,Sectorwise!A:A,0)),N260&lt;=INDEX(Sectorwise!F:F,MATCH(F260,Sectorwise!A:A,0))),1,0)</f>
        <v>1</v>
      </c>
      <c r="R260" s="76">
        <f>IF(N260&gt;INDEX(Sectorwise!F:F,MATCH(F260,Sectorwise!A:A,0)),1,0)</f>
        <v>0</v>
      </c>
      <c r="S260" s="27">
        <f t="shared" si="17"/>
        <v>0</v>
      </c>
      <c r="T260" s="27">
        <f t="shared" si="18"/>
        <v>7671</v>
      </c>
      <c r="U260" s="27">
        <f t="shared" si="19"/>
        <v>0</v>
      </c>
      <c r="V260" s="95">
        <f>IF(R260=1,(N260-INDEX(Sectorwise!F:F,MATCH(F260,Sectorwise!A:A,0))),0)</f>
        <v>0</v>
      </c>
      <c r="W260" s="97">
        <f>POISSON(N260,INDEX(Sectorwise!D:D,MATCH(Travel!F166,Sectorwise!A:A,0)),TRUE)</f>
        <v>1</v>
      </c>
    </row>
    <row r="261" spans="1:24" ht="15.75" hidden="1" customHeight="1" x14ac:dyDescent="0.2">
      <c r="A261" s="53" t="s">
        <v>539</v>
      </c>
      <c r="B261" s="54" t="s">
        <v>540</v>
      </c>
      <c r="C261" s="22"/>
      <c r="D261" s="32"/>
      <c r="E261" s="21" t="s">
        <v>2286</v>
      </c>
      <c r="F261" s="29" t="s">
        <v>2134</v>
      </c>
      <c r="G261" s="63" t="s">
        <v>2312</v>
      </c>
      <c r="H261" s="21" t="s">
        <v>541</v>
      </c>
      <c r="I261" s="21" t="s">
        <v>539</v>
      </c>
      <c r="J261" s="25">
        <v>950</v>
      </c>
      <c r="K261" s="25">
        <v>2922</v>
      </c>
      <c r="L261" s="26">
        <f t="shared" si="16"/>
        <v>3872</v>
      </c>
      <c r="M261" s="26">
        <f t="array" ref="M261">MEDIAN(IF($F$3:$F$810=F261,$L$3:$L$810))</f>
        <v>7412.5</v>
      </c>
      <c r="N261" s="47">
        <v>3872</v>
      </c>
      <c r="O261" s="27"/>
      <c r="P261" s="76">
        <f>IF(N261&lt;INDEX(Sectorwise!E:E,MATCH(F261,Sectorwise!A:A,0)),1,0)</f>
        <v>1</v>
      </c>
      <c r="Q261" s="76">
        <f>IF(AND(N261&gt;=INDEX(Sectorwise!E:E,MATCH(F261,Sectorwise!A:A,0)),N261&lt;=INDEX(Sectorwise!F:F,MATCH(F261,Sectorwise!A:A,0))),1,0)</f>
        <v>0</v>
      </c>
      <c r="R261" s="76">
        <f>IF(N261&gt;INDEX(Sectorwise!F:F,MATCH(F261,Sectorwise!A:A,0)),1,0)</f>
        <v>0</v>
      </c>
      <c r="S261" s="27">
        <f t="shared" si="17"/>
        <v>3872</v>
      </c>
      <c r="T261" s="27">
        <f t="shared" si="18"/>
        <v>0</v>
      </c>
      <c r="U261" s="27">
        <f t="shared" si="19"/>
        <v>0</v>
      </c>
      <c r="V261" s="95">
        <f>IF(R261=1,(N261-INDEX(Sectorwise!F:F,MATCH(F261,Sectorwise!A:A,0))),0)</f>
        <v>0</v>
      </c>
      <c r="W261" s="97">
        <f>POISSON(N261,INDEX(Sectorwise!D:D,MATCH(Travel!F201,Sectorwise!A:A,0)),TRUE)</f>
        <v>0</v>
      </c>
    </row>
    <row r="262" spans="1:24" ht="15.75" hidden="1" customHeight="1" x14ac:dyDescent="0.2">
      <c r="A262" s="21" t="s">
        <v>722</v>
      </c>
      <c r="B262" s="24" t="s">
        <v>742</v>
      </c>
      <c r="C262" s="22"/>
      <c r="D262" s="32"/>
      <c r="E262" s="21" t="s">
        <v>2286</v>
      </c>
      <c r="F262" s="29" t="s">
        <v>2134</v>
      </c>
      <c r="G262" s="56" t="s">
        <v>2309</v>
      </c>
      <c r="H262" s="21" t="s">
        <v>743</v>
      </c>
      <c r="I262" s="21" t="s">
        <v>703</v>
      </c>
      <c r="J262" s="25">
        <v>3835</v>
      </c>
      <c r="K262" s="25">
        <v>1771</v>
      </c>
      <c r="L262" s="26">
        <f t="shared" si="16"/>
        <v>5606</v>
      </c>
      <c r="M262" s="26">
        <f t="array" ref="M262">MEDIAN(IF($F$3:$F$810=F262,$L$3:$L$810))</f>
        <v>7412.5</v>
      </c>
      <c r="N262" s="47">
        <v>5606</v>
      </c>
      <c r="O262" s="55"/>
      <c r="P262" s="76">
        <f>IF(N262&lt;INDEX(Sectorwise!E:E,MATCH(F262,Sectorwise!A:A,0)),1,0)</f>
        <v>1</v>
      </c>
      <c r="Q262" s="76">
        <f>IF(AND(N262&gt;=INDEX(Sectorwise!E:E,MATCH(F262,Sectorwise!A:A,0)),N262&lt;=INDEX(Sectorwise!F:F,MATCH(F262,Sectorwise!A:A,0))),1,0)</f>
        <v>0</v>
      </c>
      <c r="R262" s="76">
        <f>IF(N262&gt;INDEX(Sectorwise!F:F,MATCH(F262,Sectorwise!A:A,0)),1,0)</f>
        <v>0</v>
      </c>
      <c r="S262" s="27">
        <f t="shared" si="17"/>
        <v>5606</v>
      </c>
      <c r="T262" s="27">
        <f t="shared" si="18"/>
        <v>0</v>
      </c>
      <c r="U262" s="27">
        <f t="shared" si="19"/>
        <v>0</v>
      </c>
      <c r="V262" s="95">
        <f>IF(R262=1,(N262-INDEX(Sectorwise!F:F,MATCH(F262,Sectorwise!A:A,0))),0)</f>
        <v>0</v>
      </c>
      <c r="W262" s="97">
        <f>POISSON(N262,INDEX(Sectorwise!D:D,MATCH(Travel!F281,Sectorwise!A:A,0)),TRUE)</f>
        <v>0</v>
      </c>
    </row>
    <row r="263" spans="1:24" ht="15.75" hidden="1" customHeight="1" x14ac:dyDescent="0.2">
      <c r="A263" s="56" t="s">
        <v>807</v>
      </c>
      <c r="B263" s="56" t="s">
        <v>824</v>
      </c>
      <c r="C263" s="56"/>
      <c r="E263" s="21" t="s">
        <v>2286</v>
      </c>
      <c r="F263" s="29" t="s">
        <v>2134</v>
      </c>
      <c r="G263" s="63" t="s">
        <v>2312</v>
      </c>
      <c r="H263" s="56" t="s">
        <v>825</v>
      </c>
      <c r="I263" s="56" t="s">
        <v>814</v>
      </c>
      <c r="J263" s="57">
        <v>2585</v>
      </c>
      <c r="K263" s="57">
        <v>3113</v>
      </c>
      <c r="L263" s="26">
        <f t="shared" si="16"/>
        <v>5698</v>
      </c>
      <c r="M263" s="26">
        <f t="array" ref="M263">MEDIAN(IF($F$3:$F$810=F263,$L$3:$L$810))</f>
        <v>7412.5</v>
      </c>
      <c r="N263" s="57">
        <v>5698</v>
      </c>
      <c r="O263" s="58">
        <v>0</v>
      </c>
      <c r="P263" s="76">
        <f>IF(N263&lt;INDEX(Sectorwise!E:E,MATCH(F263,Sectorwise!A:A,0)),1,0)</f>
        <v>1</v>
      </c>
      <c r="Q263" s="76">
        <f>IF(AND(N263&gt;=INDEX(Sectorwise!E:E,MATCH(F263,Sectorwise!A:A,0)),N263&lt;=INDEX(Sectorwise!F:F,MATCH(F263,Sectorwise!A:A,0))),1,0)</f>
        <v>0</v>
      </c>
      <c r="R263" s="76">
        <f>IF(N263&gt;INDEX(Sectorwise!F:F,MATCH(F263,Sectorwise!A:A,0)),1,0)</f>
        <v>0</v>
      </c>
      <c r="S263" s="27">
        <f t="shared" si="17"/>
        <v>5698</v>
      </c>
      <c r="T263" s="27">
        <f t="shared" si="18"/>
        <v>0</v>
      </c>
      <c r="U263" s="27">
        <f t="shared" si="19"/>
        <v>0</v>
      </c>
      <c r="V263" s="95">
        <f>IF(R263=1,(N263-INDEX(Sectorwise!F:F,MATCH(F263,Sectorwise!A:A,0))),0)</f>
        <v>0</v>
      </c>
      <c r="W263" s="97">
        <f>POISSON(N263,INDEX(Sectorwise!D:D,MATCH(Travel!F311,Sectorwise!A:A,0)),TRUE)</f>
        <v>8.9308223560546454E-79</v>
      </c>
    </row>
    <row r="264" spans="1:24" ht="15.75" hidden="1" customHeight="1" x14ac:dyDescent="0.2">
      <c r="A264" s="60" t="s">
        <v>889</v>
      </c>
      <c r="B264" s="60" t="s">
        <v>893</v>
      </c>
      <c r="C264" s="60"/>
      <c r="E264" s="21" t="s">
        <v>2286</v>
      </c>
      <c r="F264" s="29" t="s">
        <v>2134</v>
      </c>
      <c r="G264" s="56" t="s">
        <v>2309</v>
      </c>
      <c r="H264" s="60" t="s">
        <v>894</v>
      </c>
      <c r="I264" s="60" t="s">
        <v>892</v>
      </c>
      <c r="J264" s="61">
        <v>5540</v>
      </c>
      <c r="K264" s="61">
        <v>1865</v>
      </c>
      <c r="L264" s="26">
        <f t="shared" si="16"/>
        <v>7405</v>
      </c>
      <c r="M264" s="26">
        <f t="array" ref="M264">MEDIAN(IF($F$3:$F$810=F264,$L$3:$L$810))</f>
        <v>7412.5</v>
      </c>
      <c r="N264" s="61">
        <v>7405</v>
      </c>
      <c r="O264" s="62">
        <v>0</v>
      </c>
      <c r="P264" s="76">
        <f>IF(N264&lt;INDEX(Sectorwise!E:E,MATCH(F264,Sectorwise!A:A,0)),1,0)</f>
        <v>0</v>
      </c>
      <c r="Q264" s="76">
        <f>IF(AND(N264&gt;=INDEX(Sectorwise!E:E,MATCH(F264,Sectorwise!A:A,0)),N264&lt;=INDEX(Sectorwise!F:F,MATCH(F264,Sectorwise!A:A,0))),1,0)</f>
        <v>1</v>
      </c>
      <c r="R264" s="76">
        <f>IF(N264&gt;INDEX(Sectorwise!F:F,MATCH(F264,Sectorwise!A:A,0)),1,0)</f>
        <v>0</v>
      </c>
      <c r="S264" s="27">
        <f t="shared" si="17"/>
        <v>0</v>
      </c>
      <c r="T264" s="27">
        <f t="shared" si="18"/>
        <v>7405</v>
      </c>
      <c r="U264" s="27">
        <f t="shared" si="19"/>
        <v>0</v>
      </c>
      <c r="V264" s="95">
        <f>IF(R264=1,(N264-INDEX(Sectorwise!F:F,MATCH(F264,Sectorwise!A:A,0))),0)</f>
        <v>0</v>
      </c>
      <c r="W264" s="97">
        <f>POISSON(N264,INDEX(Sectorwise!D:D,MATCH(Travel!F336,Sectorwise!A:A,0)),TRUE)</f>
        <v>0.46836465270902955</v>
      </c>
    </row>
    <row r="265" spans="1:24" ht="15.75" hidden="1" customHeight="1" x14ac:dyDescent="0.2">
      <c r="A265" s="63" t="s">
        <v>1069</v>
      </c>
      <c r="B265" s="63" t="s">
        <v>1077</v>
      </c>
      <c r="C265" s="63"/>
      <c r="E265" s="21" t="s">
        <v>2286</v>
      </c>
      <c r="F265" s="29" t="s">
        <v>2134</v>
      </c>
      <c r="G265" s="56" t="s">
        <v>2309</v>
      </c>
      <c r="H265" s="63" t="s">
        <v>1078</v>
      </c>
      <c r="I265" s="63" t="s">
        <v>1038</v>
      </c>
      <c r="J265" s="65">
        <v>5200</v>
      </c>
      <c r="K265" s="65">
        <v>1945</v>
      </c>
      <c r="L265" s="26">
        <f t="shared" si="16"/>
        <v>7145</v>
      </c>
      <c r="M265" s="26">
        <f t="array" ref="M265">MEDIAN(IF($F$3:$F$810=F265,$L$3:$L$810))</f>
        <v>7412.5</v>
      </c>
      <c r="N265" s="65">
        <v>7145</v>
      </c>
      <c r="O265" s="62">
        <v>0</v>
      </c>
      <c r="P265" s="76">
        <f>IF(N265&lt;INDEX(Sectorwise!E:E,MATCH(F265,Sectorwise!A:A,0)),1,0)</f>
        <v>0</v>
      </c>
      <c r="Q265" s="76">
        <f>IF(AND(N265&gt;=INDEX(Sectorwise!E:E,MATCH(F265,Sectorwise!A:A,0)),N265&lt;=INDEX(Sectorwise!F:F,MATCH(F265,Sectorwise!A:A,0))),1,0)</f>
        <v>1</v>
      </c>
      <c r="R265" s="76">
        <f>IF(N265&gt;INDEX(Sectorwise!F:F,MATCH(F265,Sectorwise!A:A,0)),1,0)</f>
        <v>0</v>
      </c>
      <c r="S265" s="27">
        <f t="shared" si="17"/>
        <v>0</v>
      </c>
      <c r="T265" s="27">
        <f t="shared" si="18"/>
        <v>7145</v>
      </c>
      <c r="U265" s="27">
        <f t="shared" si="19"/>
        <v>0</v>
      </c>
      <c r="V265" s="95">
        <f>IF(R265=1,(N265-INDEX(Sectorwise!F:F,MATCH(F265,Sectorwise!A:A,0))),0)</f>
        <v>0</v>
      </c>
      <c r="W265" s="97">
        <f>POISSON(N265,INDEX(Sectorwise!D:D,MATCH(Travel!F406,Sectorwise!A:A,0)),TRUE)</f>
        <v>1.3389977275274864E-181</v>
      </c>
    </row>
    <row r="266" spans="1:24" ht="15.75" hidden="1" customHeight="1" x14ac:dyDescent="0.2">
      <c r="A266" s="63" t="s">
        <v>1654</v>
      </c>
      <c r="B266" s="63" t="s">
        <v>1655</v>
      </c>
      <c r="C266" s="63"/>
      <c r="E266" s="21" t="s">
        <v>2286</v>
      </c>
      <c r="F266" s="29" t="s">
        <v>2134</v>
      </c>
      <c r="G266" s="56" t="s">
        <v>2309</v>
      </c>
      <c r="H266" s="63" t="s">
        <v>1656</v>
      </c>
      <c r="I266" s="63" t="s">
        <v>1647</v>
      </c>
      <c r="J266" s="65">
        <v>6100</v>
      </c>
      <c r="K266" s="65">
        <v>1896</v>
      </c>
      <c r="L266" s="26">
        <f t="shared" si="16"/>
        <v>7996</v>
      </c>
      <c r="M266" s="26">
        <f t="array" ref="M266">MEDIAN(IF($F$3:$F$810=F266,$L$3:$L$810))</f>
        <v>7412.5</v>
      </c>
      <c r="N266" s="65">
        <v>7996</v>
      </c>
      <c r="O266" s="62">
        <v>0</v>
      </c>
      <c r="P266" s="76">
        <f>IF(N266&lt;INDEX(Sectorwise!E:E,MATCH(F266,Sectorwise!A:A,0)),1,0)</f>
        <v>0</v>
      </c>
      <c r="Q266" s="76">
        <f>IF(AND(N266&gt;=INDEX(Sectorwise!E:E,MATCH(F266,Sectorwise!A:A,0)),N266&lt;=INDEX(Sectorwise!F:F,MATCH(F266,Sectorwise!A:A,0))),1,0)</f>
        <v>1</v>
      </c>
      <c r="R266" s="76">
        <f>IF(N266&gt;INDEX(Sectorwise!F:F,MATCH(F266,Sectorwise!A:A,0)),1,0)</f>
        <v>0</v>
      </c>
      <c r="S266" s="27">
        <f t="shared" si="17"/>
        <v>0</v>
      </c>
      <c r="T266" s="27">
        <f t="shared" si="18"/>
        <v>7996</v>
      </c>
      <c r="U266" s="27">
        <f t="shared" si="19"/>
        <v>0</v>
      </c>
      <c r="V266" s="95">
        <f>IF(R266=1,(N266-INDEX(Sectorwise!F:F,MATCH(F266,Sectorwise!A:A,0))),0)</f>
        <v>0</v>
      </c>
      <c r="W266" s="97">
        <f>POISSON(N266,INDEX(Sectorwise!D:D,MATCH(Travel!F630,Sectorwise!A:A,0)),TRUE)</f>
        <v>0.99999999998949174</v>
      </c>
    </row>
    <row r="267" spans="1:24" ht="15.75" hidden="1" customHeight="1" x14ac:dyDescent="0.2">
      <c r="A267" s="56" t="s">
        <v>831</v>
      </c>
      <c r="B267" s="56" t="s">
        <v>838</v>
      </c>
      <c r="C267" s="56"/>
      <c r="E267" s="21" t="s">
        <v>2286</v>
      </c>
      <c r="F267" s="21" t="s">
        <v>2142</v>
      </c>
      <c r="G267" s="33" t="s">
        <v>2321</v>
      </c>
      <c r="H267" s="56" t="s">
        <v>839</v>
      </c>
      <c r="I267" s="56" t="s">
        <v>811</v>
      </c>
      <c r="J267" s="57">
        <v>2931</v>
      </c>
      <c r="K267" s="57">
        <v>775</v>
      </c>
      <c r="L267" s="26">
        <f t="shared" si="16"/>
        <v>3706</v>
      </c>
      <c r="M267" s="26">
        <f t="array" ref="M267">MEDIAN(IF($F$3:$F$810=F267,$L$3:$L$810))</f>
        <v>5161</v>
      </c>
      <c r="N267" s="57">
        <v>3706</v>
      </c>
      <c r="O267" s="58">
        <v>0</v>
      </c>
      <c r="P267" s="76">
        <f>IF(N267&lt;INDEX(Sectorwise!E:E,MATCH(F267,Sectorwise!A:A,0)),1,0)</f>
        <v>1</v>
      </c>
      <c r="Q267" s="76">
        <f>IF(AND(N267&gt;=INDEX(Sectorwise!E:E,MATCH(F267,Sectorwise!A:A,0)),N267&lt;=INDEX(Sectorwise!F:F,MATCH(F267,Sectorwise!A:A,0))),1,0)</f>
        <v>0</v>
      </c>
      <c r="R267" s="76">
        <f>IF(N267&gt;INDEX(Sectorwise!F:F,MATCH(F267,Sectorwise!A:A,0)),1,0)</f>
        <v>0</v>
      </c>
      <c r="S267" s="27">
        <f t="shared" si="17"/>
        <v>3706</v>
      </c>
      <c r="T267" s="27">
        <f t="shared" si="18"/>
        <v>0</v>
      </c>
      <c r="U267" s="27">
        <f t="shared" si="19"/>
        <v>0</v>
      </c>
      <c r="V267" s="95">
        <f>IF(R267=1,(N267-INDEX(Sectorwise!F:F,MATCH(F267,Sectorwise!A:A,0))),0)</f>
        <v>0</v>
      </c>
      <c r="W267" s="97">
        <f>POISSON(N267,INDEX(Sectorwise!D:D,MATCH(Travel!F317,Sectorwise!A:A,0)),TRUE)</f>
        <v>0</v>
      </c>
    </row>
    <row r="268" spans="1:24" ht="15.75" hidden="1" customHeight="1" x14ac:dyDescent="0.2">
      <c r="A268" s="33" t="s">
        <v>384</v>
      </c>
      <c r="B268" s="33" t="s">
        <v>391</v>
      </c>
      <c r="C268" s="40"/>
      <c r="D268" s="35"/>
      <c r="E268" s="21" t="s">
        <v>2286</v>
      </c>
      <c r="F268" s="21" t="s">
        <v>2240</v>
      </c>
      <c r="G268" s="33" t="s">
        <v>2332</v>
      </c>
      <c r="H268" s="33" t="s">
        <v>392</v>
      </c>
      <c r="I268" s="33" t="s">
        <v>393</v>
      </c>
      <c r="J268" s="36">
        <v>512</v>
      </c>
      <c r="K268" s="36">
        <v>112</v>
      </c>
      <c r="L268" s="26">
        <f t="shared" si="16"/>
        <v>624</v>
      </c>
      <c r="M268" s="26">
        <f t="array" ref="M268">MEDIAN(IF($F$3:$F$810=F268,$L$3:$L$810))</f>
        <v>749</v>
      </c>
      <c r="N268" s="47">
        <f>+J268+K268</f>
        <v>624</v>
      </c>
      <c r="O268" s="27"/>
      <c r="P268" s="76">
        <f>IF(N268&lt;INDEX(Sectorwise!E:E,MATCH(F268,Sectorwise!A:A,0)),1,0)</f>
        <v>0</v>
      </c>
      <c r="Q268" s="76">
        <f>IF(AND(N268&gt;=INDEX(Sectorwise!E:E,MATCH(F268,Sectorwise!A:A,0)),N268&lt;=INDEX(Sectorwise!F:F,MATCH(F268,Sectorwise!A:A,0))),1,0)</f>
        <v>1</v>
      </c>
      <c r="R268" s="76">
        <f>IF(N268&gt;INDEX(Sectorwise!F:F,MATCH(F268,Sectorwise!A:A,0)),1,0)</f>
        <v>0</v>
      </c>
      <c r="S268" s="27">
        <f t="shared" si="17"/>
        <v>0</v>
      </c>
      <c r="T268" s="27">
        <f t="shared" si="18"/>
        <v>624</v>
      </c>
      <c r="U268" s="27">
        <f t="shared" si="19"/>
        <v>0</v>
      </c>
      <c r="V268" s="95">
        <f>IF(R268=1,(N268-INDEX(Sectorwise!F:F,MATCH(F268,Sectorwise!A:A,0))),0)</f>
        <v>0</v>
      </c>
      <c r="W268" s="97">
        <f>POISSON(N268,INDEX(Sectorwise!D:D,MATCH(Travel!F147,Sectorwise!A:A,0)),TRUE)</f>
        <v>0</v>
      </c>
    </row>
    <row r="269" spans="1:24" ht="15.75" hidden="1" customHeight="1" x14ac:dyDescent="0.2">
      <c r="A269" s="21" t="s">
        <v>32</v>
      </c>
      <c r="B269" s="21" t="s">
        <v>47</v>
      </c>
      <c r="C269" s="22"/>
      <c r="D269" s="23" t="s">
        <v>16</v>
      </c>
      <c r="E269" s="21" t="s">
        <v>2286</v>
      </c>
      <c r="F269" s="21" t="s">
        <v>2135</v>
      </c>
      <c r="G269" s="33" t="s">
        <v>2321</v>
      </c>
      <c r="H269" s="21" t="s">
        <v>48</v>
      </c>
      <c r="I269" s="21" t="s">
        <v>26</v>
      </c>
      <c r="J269" s="25">
        <v>5672</v>
      </c>
      <c r="K269" s="26">
        <v>1010</v>
      </c>
      <c r="L269" s="26">
        <f t="shared" si="16"/>
        <v>6682</v>
      </c>
      <c r="M269" s="26">
        <f t="array" ref="M269">MEDIAN(IF($F$3:$F$810=F269,$L$3:$L$810))</f>
        <v>7234</v>
      </c>
      <c r="N269" s="26">
        <v>6682</v>
      </c>
      <c r="O269" s="27"/>
      <c r="P269" s="76">
        <f>IF(N269&lt;INDEX(Sectorwise!E:E,MATCH(F269,Sectorwise!A:A,0)),1,0)</f>
        <v>0</v>
      </c>
      <c r="Q269" s="76">
        <f>IF(AND(N269&gt;=INDEX(Sectorwise!E:E,MATCH(F269,Sectorwise!A:A,0)),N269&lt;=INDEX(Sectorwise!F:F,MATCH(F269,Sectorwise!A:A,0))),1,0)</f>
        <v>1</v>
      </c>
      <c r="R269" s="76">
        <f>IF(N269&gt;INDEX(Sectorwise!F:F,MATCH(F269,Sectorwise!A:A,0)),1,0)</f>
        <v>0</v>
      </c>
      <c r="S269" s="27">
        <f t="shared" si="17"/>
        <v>0</v>
      </c>
      <c r="T269" s="27">
        <f t="shared" si="18"/>
        <v>6682</v>
      </c>
      <c r="U269" s="27">
        <f t="shared" si="19"/>
        <v>0</v>
      </c>
      <c r="V269" s="95">
        <f>IF(R269=1,(N269-INDEX(Sectorwise!F:F,MATCH(F269,Sectorwise!A:A,0))),0)</f>
        <v>0</v>
      </c>
      <c r="W269" s="97">
        <f>POISSON(N269,INDEX(Sectorwise!D:D,MATCH(Travel!F14,Sectorwise!A:A,0)),TRUE)</f>
        <v>3.2850303711372727E-18</v>
      </c>
      <c r="X269" s="28">
        <v>6682</v>
      </c>
    </row>
    <row r="270" spans="1:24" ht="15.75" hidden="1" customHeight="1" x14ac:dyDescent="0.2">
      <c r="A270" s="21" t="s">
        <v>190</v>
      </c>
      <c r="B270" s="21" t="s">
        <v>196</v>
      </c>
      <c r="C270" s="22"/>
      <c r="D270" s="32"/>
      <c r="E270" s="21" t="s">
        <v>2286</v>
      </c>
      <c r="F270" s="21" t="s">
        <v>2135</v>
      </c>
      <c r="G270" s="69" t="s">
        <v>2308</v>
      </c>
      <c r="H270" s="21" t="s">
        <v>197</v>
      </c>
      <c r="I270" s="21" t="s">
        <v>164</v>
      </c>
      <c r="J270" s="25">
        <v>5924</v>
      </c>
      <c r="K270" s="25">
        <v>1024</v>
      </c>
      <c r="L270" s="26">
        <f t="shared" si="16"/>
        <v>6948</v>
      </c>
      <c r="M270" s="26">
        <f t="array" ref="M270">MEDIAN(IF($F$3:$F$810=F270,$L$3:$L$810))</f>
        <v>7234</v>
      </c>
      <c r="N270" s="26">
        <v>6948</v>
      </c>
      <c r="O270" s="27"/>
      <c r="P270" s="76">
        <f>IF(N270&lt;INDEX(Sectorwise!E:E,MATCH(F270,Sectorwise!A:A,0)),1,0)</f>
        <v>0</v>
      </c>
      <c r="Q270" s="76">
        <f>IF(AND(N270&gt;=INDEX(Sectorwise!E:E,MATCH(F270,Sectorwise!A:A,0)),N270&lt;=INDEX(Sectorwise!F:F,MATCH(F270,Sectorwise!A:A,0))),1,0)</f>
        <v>1</v>
      </c>
      <c r="R270" s="76">
        <f>IF(N270&gt;INDEX(Sectorwise!F:F,MATCH(F270,Sectorwise!A:A,0)),1,0)</f>
        <v>0</v>
      </c>
      <c r="S270" s="27">
        <f t="shared" si="17"/>
        <v>0</v>
      </c>
      <c r="T270" s="27">
        <f t="shared" si="18"/>
        <v>6948</v>
      </c>
      <c r="U270" s="27">
        <f t="shared" si="19"/>
        <v>0</v>
      </c>
      <c r="V270" s="95">
        <f>IF(R270=1,(N270-INDEX(Sectorwise!F:F,MATCH(F270,Sectorwise!A:A,0))),0)</f>
        <v>0</v>
      </c>
      <c r="W270" s="97">
        <f>POISSON(N270,INDEX(Sectorwise!D:D,MATCH(Travel!F71,Sectorwise!A:A,0)),TRUE)</f>
        <v>1</v>
      </c>
      <c r="X270" s="28">
        <v>6948</v>
      </c>
    </row>
    <row r="271" spans="1:24" ht="15.75" hidden="1" customHeight="1" x14ac:dyDescent="0.2">
      <c r="A271" s="33" t="s">
        <v>342</v>
      </c>
      <c r="B271" s="33" t="s">
        <v>343</v>
      </c>
      <c r="C271" s="40"/>
      <c r="D271" s="35"/>
      <c r="E271" s="21" t="s">
        <v>2286</v>
      </c>
      <c r="F271" s="21" t="s">
        <v>2135</v>
      </c>
      <c r="G271" s="56" t="s">
        <v>2309</v>
      </c>
      <c r="H271" s="33" t="s">
        <v>344</v>
      </c>
      <c r="I271" s="33" t="s">
        <v>345</v>
      </c>
      <c r="J271" s="42">
        <v>4550</v>
      </c>
      <c r="K271" s="45">
        <v>3205</v>
      </c>
      <c r="L271" s="26">
        <f t="shared" si="16"/>
        <v>7755</v>
      </c>
      <c r="M271" s="26">
        <f t="array" ref="M271">MEDIAN(IF($F$3:$F$810=F271,$L$3:$L$810))</f>
        <v>7234</v>
      </c>
      <c r="N271" s="43">
        <f>+J271+K271</f>
        <v>7755</v>
      </c>
      <c r="O271" s="38"/>
      <c r="P271" s="76">
        <f>IF(N271&lt;INDEX(Sectorwise!E:E,MATCH(F271,Sectorwise!A:A,0)),1,0)</f>
        <v>0</v>
      </c>
      <c r="Q271" s="76">
        <f>IF(AND(N271&gt;=INDEX(Sectorwise!E:E,MATCH(F271,Sectorwise!A:A,0)),N271&lt;=INDEX(Sectorwise!F:F,MATCH(F271,Sectorwise!A:A,0))),1,0)</f>
        <v>1</v>
      </c>
      <c r="R271" s="76">
        <f>IF(N271&gt;INDEX(Sectorwise!F:F,MATCH(F271,Sectorwise!A:A,0)),1,0)</f>
        <v>0</v>
      </c>
      <c r="S271" s="27">
        <f t="shared" si="17"/>
        <v>0</v>
      </c>
      <c r="T271" s="27">
        <f t="shared" si="18"/>
        <v>7755</v>
      </c>
      <c r="U271" s="27">
        <f t="shared" si="19"/>
        <v>0</v>
      </c>
      <c r="V271" s="95">
        <f>IF(R271=1,(N271-INDEX(Sectorwise!F:F,MATCH(F271,Sectorwise!A:A,0))),0)</f>
        <v>0</v>
      </c>
      <c r="W271" s="97">
        <f>POISSON(N271,INDEX(Sectorwise!D:D,MATCH(Travel!F127,Sectorwise!A:A,0)),TRUE)</f>
        <v>0</v>
      </c>
      <c r="X271" s="44">
        <f>+N271-O271</f>
        <v>7755</v>
      </c>
    </row>
    <row r="272" spans="1:24" ht="15.75" hidden="1" customHeight="1" x14ac:dyDescent="0.2">
      <c r="A272" s="33" t="s">
        <v>358</v>
      </c>
      <c r="B272" s="33" t="s">
        <v>378</v>
      </c>
      <c r="C272" s="40"/>
      <c r="D272" s="35"/>
      <c r="E272" s="21" t="s">
        <v>2286</v>
      </c>
      <c r="F272" s="21" t="s">
        <v>2135</v>
      </c>
      <c r="G272" s="69" t="s">
        <v>2308</v>
      </c>
      <c r="H272" s="33" t="s">
        <v>380</v>
      </c>
      <c r="I272" s="33" t="s">
        <v>363</v>
      </c>
      <c r="J272" s="42">
        <v>5924</v>
      </c>
      <c r="K272" s="45">
        <v>1024</v>
      </c>
      <c r="L272" s="26">
        <f t="shared" si="16"/>
        <v>6948</v>
      </c>
      <c r="M272" s="26">
        <f t="array" ref="M272">MEDIAN(IF($F$3:$F$810=F272,$L$3:$L$810))</f>
        <v>7234</v>
      </c>
      <c r="N272" s="43">
        <f>+J272+K272</f>
        <v>6948</v>
      </c>
      <c r="O272" s="38"/>
      <c r="P272" s="76">
        <f>IF(N272&lt;INDEX(Sectorwise!E:E,MATCH(F272,Sectorwise!A:A,0)),1,0)</f>
        <v>0</v>
      </c>
      <c r="Q272" s="76">
        <f>IF(AND(N272&gt;=INDEX(Sectorwise!E:E,MATCH(F272,Sectorwise!A:A,0)),N272&lt;=INDEX(Sectorwise!F:F,MATCH(F272,Sectorwise!A:A,0))),1,0)</f>
        <v>1</v>
      </c>
      <c r="R272" s="76">
        <f>IF(N272&gt;INDEX(Sectorwise!F:F,MATCH(F272,Sectorwise!A:A,0)),1,0)</f>
        <v>0</v>
      </c>
      <c r="S272" s="27">
        <f t="shared" si="17"/>
        <v>0</v>
      </c>
      <c r="T272" s="27">
        <f t="shared" si="18"/>
        <v>6948</v>
      </c>
      <c r="U272" s="27">
        <f t="shared" si="19"/>
        <v>0</v>
      </c>
      <c r="V272" s="95">
        <f>IF(R272=1,(N272-INDEX(Sectorwise!F:F,MATCH(F272,Sectorwise!A:A,0))),0)</f>
        <v>0</v>
      </c>
      <c r="W272" s="97">
        <f>POISSON(N272,INDEX(Sectorwise!D:D,MATCH(Travel!F143,Sectorwise!A:A,0)),TRUE)</f>
        <v>3.6612336284772316E-4</v>
      </c>
      <c r="X272" s="44">
        <f>+N272-O272</f>
        <v>6948</v>
      </c>
    </row>
    <row r="273" spans="1:24" ht="15.75" hidden="1" customHeight="1" x14ac:dyDescent="0.2">
      <c r="A273" s="21" t="s">
        <v>498</v>
      </c>
      <c r="B273" s="21" t="s">
        <v>499</v>
      </c>
      <c r="C273" s="22"/>
      <c r="D273" s="32"/>
      <c r="E273" s="21" t="s">
        <v>2286</v>
      </c>
      <c r="F273" s="21" t="s">
        <v>2135</v>
      </c>
      <c r="G273" s="63" t="s">
        <v>2312</v>
      </c>
      <c r="H273" s="21" t="s">
        <v>500</v>
      </c>
      <c r="I273" s="21" t="s">
        <v>501</v>
      </c>
      <c r="J273" s="25">
        <v>1400</v>
      </c>
      <c r="K273" s="25">
        <v>3030</v>
      </c>
      <c r="L273" s="26">
        <f t="shared" si="16"/>
        <v>4430</v>
      </c>
      <c r="M273" s="26">
        <f t="array" ref="M273">MEDIAN(IF($F$3:$F$810=F273,$L$3:$L$810))</f>
        <v>7234</v>
      </c>
      <c r="N273" s="47">
        <f>J273+K273</f>
        <v>4430</v>
      </c>
      <c r="O273" s="27"/>
      <c r="P273" s="76">
        <f>IF(N273&lt;INDEX(Sectorwise!E:E,MATCH(F273,Sectorwise!A:A,0)),1,0)</f>
        <v>1</v>
      </c>
      <c r="Q273" s="76">
        <f>IF(AND(N273&gt;=INDEX(Sectorwise!E:E,MATCH(F273,Sectorwise!A:A,0)),N273&lt;=INDEX(Sectorwise!F:F,MATCH(F273,Sectorwise!A:A,0))),1,0)</f>
        <v>0</v>
      </c>
      <c r="R273" s="76">
        <f>IF(N273&gt;INDEX(Sectorwise!F:F,MATCH(F273,Sectorwise!A:A,0)),1,0)</f>
        <v>0</v>
      </c>
      <c r="S273" s="27">
        <f t="shared" si="17"/>
        <v>4430</v>
      </c>
      <c r="T273" s="27">
        <f t="shared" si="18"/>
        <v>0</v>
      </c>
      <c r="U273" s="27">
        <f t="shared" si="19"/>
        <v>0</v>
      </c>
      <c r="V273" s="95">
        <f>IF(R273=1,(N273-INDEX(Sectorwise!F:F,MATCH(F273,Sectorwise!A:A,0))),0)</f>
        <v>0</v>
      </c>
      <c r="W273" s="97">
        <f>POISSON(N273,INDEX(Sectorwise!D:D,MATCH(Travel!F184,Sectorwise!A:A,0)),TRUE)</f>
        <v>0</v>
      </c>
    </row>
    <row r="274" spans="1:24" ht="15.75" hidden="1" customHeight="1" x14ac:dyDescent="0.2">
      <c r="A274" s="53" t="s">
        <v>502</v>
      </c>
      <c r="B274" s="54" t="s">
        <v>503</v>
      </c>
      <c r="C274" s="22"/>
      <c r="D274" s="32"/>
      <c r="E274" s="21" t="s">
        <v>2286</v>
      </c>
      <c r="F274" s="21" t="s">
        <v>2135</v>
      </c>
      <c r="G274" s="69" t="s">
        <v>2308</v>
      </c>
      <c r="H274" s="21" t="s">
        <v>504</v>
      </c>
      <c r="I274" s="21" t="s">
        <v>502</v>
      </c>
      <c r="J274" s="25">
        <v>1400</v>
      </c>
      <c r="K274" s="25">
        <v>2649</v>
      </c>
      <c r="L274" s="26">
        <f t="shared" si="16"/>
        <v>4049</v>
      </c>
      <c r="M274" s="26">
        <f t="array" ref="M274">MEDIAN(IF($F$3:$F$810=F274,$L$3:$L$810))</f>
        <v>7234</v>
      </c>
      <c r="N274" s="47">
        <v>4049</v>
      </c>
      <c r="O274" s="27"/>
      <c r="P274" s="76">
        <f>IF(N274&lt;INDEX(Sectorwise!E:E,MATCH(F274,Sectorwise!A:A,0)),1,0)</f>
        <v>1</v>
      </c>
      <c r="Q274" s="76">
        <f>IF(AND(N274&gt;=INDEX(Sectorwise!E:E,MATCH(F274,Sectorwise!A:A,0)),N274&lt;=INDEX(Sectorwise!F:F,MATCH(F274,Sectorwise!A:A,0))),1,0)</f>
        <v>0</v>
      </c>
      <c r="R274" s="76">
        <f>IF(N274&gt;INDEX(Sectorwise!F:F,MATCH(F274,Sectorwise!A:A,0)),1,0)</f>
        <v>0</v>
      </c>
      <c r="S274" s="27">
        <f t="shared" si="17"/>
        <v>4049</v>
      </c>
      <c r="T274" s="27">
        <f t="shared" si="18"/>
        <v>0</v>
      </c>
      <c r="U274" s="27">
        <f t="shared" si="19"/>
        <v>0</v>
      </c>
      <c r="V274" s="95">
        <f>IF(R274=1,(N274-INDEX(Sectorwise!F:F,MATCH(F274,Sectorwise!A:A,0))),0)</f>
        <v>0</v>
      </c>
      <c r="W274" s="97">
        <f>POISSON(N274,INDEX(Sectorwise!D:D,MATCH(Travel!F185,Sectorwise!A:A,0)),TRUE)</f>
        <v>8.7417005074646749E-265</v>
      </c>
    </row>
    <row r="275" spans="1:24" ht="15.75" hidden="1" customHeight="1" x14ac:dyDescent="0.2">
      <c r="A275" s="21" t="s">
        <v>657</v>
      </c>
      <c r="B275" s="21" t="s">
        <v>665</v>
      </c>
      <c r="C275" s="22"/>
      <c r="E275" s="21" t="s">
        <v>2286</v>
      </c>
      <c r="F275" s="21" t="s">
        <v>2135</v>
      </c>
      <c r="G275" s="63" t="s">
        <v>2312</v>
      </c>
      <c r="H275" s="21" t="s">
        <v>666</v>
      </c>
      <c r="I275" s="21" t="s">
        <v>624</v>
      </c>
      <c r="J275" s="25">
        <v>532</v>
      </c>
      <c r="K275" s="25">
        <v>2457</v>
      </c>
      <c r="L275" s="26">
        <f t="shared" si="16"/>
        <v>2989</v>
      </c>
      <c r="M275" s="26">
        <f t="array" ref="M275">MEDIAN(IF($F$3:$F$810=F275,$L$3:$L$810))</f>
        <v>7234</v>
      </c>
      <c r="N275" s="47">
        <v>2989</v>
      </c>
      <c r="O275" s="55"/>
      <c r="P275" s="76">
        <f>IF(N275&lt;INDEX(Sectorwise!E:E,MATCH(F275,Sectorwise!A:A,0)),1,0)</f>
        <v>1</v>
      </c>
      <c r="Q275" s="76">
        <f>IF(AND(N275&gt;=INDEX(Sectorwise!E:E,MATCH(F275,Sectorwise!A:A,0)),N275&lt;=INDEX(Sectorwise!F:F,MATCH(F275,Sectorwise!A:A,0))),1,0)</f>
        <v>0</v>
      </c>
      <c r="R275" s="76">
        <f>IF(N275&gt;INDEX(Sectorwise!F:F,MATCH(F275,Sectorwise!A:A,0)),1,0)</f>
        <v>0</v>
      </c>
      <c r="S275" s="27">
        <f t="shared" si="17"/>
        <v>2989</v>
      </c>
      <c r="T275" s="27">
        <f t="shared" si="18"/>
        <v>0</v>
      </c>
      <c r="U275" s="27">
        <f t="shared" si="19"/>
        <v>0</v>
      </c>
      <c r="V275" s="95">
        <f>IF(R275=1,(N275-INDEX(Sectorwise!F:F,MATCH(F275,Sectorwise!A:A,0))),0)</f>
        <v>0</v>
      </c>
      <c r="W275" s="97">
        <f>POISSON(N275,INDEX(Sectorwise!D:D,MATCH(Travel!F252,Sectorwise!A:A,0)),TRUE)</f>
        <v>0</v>
      </c>
    </row>
    <row r="276" spans="1:24" ht="15.75" hidden="1" customHeight="1" x14ac:dyDescent="0.2">
      <c r="A276" s="21" t="s">
        <v>755</v>
      </c>
      <c r="B276" s="24" t="s">
        <v>759</v>
      </c>
      <c r="C276" s="22"/>
      <c r="D276" s="32"/>
      <c r="E276" s="21" t="s">
        <v>2286</v>
      </c>
      <c r="F276" s="21" t="s">
        <v>2135</v>
      </c>
      <c r="G276" s="69" t="s">
        <v>2308</v>
      </c>
      <c r="H276" s="21" t="s">
        <v>760</v>
      </c>
      <c r="I276" s="21" t="s">
        <v>761</v>
      </c>
      <c r="J276" s="25">
        <v>4003</v>
      </c>
      <c r="K276" s="25">
        <v>917</v>
      </c>
      <c r="L276" s="26">
        <f t="shared" si="16"/>
        <v>4920</v>
      </c>
      <c r="M276" s="26">
        <f t="array" ref="M276">MEDIAN(IF($F$3:$F$810=F276,$L$3:$L$810))</f>
        <v>7234</v>
      </c>
      <c r="N276" s="47">
        <v>4920</v>
      </c>
      <c r="O276" s="55"/>
      <c r="P276" s="76">
        <f>IF(N276&lt;INDEX(Sectorwise!E:E,MATCH(F276,Sectorwise!A:A,0)),1,0)</f>
        <v>1</v>
      </c>
      <c r="Q276" s="76">
        <f>IF(AND(N276&gt;=INDEX(Sectorwise!E:E,MATCH(F276,Sectorwise!A:A,0)),N276&lt;=INDEX(Sectorwise!F:F,MATCH(F276,Sectorwise!A:A,0))),1,0)</f>
        <v>0</v>
      </c>
      <c r="R276" s="76">
        <f>IF(N276&gt;INDEX(Sectorwise!F:F,MATCH(F276,Sectorwise!A:A,0)),1,0)</f>
        <v>0</v>
      </c>
      <c r="S276" s="27">
        <f t="shared" si="17"/>
        <v>4920</v>
      </c>
      <c r="T276" s="27">
        <f t="shared" si="18"/>
        <v>0</v>
      </c>
      <c r="U276" s="27">
        <f t="shared" si="19"/>
        <v>0</v>
      </c>
      <c r="V276" s="95">
        <f>IF(R276=1,(N276-INDEX(Sectorwise!F:F,MATCH(F276,Sectorwise!A:A,0))),0)</f>
        <v>0</v>
      </c>
      <c r="W276" s="97">
        <f>POISSON(N276,INDEX(Sectorwise!D:D,MATCH(Travel!F287,Sectorwise!A:A,0)),TRUE)</f>
        <v>0</v>
      </c>
    </row>
    <row r="277" spans="1:24" ht="15.75" hidden="1" customHeight="1" x14ac:dyDescent="0.2">
      <c r="A277" s="56" t="s">
        <v>826</v>
      </c>
      <c r="B277" s="56" t="s">
        <v>829</v>
      </c>
      <c r="C277" s="56"/>
      <c r="E277" s="21" t="s">
        <v>2286</v>
      </c>
      <c r="F277" s="21" t="s">
        <v>2135</v>
      </c>
      <c r="G277" s="56" t="s">
        <v>2309</v>
      </c>
      <c r="H277" s="56" t="s">
        <v>830</v>
      </c>
      <c r="I277" s="56" t="s">
        <v>806</v>
      </c>
      <c r="J277" s="57">
        <v>3835</v>
      </c>
      <c r="K277" s="57">
        <v>1854</v>
      </c>
      <c r="L277" s="26">
        <f t="shared" si="16"/>
        <v>5689</v>
      </c>
      <c r="M277" s="26">
        <f t="array" ref="M277">MEDIAN(IF($F$3:$F$810=F277,$L$3:$L$810))</f>
        <v>7234</v>
      </c>
      <c r="N277" s="57">
        <v>5689</v>
      </c>
      <c r="O277" s="58">
        <v>0</v>
      </c>
      <c r="P277" s="76">
        <f>IF(N277&lt;INDEX(Sectorwise!E:E,MATCH(F277,Sectorwise!A:A,0)),1,0)</f>
        <v>1</v>
      </c>
      <c r="Q277" s="76">
        <f>IF(AND(N277&gt;=INDEX(Sectorwise!E:E,MATCH(F277,Sectorwise!A:A,0)),N277&lt;=INDEX(Sectorwise!F:F,MATCH(F277,Sectorwise!A:A,0))),1,0)</f>
        <v>0</v>
      </c>
      <c r="R277" s="76">
        <f>IF(N277&gt;INDEX(Sectorwise!F:F,MATCH(F277,Sectorwise!A:A,0)),1,0)</f>
        <v>0</v>
      </c>
      <c r="S277" s="27">
        <f t="shared" si="17"/>
        <v>5689</v>
      </c>
      <c r="T277" s="27">
        <f t="shared" si="18"/>
        <v>0</v>
      </c>
      <c r="U277" s="27">
        <f t="shared" si="19"/>
        <v>0</v>
      </c>
      <c r="V277" s="95">
        <f>IF(R277=1,(N277-INDEX(Sectorwise!F:F,MATCH(F277,Sectorwise!A:A,0))),0)</f>
        <v>0</v>
      </c>
      <c r="W277" s="97">
        <f>POISSON(N277,INDEX(Sectorwise!D:D,MATCH(Travel!F313,Sectorwise!A:A,0)),TRUE)</f>
        <v>1.0297173737772273E-79</v>
      </c>
    </row>
    <row r="278" spans="1:24" ht="15.75" hidden="1" customHeight="1" x14ac:dyDescent="0.2">
      <c r="A278" s="60" t="s">
        <v>941</v>
      </c>
      <c r="B278" s="60" t="s">
        <v>945</v>
      </c>
      <c r="C278" s="60"/>
      <c r="E278" s="21" t="s">
        <v>2286</v>
      </c>
      <c r="F278" s="21" t="s">
        <v>2135</v>
      </c>
      <c r="G278" s="63" t="s">
        <v>2312</v>
      </c>
      <c r="H278" s="60" t="s">
        <v>946</v>
      </c>
      <c r="I278" s="60" t="s">
        <v>947</v>
      </c>
      <c r="J278" s="61">
        <v>4700</v>
      </c>
      <c r="K278" s="61">
        <v>3337</v>
      </c>
      <c r="L278" s="26">
        <f t="shared" si="16"/>
        <v>8037</v>
      </c>
      <c r="M278" s="26">
        <f t="array" ref="M278">MEDIAN(IF($F$3:$F$810=F278,$L$3:$L$810))</f>
        <v>7234</v>
      </c>
      <c r="N278" s="61">
        <v>8037</v>
      </c>
      <c r="O278" s="62">
        <v>0</v>
      </c>
      <c r="P278" s="76">
        <f>IF(N278&lt;INDEX(Sectorwise!E:E,MATCH(F278,Sectorwise!A:A,0)),1,0)</f>
        <v>0</v>
      </c>
      <c r="Q278" s="76">
        <f>IF(AND(N278&gt;=INDEX(Sectorwise!E:E,MATCH(F278,Sectorwise!A:A,0)),N278&lt;=INDEX(Sectorwise!F:F,MATCH(F278,Sectorwise!A:A,0))),1,0)</f>
        <v>0</v>
      </c>
      <c r="R278" s="76">
        <f>IF(N278&gt;INDEX(Sectorwise!F:F,MATCH(F278,Sectorwise!A:A,0)),1,0)</f>
        <v>1</v>
      </c>
      <c r="S278" s="27">
        <f t="shared" si="17"/>
        <v>0</v>
      </c>
      <c r="T278" s="27">
        <f t="shared" si="18"/>
        <v>0</v>
      </c>
      <c r="U278" s="27">
        <f t="shared" si="19"/>
        <v>8037</v>
      </c>
      <c r="V278" s="95">
        <f>IF(R278=1,(N278-INDEX(Sectorwise!F:F,MATCH(F278,Sectorwise!A:A,0))),0)</f>
        <v>37</v>
      </c>
      <c r="W278" s="97">
        <f>POISSON(N278,INDEX(Sectorwise!D:D,MATCH(Travel!F353,Sectorwise!A:A,0)),TRUE)</f>
        <v>0</v>
      </c>
    </row>
    <row r="279" spans="1:24" ht="15.75" hidden="1" customHeight="1" x14ac:dyDescent="0.2">
      <c r="A279" s="63" t="s">
        <v>1613</v>
      </c>
      <c r="B279" s="63" t="s">
        <v>1616</v>
      </c>
      <c r="C279" s="63"/>
      <c r="E279" s="21" t="s">
        <v>2286</v>
      </c>
      <c r="F279" s="21" t="s">
        <v>2135</v>
      </c>
      <c r="G279" s="63" t="s">
        <v>2312</v>
      </c>
      <c r="H279" s="63" t="s">
        <v>1617</v>
      </c>
      <c r="I279" s="63" t="s">
        <v>1483</v>
      </c>
      <c r="J279" s="65">
        <v>4620</v>
      </c>
      <c r="K279" s="65">
        <v>3208</v>
      </c>
      <c r="L279" s="26">
        <f t="shared" si="16"/>
        <v>7828</v>
      </c>
      <c r="M279" s="26">
        <f t="array" ref="M279">MEDIAN(IF($F$3:$F$810=F279,$L$3:$L$810))</f>
        <v>7234</v>
      </c>
      <c r="N279" s="65">
        <v>7828</v>
      </c>
      <c r="O279" s="62">
        <v>0</v>
      </c>
      <c r="P279" s="76">
        <f>IF(N279&lt;INDEX(Sectorwise!E:E,MATCH(F279,Sectorwise!A:A,0)),1,0)</f>
        <v>0</v>
      </c>
      <c r="Q279" s="76">
        <f>IF(AND(N279&gt;=INDEX(Sectorwise!E:E,MATCH(F279,Sectorwise!A:A,0)),N279&lt;=INDEX(Sectorwise!F:F,MATCH(F279,Sectorwise!A:A,0))),1,0)</f>
        <v>1</v>
      </c>
      <c r="R279" s="76">
        <f>IF(N279&gt;INDEX(Sectorwise!F:F,MATCH(F279,Sectorwise!A:A,0)),1,0)</f>
        <v>0</v>
      </c>
      <c r="S279" s="27">
        <f t="shared" si="17"/>
        <v>0</v>
      </c>
      <c r="T279" s="27">
        <f t="shared" si="18"/>
        <v>7828</v>
      </c>
      <c r="U279" s="27">
        <f t="shared" si="19"/>
        <v>0</v>
      </c>
      <c r="V279" s="95">
        <f>IF(R279=1,(N279-INDEX(Sectorwise!F:F,MATCH(F279,Sectorwise!A:A,0))),0)</f>
        <v>0</v>
      </c>
      <c r="W279" s="97">
        <f>POISSON(N279,INDEX(Sectorwise!D:D,MATCH(Travel!F617,Sectorwise!A:A,0)),TRUE)</f>
        <v>0.99999916430914437</v>
      </c>
    </row>
    <row r="280" spans="1:24" ht="15.75" hidden="1" customHeight="1" x14ac:dyDescent="0.2">
      <c r="A280" s="29" t="s">
        <v>2046</v>
      </c>
      <c r="B280" s="29" t="s">
        <v>2047</v>
      </c>
      <c r="C280" s="29"/>
      <c r="E280" s="21" t="s">
        <v>2286</v>
      </c>
      <c r="F280" s="21" t="s">
        <v>2135</v>
      </c>
      <c r="G280" s="69" t="s">
        <v>2308</v>
      </c>
      <c r="H280" s="29" t="s">
        <v>2048</v>
      </c>
      <c r="I280" s="29" t="s">
        <v>2049</v>
      </c>
      <c r="J280" s="65">
        <v>4273</v>
      </c>
      <c r="K280" s="65">
        <v>933</v>
      </c>
      <c r="L280" s="26">
        <f t="shared" si="16"/>
        <v>5206</v>
      </c>
      <c r="M280" s="26">
        <f t="array" ref="M280">MEDIAN(IF($F$3:$F$810=F280,$L$3:$L$810))</f>
        <v>7234</v>
      </c>
      <c r="N280" s="65">
        <v>5206</v>
      </c>
      <c r="O280" s="65" t="e">
        <f>N280-#REF!</f>
        <v>#REF!</v>
      </c>
      <c r="P280" s="76">
        <f>IF(N280&lt;INDEX(Sectorwise!E:E,MATCH(F280,Sectorwise!A:A,0)),1,0)</f>
        <v>1</v>
      </c>
      <c r="Q280" s="76">
        <f>IF(AND(N280&gt;=INDEX(Sectorwise!E:E,MATCH(F280,Sectorwise!A:A,0)),N280&lt;=INDEX(Sectorwise!F:F,MATCH(F280,Sectorwise!A:A,0))),1,0)</f>
        <v>0</v>
      </c>
      <c r="R280" s="76">
        <f>IF(N280&gt;INDEX(Sectorwise!F:F,MATCH(F280,Sectorwise!A:A,0)),1,0)</f>
        <v>0</v>
      </c>
      <c r="S280" s="27">
        <f t="shared" si="17"/>
        <v>5206</v>
      </c>
      <c r="T280" s="27">
        <f t="shared" si="18"/>
        <v>0</v>
      </c>
      <c r="U280" s="27">
        <f t="shared" si="19"/>
        <v>0</v>
      </c>
      <c r="V280" s="95">
        <f>IF(R280=1,(N280-INDEX(Sectorwise!F:F,MATCH(F280,Sectorwise!A:A,0))),0)</f>
        <v>0</v>
      </c>
      <c r="W280" s="97">
        <f>POISSON(N280,INDEX(Sectorwise!D:D,MATCH(Travel!F780,Sectorwise!A:A,0)),TRUE)</f>
        <v>0</v>
      </c>
    </row>
    <row r="281" spans="1:24" ht="15.75" hidden="1" customHeight="1" x14ac:dyDescent="0.2">
      <c r="A281" s="21" t="s">
        <v>108</v>
      </c>
      <c r="B281" s="21" t="s">
        <v>115</v>
      </c>
      <c r="C281" s="22"/>
      <c r="D281" s="23" t="s">
        <v>16</v>
      </c>
      <c r="E281" s="21" t="s">
        <v>2286</v>
      </c>
      <c r="F281" s="21" t="s">
        <v>2151</v>
      </c>
      <c r="G281" s="63" t="s">
        <v>2312</v>
      </c>
      <c r="H281" s="21" t="s">
        <v>117</v>
      </c>
      <c r="I281" s="21" t="s">
        <v>46</v>
      </c>
      <c r="J281" s="25">
        <v>5060</v>
      </c>
      <c r="K281" s="26">
        <v>4538</v>
      </c>
      <c r="L281" s="26">
        <f t="shared" si="16"/>
        <v>9598</v>
      </c>
      <c r="M281" s="26">
        <f t="array" ref="M281">MEDIAN(IF($F$3:$F$810=F281,$L$3:$L$810))</f>
        <v>10079</v>
      </c>
      <c r="N281" s="26">
        <v>9598</v>
      </c>
      <c r="O281" s="27"/>
      <c r="P281" s="76">
        <f>IF(N281&lt;INDEX(Sectorwise!E:E,MATCH(F281,Sectorwise!A:A,0)),1,0)</f>
        <v>0</v>
      </c>
      <c r="Q281" s="76">
        <f>IF(AND(N281&gt;=INDEX(Sectorwise!E:E,MATCH(F281,Sectorwise!A:A,0)),N281&lt;=INDEX(Sectorwise!F:F,MATCH(F281,Sectorwise!A:A,0))),1,0)</f>
        <v>1</v>
      </c>
      <c r="R281" s="76">
        <f>IF(N281&gt;INDEX(Sectorwise!F:F,MATCH(F281,Sectorwise!A:A,0)),1,0)</f>
        <v>0</v>
      </c>
      <c r="S281" s="27">
        <f t="shared" si="17"/>
        <v>0</v>
      </c>
      <c r="T281" s="27">
        <f t="shared" si="18"/>
        <v>9598</v>
      </c>
      <c r="U281" s="27">
        <f t="shared" si="19"/>
        <v>0</v>
      </c>
      <c r="V281" s="95">
        <f>IF(R281=1,(N281-INDEX(Sectorwise!F:F,MATCH(F281,Sectorwise!A:A,0))),0)</f>
        <v>0</v>
      </c>
      <c r="W281" s="97">
        <f>POISSON(N281,INDEX(Sectorwise!D:D,MATCH(Travel!F39,Sectorwise!A:A,0)),TRUE)</f>
        <v>1</v>
      </c>
      <c r="X281" s="28">
        <v>9598</v>
      </c>
    </row>
    <row r="282" spans="1:24" ht="15.75" hidden="1" customHeight="1" x14ac:dyDescent="0.2">
      <c r="A282" s="33" t="s">
        <v>384</v>
      </c>
      <c r="B282" s="33" t="s">
        <v>391</v>
      </c>
      <c r="C282" s="40"/>
      <c r="D282" s="35"/>
      <c r="E282" s="21" t="s">
        <v>2286</v>
      </c>
      <c r="F282" s="21" t="s">
        <v>2241</v>
      </c>
      <c r="G282" s="33" t="s">
        <v>2332</v>
      </c>
      <c r="H282" s="33" t="s">
        <v>394</v>
      </c>
      <c r="I282" s="33" t="s">
        <v>352</v>
      </c>
      <c r="J282" s="36">
        <v>1393</v>
      </c>
      <c r="K282" s="36">
        <v>112</v>
      </c>
      <c r="L282" s="26">
        <f t="shared" si="16"/>
        <v>1505</v>
      </c>
      <c r="M282" s="26">
        <f t="array" ref="M282">MEDIAN(IF($F$3:$F$810=F282,$L$3:$L$810))</f>
        <v>824</v>
      </c>
      <c r="N282" s="47">
        <f>+J282+K282</f>
        <v>1505</v>
      </c>
      <c r="O282" s="27"/>
      <c r="P282" s="76">
        <f>IF(N282&lt;INDEX(Sectorwise!E:E,MATCH(F282,Sectorwise!A:A,0)),1,0)</f>
        <v>0</v>
      </c>
      <c r="Q282" s="76">
        <f>IF(AND(N282&gt;=INDEX(Sectorwise!E:E,MATCH(F282,Sectorwise!A:A,0)),N282&lt;=INDEX(Sectorwise!F:F,MATCH(F282,Sectorwise!A:A,0))),1,0)</f>
        <v>0</v>
      </c>
      <c r="R282" s="76">
        <f>IF(N282&gt;INDEX(Sectorwise!F:F,MATCH(F282,Sectorwise!A:A,0)),1,0)</f>
        <v>1</v>
      </c>
      <c r="S282" s="27">
        <f t="shared" si="17"/>
        <v>0</v>
      </c>
      <c r="T282" s="27">
        <f t="shared" si="18"/>
        <v>0</v>
      </c>
      <c r="U282" s="27">
        <f t="shared" si="19"/>
        <v>1505</v>
      </c>
      <c r="V282" s="95">
        <f>IF(R282=1,(N282-INDEX(Sectorwise!F:F,MATCH(F282,Sectorwise!A:A,0))),0)</f>
        <v>505</v>
      </c>
      <c r="W282" s="97">
        <f>POISSON(N282,INDEX(Sectorwise!D:D,MATCH(Travel!F148,Sectorwise!A:A,0)),TRUE)</f>
        <v>0</v>
      </c>
    </row>
    <row r="283" spans="1:24" ht="15.75" hidden="1" customHeight="1" x14ac:dyDescent="0.2">
      <c r="A283" s="21" t="s">
        <v>108</v>
      </c>
      <c r="B283" s="21" t="s">
        <v>118</v>
      </c>
      <c r="C283" s="22"/>
      <c r="D283" s="23" t="s">
        <v>16</v>
      </c>
      <c r="E283" s="21" t="s">
        <v>2286</v>
      </c>
      <c r="F283" s="21" t="s">
        <v>2174</v>
      </c>
      <c r="G283" s="69" t="s">
        <v>2308</v>
      </c>
      <c r="H283" s="21" t="s">
        <v>119</v>
      </c>
      <c r="I283" s="21" t="s">
        <v>120</v>
      </c>
      <c r="J283" s="25">
        <v>8306</v>
      </c>
      <c r="K283" s="26">
        <v>1398</v>
      </c>
      <c r="L283" s="26">
        <f t="shared" si="16"/>
        <v>9704</v>
      </c>
      <c r="M283" s="26">
        <f t="array" ref="M283">MEDIAN(IF($F$3:$F$810=F283,$L$3:$L$810))</f>
        <v>9704</v>
      </c>
      <c r="N283" s="26">
        <v>9704</v>
      </c>
      <c r="O283" s="27"/>
      <c r="P283" s="76">
        <f>IF(N283&lt;INDEX(Sectorwise!E:E,MATCH(F283,Sectorwise!A:A,0)),1,0)</f>
        <v>0</v>
      </c>
      <c r="Q283" s="76">
        <f>IF(AND(N283&gt;=INDEX(Sectorwise!E:E,MATCH(F283,Sectorwise!A:A,0)),N283&lt;=INDEX(Sectorwise!F:F,MATCH(F283,Sectorwise!A:A,0))),1,0)</f>
        <v>1</v>
      </c>
      <c r="R283" s="76">
        <f>IF(N283&gt;INDEX(Sectorwise!F:F,MATCH(F283,Sectorwise!A:A,0)),1,0)</f>
        <v>0</v>
      </c>
      <c r="S283" s="27">
        <f t="shared" si="17"/>
        <v>0</v>
      </c>
      <c r="T283" s="27">
        <f t="shared" si="18"/>
        <v>9704</v>
      </c>
      <c r="U283" s="27">
        <f t="shared" si="19"/>
        <v>0</v>
      </c>
      <c r="V283" s="95">
        <f>IF(R283=1,(N283-INDEX(Sectorwise!F:F,MATCH(F283,Sectorwise!A:A,0))),0)</f>
        <v>0</v>
      </c>
      <c r="W283" s="97">
        <f>POISSON(N283,INDEX(Sectorwise!D:D,MATCH(Travel!F40,Sectorwise!A:A,0)),TRUE)</f>
        <v>1</v>
      </c>
      <c r="X283" s="28">
        <v>9704</v>
      </c>
    </row>
    <row r="284" spans="1:24" ht="15.75" hidden="1" customHeight="1" x14ac:dyDescent="0.2">
      <c r="A284" s="56" t="s">
        <v>842</v>
      </c>
      <c r="B284" s="56" t="s">
        <v>854</v>
      </c>
      <c r="C284" s="56"/>
      <c r="E284" s="21" t="s">
        <v>2286</v>
      </c>
      <c r="F284" s="21" t="s">
        <v>2152</v>
      </c>
      <c r="G284" s="69" t="s">
        <v>2308</v>
      </c>
      <c r="H284" s="56" t="s">
        <v>855</v>
      </c>
      <c r="I284" s="56" t="s">
        <v>856</v>
      </c>
      <c r="J284" s="57">
        <v>3017</v>
      </c>
      <c r="K284" s="57">
        <v>1003</v>
      </c>
      <c r="L284" s="26">
        <f t="shared" si="16"/>
        <v>4020</v>
      </c>
      <c r="M284" s="26">
        <f t="array" ref="M284">MEDIAN(IF($F$3:$F$810=F284,$L$3:$L$810))</f>
        <v>5438</v>
      </c>
      <c r="N284" s="57">
        <v>4020</v>
      </c>
      <c r="O284" s="58">
        <v>0</v>
      </c>
      <c r="P284" s="76">
        <f>IF(N284&lt;INDEX(Sectorwise!E:E,MATCH(F284,Sectorwise!A:A,0)),1,0)</f>
        <v>1</v>
      </c>
      <c r="Q284" s="76">
        <f>IF(AND(N284&gt;=INDEX(Sectorwise!E:E,MATCH(F284,Sectorwise!A:A,0)),N284&lt;=INDEX(Sectorwise!F:F,MATCH(F284,Sectorwise!A:A,0))),1,0)</f>
        <v>0</v>
      </c>
      <c r="R284" s="76">
        <f>IF(N284&gt;INDEX(Sectorwise!F:F,MATCH(F284,Sectorwise!A:A,0)),1,0)</f>
        <v>0</v>
      </c>
      <c r="S284" s="27">
        <f t="shared" si="17"/>
        <v>4020</v>
      </c>
      <c r="T284" s="27">
        <f t="shared" si="18"/>
        <v>0</v>
      </c>
      <c r="U284" s="27">
        <f t="shared" si="19"/>
        <v>0</v>
      </c>
      <c r="V284" s="95">
        <f>IF(R284=1,(N284-INDEX(Sectorwise!F:F,MATCH(F284,Sectorwise!A:A,0))),0)</f>
        <v>0</v>
      </c>
      <c r="W284" s="97">
        <f>POISSON(N284,INDEX(Sectorwise!D:D,MATCH(Travel!F323,Sectorwise!A:A,0)),TRUE)</f>
        <v>0</v>
      </c>
    </row>
    <row r="285" spans="1:24" ht="15.75" hidden="1" customHeight="1" x14ac:dyDescent="0.2">
      <c r="A285" s="29" t="s">
        <v>2046</v>
      </c>
      <c r="B285" s="29" t="s">
        <v>2050</v>
      </c>
      <c r="C285" s="29"/>
      <c r="E285" s="21" t="s">
        <v>2286</v>
      </c>
      <c r="F285" s="29" t="s">
        <v>2228</v>
      </c>
      <c r="G285" s="69" t="s">
        <v>2308</v>
      </c>
      <c r="H285" s="29" t="s">
        <v>2051</v>
      </c>
      <c r="I285" s="29" t="s">
        <v>2052</v>
      </c>
      <c r="J285" s="65">
        <v>7333</v>
      </c>
      <c r="K285" s="65">
        <v>868</v>
      </c>
      <c r="L285" s="26">
        <f t="shared" si="16"/>
        <v>8201</v>
      </c>
      <c r="M285" s="26">
        <f t="array" ref="M285">MEDIAN(IF($F$3:$F$810=F285,$L$3:$L$810))</f>
        <v>8201</v>
      </c>
      <c r="N285" s="65">
        <v>8201</v>
      </c>
      <c r="O285" s="65" t="e">
        <f>N285-#REF!</f>
        <v>#REF!</v>
      </c>
      <c r="P285" s="76">
        <f>IF(N285&lt;INDEX(Sectorwise!E:E,MATCH(F285,Sectorwise!A:A,0)),1,0)</f>
        <v>0</v>
      </c>
      <c r="Q285" s="76">
        <f>IF(AND(N285&gt;=INDEX(Sectorwise!E:E,MATCH(F285,Sectorwise!A:A,0)),N285&lt;=INDEX(Sectorwise!F:F,MATCH(F285,Sectorwise!A:A,0))),1,0)</f>
        <v>1</v>
      </c>
      <c r="R285" s="76">
        <f>IF(N285&gt;INDEX(Sectorwise!F:F,MATCH(F285,Sectorwise!A:A,0)),1,0)</f>
        <v>0</v>
      </c>
      <c r="S285" s="27">
        <f t="shared" si="17"/>
        <v>0</v>
      </c>
      <c r="T285" s="27">
        <f t="shared" si="18"/>
        <v>8201</v>
      </c>
      <c r="U285" s="27">
        <f t="shared" si="19"/>
        <v>0</v>
      </c>
      <c r="V285" s="95">
        <f>IF(R285=1,(N285-INDEX(Sectorwise!F:F,MATCH(F285,Sectorwise!A:A,0))),0)</f>
        <v>0</v>
      </c>
      <c r="W285" s="97">
        <f>POISSON(N285,INDEX(Sectorwise!D:D,MATCH(Travel!F781,Sectorwise!A:A,0)),TRUE)</f>
        <v>1</v>
      </c>
    </row>
    <row r="286" spans="1:24" ht="15.75" hidden="1" customHeight="1" x14ac:dyDescent="0.2">
      <c r="A286" s="33" t="s">
        <v>395</v>
      </c>
      <c r="B286" s="33" t="s">
        <v>401</v>
      </c>
      <c r="C286" s="40"/>
      <c r="D286" s="35"/>
      <c r="E286" s="33" t="s">
        <v>2295</v>
      </c>
      <c r="F286" s="29" t="s">
        <v>2134</v>
      </c>
      <c r="G286" s="63" t="s">
        <v>2312</v>
      </c>
      <c r="H286" s="33" t="s">
        <v>403</v>
      </c>
      <c r="I286" s="33" t="s">
        <v>398</v>
      </c>
      <c r="J286" s="36">
        <v>4400</v>
      </c>
      <c r="K286" s="36">
        <v>3113</v>
      </c>
      <c r="L286" s="26">
        <f t="shared" si="16"/>
        <v>7513</v>
      </c>
      <c r="M286" s="26">
        <f t="array" ref="M286">MEDIAN(IF($F$3:$F$810=F286,$L$3:$L$810))</f>
        <v>7412.5</v>
      </c>
      <c r="N286" s="47">
        <f>+J286+K286</f>
        <v>7513</v>
      </c>
      <c r="O286" s="27"/>
      <c r="P286" s="76">
        <f>IF(N286&lt;INDEX(Sectorwise!E:E,MATCH(F286,Sectorwise!A:A,0)),1,0)</f>
        <v>0</v>
      </c>
      <c r="Q286" s="76">
        <f>IF(AND(N286&gt;=INDEX(Sectorwise!E:E,MATCH(F286,Sectorwise!A:A,0)),N286&lt;=INDEX(Sectorwise!F:F,MATCH(F286,Sectorwise!A:A,0))),1,0)</f>
        <v>1</v>
      </c>
      <c r="R286" s="76">
        <f>IF(N286&gt;INDEX(Sectorwise!F:F,MATCH(F286,Sectorwise!A:A,0)),1,0)</f>
        <v>0</v>
      </c>
      <c r="S286" s="27">
        <f t="shared" si="17"/>
        <v>0</v>
      </c>
      <c r="T286" s="27">
        <f t="shared" si="18"/>
        <v>7513</v>
      </c>
      <c r="U286" s="27">
        <f t="shared" si="19"/>
        <v>0</v>
      </c>
      <c r="V286" s="95">
        <f>IF(R286=1,(N286-INDEX(Sectorwise!F:F,MATCH(F286,Sectorwise!A:A,0))),0)</f>
        <v>0</v>
      </c>
      <c r="W286" s="97">
        <f>POISSON(N286,INDEX(Sectorwise!D:D,MATCH(Travel!F152,Sectorwise!A:A,0)),TRUE)</f>
        <v>0.99945712354500604</v>
      </c>
    </row>
    <row r="287" spans="1:24" ht="15.75" hidden="1" customHeight="1" x14ac:dyDescent="0.2">
      <c r="A287" s="63" t="s">
        <v>1791</v>
      </c>
      <c r="B287" s="63" t="s">
        <v>1792</v>
      </c>
      <c r="C287" s="63" t="s">
        <v>1793</v>
      </c>
      <c r="E287" s="33" t="s">
        <v>2295</v>
      </c>
      <c r="F287" s="21" t="s">
        <v>2136</v>
      </c>
      <c r="G287" s="56" t="s">
        <v>2309</v>
      </c>
      <c r="H287" s="63" t="s">
        <v>1794</v>
      </c>
      <c r="I287" s="63" t="s">
        <v>1795</v>
      </c>
      <c r="J287" s="65">
        <v>10640</v>
      </c>
      <c r="K287" s="65">
        <v>3661</v>
      </c>
      <c r="L287" s="26">
        <f t="shared" si="16"/>
        <v>14301</v>
      </c>
      <c r="M287" s="26">
        <f t="array" ref="M287">MEDIAN(IF($F$3:$F$810=F287,$L$3:$L$810))</f>
        <v>14406</v>
      </c>
      <c r="N287" s="65">
        <v>14301</v>
      </c>
      <c r="O287" s="62">
        <v>11051</v>
      </c>
      <c r="P287" s="76">
        <f>IF(N287&lt;INDEX(Sectorwise!E:E,MATCH(F287,Sectorwise!A:A,0)),1,0)</f>
        <v>0</v>
      </c>
      <c r="Q287" s="76">
        <f>IF(AND(N287&gt;=INDEX(Sectorwise!E:E,MATCH(F287,Sectorwise!A:A,0)),N287&lt;=INDEX(Sectorwise!F:F,MATCH(F287,Sectorwise!A:A,0))),1,0)</f>
        <v>1</v>
      </c>
      <c r="R287" s="76">
        <f>IF(N287&gt;INDEX(Sectorwise!F:F,MATCH(F287,Sectorwise!A:A,0)),1,0)</f>
        <v>0</v>
      </c>
      <c r="S287" s="27">
        <f t="shared" si="17"/>
        <v>0</v>
      </c>
      <c r="T287" s="27">
        <f t="shared" si="18"/>
        <v>14301</v>
      </c>
      <c r="U287" s="27">
        <f t="shared" si="19"/>
        <v>0</v>
      </c>
      <c r="V287" s="95">
        <f>IF(R287=1,(N287-INDEX(Sectorwise!F:F,MATCH(F287,Sectorwise!A:A,0))),0)</f>
        <v>0</v>
      </c>
      <c r="W287" s="97">
        <f>POISSON(N287,INDEX(Sectorwise!D:D,MATCH(Travel!F680,Sectorwise!A:A,0)),TRUE)</f>
        <v>1</v>
      </c>
    </row>
    <row r="288" spans="1:24" ht="15.75" hidden="1" customHeight="1" x14ac:dyDescent="0.2">
      <c r="A288" s="63" t="s">
        <v>1837</v>
      </c>
      <c r="B288" s="63" t="s">
        <v>1840</v>
      </c>
      <c r="C288" s="63"/>
      <c r="E288" s="33" t="s">
        <v>2295</v>
      </c>
      <c r="F288" s="21" t="s">
        <v>2136</v>
      </c>
      <c r="G288" s="56" t="s">
        <v>2309</v>
      </c>
      <c r="H288" s="63" t="s">
        <v>1841</v>
      </c>
      <c r="I288" s="63" t="s">
        <v>1842</v>
      </c>
      <c r="J288" s="65">
        <v>10640</v>
      </c>
      <c r="K288" s="65">
        <v>3548</v>
      </c>
      <c r="L288" s="26">
        <f t="shared" si="16"/>
        <v>14188</v>
      </c>
      <c r="M288" s="26">
        <f t="array" ref="M288">MEDIAN(IF($F$3:$F$810=F288,$L$3:$L$810))</f>
        <v>14406</v>
      </c>
      <c r="N288" s="65">
        <v>14188</v>
      </c>
      <c r="O288" s="62">
        <v>0</v>
      </c>
      <c r="P288" s="76">
        <f>IF(N288&lt;INDEX(Sectorwise!E:E,MATCH(F288,Sectorwise!A:A,0)),1,0)</f>
        <v>0</v>
      </c>
      <c r="Q288" s="76">
        <f>IF(AND(N288&gt;=INDEX(Sectorwise!E:E,MATCH(F288,Sectorwise!A:A,0)),N288&lt;=INDEX(Sectorwise!F:F,MATCH(F288,Sectorwise!A:A,0))),1,0)</f>
        <v>1</v>
      </c>
      <c r="R288" s="76">
        <f>IF(N288&gt;INDEX(Sectorwise!F:F,MATCH(F288,Sectorwise!A:A,0)),1,0)</f>
        <v>0</v>
      </c>
      <c r="S288" s="27">
        <f t="shared" si="17"/>
        <v>0</v>
      </c>
      <c r="T288" s="27">
        <f t="shared" si="18"/>
        <v>14188</v>
      </c>
      <c r="U288" s="27">
        <f t="shared" si="19"/>
        <v>0</v>
      </c>
      <c r="V288" s="95">
        <f>IF(R288=1,(N288-INDEX(Sectorwise!F:F,MATCH(F288,Sectorwise!A:A,0))),0)</f>
        <v>0</v>
      </c>
      <c r="W288" s="97">
        <f>POISSON(N288,INDEX(Sectorwise!D:D,MATCH(Travel!F696,Sectorwise!A:A,0)),TRUE)</f>
        <v>1</v>
      </c>
    </row>
    <row r="289" spans="1:23" ht="15.75" hidden="1" customHeight="1" x14ac:dyDescent="0.2">
      <c r="A289" s="33" t="s">
        <v>395</v>
      </c>
      <c r="B289" s="33" t="s">
        <v>401</v>
      </c>
      <c r="C289" s="40"/>
      <c r="D289" s="35"/>
      <c r="E289" s="33" t="s">
        <v>2295</v>
      </c>
      <c r="F289" s="21" t="s">
        <v>2135</v>
      </c>
      <c r="G289" s="69" t="s">
        <v>2308</v>
      </c>
      <c r="H289" s="33" t="s">
        <v>402</v>
      </c>
      <c r="I289" s="33" t="s">
        <v>398</v>
      </c>
      <c r="J289" s="36">
        <v>3720</v>
      </c>
      <c r="K289" s="36">
        <v>3481</v>
      </c>
      <c r="L289" s="26">
        <f t="shared" si="16"/>
        <v>7201</v>
      </c>
      <c r="M289" s="26">
        <f t="array" ref="M289">MEDIAN(IF($F$3:$F$810=F289,$L$3:$L$810))</f>
        <v>7234</v>
      </c>
      <c r="N289" s="47">
        <f>+J289+K289</f>
        <v>7201</v>
      </c>
      <c r="O289" s="27"/>
      <c r="P289" s="76">
        <f>IF(N289&lt;INDEX(Sectorwise!E:E,MATCH(F289,Sectorwise!A:A,0)),1,0)</f>
        <v>0</v>
      </c>
      <c r="Q289" s="76">
        <f>IF(AND(N289&gt;=INDEX(Sectorwise!E:E,MATCH(F289,Sectorwise!A:A,0)),N289&lt;=INDEX(Sectorwise!F:F,MATCH(F289,Sectorwise!A:A,0))),1,0)</f>
        <v>1</v>
      </c>
      <c r="R289" s="76">
        <f>IF(N289&gt;INDEX(Sectorwise!F:F,MATCH(F289,Sectorwise!A:A,0)),1,0)</f>
        <v>0</v>
      </c>
      <c r="S289" s="27">
        <f t="shared" si="17"/>
        <v>0</v>
      </c>
      <c r="T289" s="27">
        <f t="shared" si="18"/>
        <v>7201</v>
      </c>
      <c r="U289" s="27">
        <f t="shared" si="19"/>
        <v>0</v>
      </c>
      <c r="V289" s="95">
        <f>IF(R289=1,(N289-INDEX(Sectorwise!F:F,MATCH(F289,Sectorwise!A:A,0))),0)</f>
        <v>0</v>
      </c>
      <c r="W289" s="97">
        <f>POISSON(N289,INDEX(Sectorwise!D:D,MATCH(Travel!F151,Sectorwise!A:A,0)),TRUE)</f>
        <v>0.35180918728327165</v>
      </c>
    </row>
    <row r="290" spans="1:23" ht="15.75" hidden="1" customHeight="1" x14ac:dyDescent="0.2">
      <c r="A290" s="63" t="s">
        <v>1093</v>
      </c>
      <c r="B290" s="63" t="s">
        <v>1099</v>
      </c>
      <c r="C290" s="63"/>
      <c r="E290" s="63" t="s">
        <v>1100</v>
      </c>
      <c r="F290" s="63" t="s">
        <v>2183</v>
      </c>
      <c r="G290" s="63" t="s">
        <v>2312</v>
      </c>
      <c r="H290" s="63" t="s">
        <v>1101</v>
      </c>
      <c r="I290" s="63" t="s">
        <v>733</v>
      </c>
      <c r="J290" s="65">
        <v>34500</v>
      </c>
      <c r="K290" s="65">
        <v>43500</v>
      </c>
      <c r="L290" s="26">
        <f t="shared" si="16"/>
        <v>78000</v>
      </c>
      <c r="M290" s="26">
        <f t="array" ref="M290">MEDIAN(IF($F$3:$F$810=F290,$L$3:$L$810))</f>
        <v>78000</v>
      </c>
      <c r="N290" s="65">
        <v>78000</v>
      </c>
      <c r="O290" s="62">
        <v>0</v>
      </c>
      <c r="P290" s="76">
        <f>IF(N290&lt;INDEX(Sectorwise!E:E,MATCH(F290,Sectorwise!A:A,0)),1,0)</f>
        <v>0</v>
      </c>
      <c r="Q290" s="76">
        <f>IF(AND(N290&gt;=INDEX(Sectorwise!E:E,MATCH(F290,Sectorwise!A:A,0)),N290&lt;=INDEX(Sectorwise!F:F,MATCH(F290,Sectorwise!A:A,0))),1,0)</f>
        <v>1</v>
      </c>
      <c r="R290" s="76">
        <f>IF(N290&gt;INDEX(Sectorwise!F:F,MATCH(F290,Sectorwise!A:A,0)),1,0)</f>
        <v>0</v>
      </c>
      <c r="S290" s="27">
        <f t="shared" si="17"/>
        <v>0</v>
      </c>
      <c r="T290" s="27">
        <f t="shared" si="18"/>
        <v>78000</v>
      </c>
      <c r="U290" s="27">
        <f t="shared" si="19"/>
        <v>0</v>
      </c>
      <c r="V290" s="95">
        <f>IF(R290=1,(N290-INDEX(Sectorwise!F:F,MATCH(F290,Sectorwise!A:A,0))),0)</f>
        <v>0</v>
      </c>
      <c r="W290" s="97">
        <f>POISSON(N290,INDEX(Sectorwise!D:D,MATCH(Travel!F414,Sectorwise!A:A,0)),TRUE)</f>
        <v>1</v>
      </c>
    </row>
    <row r="291" spans="1:23" ht="15.75" hidden="1" customHeight="1" x14ac:dyDescent="0.2">
      <c r="A291" s="63" t="s">
        <v>1217</v>
      </c>
      <c r="B291" s="63" t="s">
        <v>1227</v>
      </c>
      <c r="C291" s="63"/>
      <c r="E291" s="63" t="s">
        <v>1100</v>
      </c>
      <c r="F291" s="63" t="s">
        <v>2226</v>
      </c>
      <c r="G291" s="63" t="s">
        <v>2312</v>
      </c>
      <c r="H291" s="63" t="s">
        <v>1228</v>
      </c>
      <c r="I291" s="63" t="s">
        <v>1223</v>
      </c>
      <c r="J291" s="65">
        <v>9000</v>
      </c>
      <c r="K291" s="65">
        <v>12870</v>
      </c>
      <c r="L291" s="26">
        <f t="shared" si="16"/>
        <v>21870</v>
      </c>
      <c r="M291" s="26">
        <f t="array" ref="M291">MEDIAN(IF($F$3:$F$810=F291,$L$3:$L$810))</f>
        <v>21870</v>
      </c>
      <c r="N291" s="65">
        <v>21870</v>
      </c>
      <c r="O291" s="62">
        <v>0</v>
      </c>
      <c r="P291" s="76">
        <f>IF(N291&lt;INDEX(Sectorwise!E:E,MATCH(F291,Sectorwise!A:A,0)),1,0)</f>
        <v>0</v>
      </c>
      <c r="Q291" s="76">
        <f>IF(AND(N291&gt;=INDEX(Sectorwise!E:E,MATCH(F291,Sectorwise!A:A,0)),N291&lt;=INDEX(Sectorwise!F:F,MATCH(F291,Sectorwise!A:A,0))),1,0)</f>
        <v>1</v>
      </c>
      <c r="R291" s="76">
        <f>IF(N291&gt;INDEX(Sectorwise!F:F,MATCH(F291,Sectorwise!A:A,0)),1,0)</f>
        <v>0</v>
      </c>
      <c r="S291" s="27">
        <f t="shared" si="17"/>
        <v>0</v>
      </c>
      <c r="T291" s="27">
        <f t="shared" si="18"/>
        <v>21870</v>
      </c>
      <c r="U291" s="27">
        <f t="shared" si="19"/>
        <v>0</v>
      </c>
      <c r="V291" s="95">
        <f>IF(R291=1,(N291-INDEX(Sectorwise!F:F,MATCH(F291,Sectorwise!A:A,0))),0)</f>
        <v>0</v>
      </c>
      <c r="W291" s="97">
        <f>POISSON(N291,INDEX(Sectorwise!D:D,MATCH(Travel!F463,Sectorwise!A:A,0)),TRUE)</f>
        <v>1</v>
      </c>
    </row>
    <row r="292" spans="1:23" ht="15.75" hidden="1" customHeight="1" x14ac:dyDescent="0.2">
      <c r="A292" s="56" t="s">
        <v>842</v>
      </c>
      <c r="B292" s="56" t="s">
        <v>849</v>
      </c>
      <c r="C292" s="56"/>
      <c r="E292" s="56" t="s">
        <v>850</v>
      </c>
      <c r="F292" s="29" t="s">
        <v>2134</v>
      </c>
      <c r="G292" s="63" t="s">
        <v>2312</v>
      </c>
      <c r="H292" s="56" t="s">
        <v>851</v>
      </c>
      <c r="I292" s="56" t="s">
        <v>852</v>
      </c>
      <c r="J292" s="57">
        <v>1445</v>
      </c>
      <c r="K292" s="57">
        <v>2425</v>
      </c>
      <c r="L292" s="26">
        <f t="shared" si="16"/>
        <v>3870</v>
      </c>
      <c r="M292" s="26">
        <f t="array" ref="M292">MEDIAN(IF($F$3:$F$810=F292,$L$3:$L$810))</f>
        <v>7412.5</v>
      </c>
      <c r="N292" s="57">
        <v>7773</v>
      </c>
      <c r="O292" s="58">
        <v>0</v>
      </c>
      <c r="P292" s="76">
        <f>IF(N292&lt;INDEX(Sectorwise!E:E,MATCH(F292,Sectorwise!A:A,0)),1,0)</f>
        <v>0</v>
      </c>
      <c r="Q292" s="76">
        <f>IF(AND(N292&gt;=INDEX(Sectorwise!E:E,MATCH(F292,Sectorwise!A:A,0)),N292&lt;=INDEX(Sectorwise!F:F,MATCH(F292,Sectorwise!A:A,0))),1,0)</f>
        <v>1</v>
      </c>
      <c r="R292" s="76">
        <f>IF(N292&gt;INDEX(Sectorwise!F:F,MATCH(F292,Sectorwise!A:A,0)),1,0)</f>
        <v>0</v>
      </c>
      <c r="S292" s="27">
        <f t="shared" si="17"/>
        <v>0</v>
      </c>
      <c r="T292" s="27">
        <f t="shared" si="18"/>
        <v>7773</v>
      </c>
      <c r="U292" s="27">
        <f t="shared" si="19"/>
        <v>0</v>
      </c>
      <c r="V292" s="95">
        <f>IF(R292=1,(N292-INDEX(Sectorwise!F:F,MATCH(F292,Sectorwise!A:A,0))),0)</f>
        <v>0</v>
      </c>
      <c r="W292" s="97">
        <f>POISSON(N292,INDEX(Sectorwise!D:D,MATCH(Travel!F321,Sectorwise!A:A,0)),TRUE)</f>
        <v>1.9650105228475286E-7</v>
      </c>
    </row>
    <row r="293" spans="1:23" ht="15.75" hidden="1" customHeight="1" x14ac:dyDescent="0.2">
      <c r="A293" s="56" t="s">
        <v>842</v>
      </c>
      <c r="B293" s="56" t="s">
        <v>849</v>
      </c>
      <c r="C293" s="56"/>
      <c r="E293" s="56" t="s">
        <v>850</v>
      </c>
      <c r="F293" s="21" t="s">
        <v>2135</v>
      </c>
      <c r="G293" s="33" t="s">
        <v>2321</v>
      </c>
      <c r="H293" s="56" t="s">
        <v>853</v>
      </c>
      <c r="I293" s="56" t="s">
        <v>852</v>
      </c>
      <c r="J293" s="57">
        <v>1269</v>
      </c>
      <c r="K293" s="57">
        <v>2634</v>
      </c>
      <c r="L293" s="26">
        <f t="shared" si="16"/>
        <v>3903</v>
      </c>
      <c r="M293" s="26">
        <f t="array" ref="M293">MEDIAN(IF($F$3:$F$810=F293,$L$3:$L$810))</f>
        <v>7234</v>
      </c>
      <c r="N293" s="57">
        <f>J293+K293</f>
        <v>3903</v>
      </c>
      <c r="O293" s="58">
        <v>0</v>
      </c>
      <c r="P293" s="76">
        <f>IF(N293&lt;INDEX(Sectorwise!E:E,MATCH(F293,Sectorwise!A:A,0)),1,0)</f>
        <v>1</v>
      </c>
      <c r="Q293" s="76">
        <f>IF(AND(N293&gt;=INDEX(Sectorwise!E:E,MATCH(F293,Sectorwise!A:A,0)),N293&lt;=INDEX(Sectorwise!F:F,MATCH(F293,Sectorwise!A:A,0))),1,0)</f>
        <v>0</v>
      </c>
      <c r="R293" s="76">
        <f>IF(N293&gt;INDEX(Sectorwise!F:F,MATCH(F293,Sectorwise!A:A,0)),1,0)</f>
        <v>0</v>
      </c>
      <c r="S293" s="27">
        <f t="shared" si="17"/>
        <v>3903</v>
      </c>
      <c r="T293" s="27">
        <f t="shared" si="18"/>
        <v>0</v>
      </c>
      <c r="U293" s="27">
        <f t="shared" si="19"/>
        <v>0</v>
      </c>
      <c r="V293" s="95">
        <f>IF(R293=1,(N293-INDEX(Sectorwise!F:F,MATCH(F293,Sectorwise!A:A,0))),0)</f>
        <v>0</v>
      </c>
      <c r="W293" s="97">
        <f>POISSON(N293,INDEX(Sectorwise!D:D,MATCH(Travel!F322,Sectorwise!A:A,0)),TRUE)</f>
        <v>0</v>
      </c>
    </row>
    <row r="294" spans="1:23" ht="15.75" hidden="1" customHeight="1" x14ac:dyDescent="0.2">
      <c r="A294" s="63" t="s">
        <v>1163</v>
      </c>
      <c r="B294" s="63" t="s">
        <v>1166</v>
      </c>
      <c r="C294" s="63"/>
      <c r="E294" s="63" t="s">
        <v>1167</v>
      </c>
      <c r="F294" s="63" t="s">
        <v>2188</v>
      </c>
      <c r="G294" s="63" t="s">
        <v>2311</v>
      </c>
      <c r="H294" s="63" t="s">
        <v>1168</v>
      </c>
      <c r="I294" s="63" t="s">
        <v>899</v>
      </c>
      <c r="J294" s="65">
        <v>70705</v>
      </c>
      <c r="K294" s="65">
        <v>48295</v>
      </c>
      <c r="L294" s="26">
        <f t="shared" si="16"/>
        <v>119000</v>
      </c>
      <c r="M294" s="26">
        <f t="array" ref="M294">MEDIAN(IF($F$3:$F$810=F294,$L$3:$L$810))</f>
        <v>119000</v>
      </c>
      <c r="N294" s="65">
        <v>119000</v>
      </c>
      <c r="O294" s="62">
        <v>0</v>
      </c>
      <c r="P294" s="76">
        <f>IF(N294&lt;INDEX(Sectorwise!E:E,MATCH(F294,Sectorwise!A:A,0)),1,0)</f>
        <v>0</v>
      </c>
      <c r="Q294" s="76">
        <f>IF(AND(N294&gt;=INDEX(Sectorwise!E:E,MATCH(F294,Sectorwise!A:A,0)),N294&lt;=INDEX(Sectorwise!F:F,MATCH(F294,Sectorwise!A:A,0))),1,0)</f>
        <v>1</v>
      </c>
      <c r="R294" s="76">
        <f>IF(N294&gt;INDEX(Sectorwise!F:F,MATCH(F294,Sectorwise!A:A,0)),1,0)</f>
        <v>0</v>
      </c>
      <c r="S294" s="27">
        <f t="shared" si="17"/>
        <v>0</v>
      </c>
      <c r="T294" s="27">
        <f t="shared" si="18"/>
        <v>119000</v>
      </c>
      <c r="U294" s="27">
        <f t="shared" si="19"/>
        <v>0</v>
      </c>
      <c r="V294" s="95">
        <f>IF(R294=1,(N294-INDEX(Sectorwise!F:F,MATCH(F294,Sectorwise!A:A,0))),0)</f>
        <v>0</v>
      </c>
      <c r="W294" s="97">
        <f>POISSON(N294,INDEX(Sectorwise!D:D,MATCH(Travel!F441,Sectorwise!A:A,0)),TRUE)</f>
        <v>1</v>
      </c>
    </row>
    <row r="295" spans="1:23" ht="15.75" hidden="1" customHeight="1" x14ac:dyDescent="0.2">
      <c r="A295" s="63" t="s">
        <v>1204</v>
      </c>
      <c r="B295" s="63" t="s">
        <v>1205</v>
      </c>
      <c r="C295" s="63"/>
      <c r="E295" s="63" t="s">
        <v>1206</v>
      </c>
      <c r="F295" s="63" t="s">
        <v>2157</v>
      </c>
      <c r="G295" s="63" t="s">
        <v>2313</v>
      </c>
      <c r="H295" s="63" t="s">
        <v>1207</v>
      </c>
      <c r="I295" s="63" t="s">
        <v>1208</v>
      </c>
      <c r="J295" s="65">
        <v>27000</v>
      </c>
      <c r="K295" s="65">
        <v>45000</v>
      </c>
      <c r="L295" s="26">
        <f t="shared" si="16"/>
        <v>72000</v>
      </c>
      <c r="M295" s="26">
        <f t="array" ref="M295">MEDIAN(IF($F$3:$F$810=F295,$L$3:$L$810))</f>
        <v>83000</v>
      </c>
      <c r="N295" s="65">
        <v>72000</v>
      </c>
      <c r="O295" s="62">
        <v>0</v>
      </c>
      <c r="P295" s="76">
        <f>IF(N295&lt;INDEX(Sectorwise!E:E,MATCH(F295,Sectorwise!A:A,0)),1,0)</f>
        <v>1</v>
      </c>
      <c r="Q295" s="76">
        <f>IF(AND(N295&gt;=INDEX(Sectorwise!E:E,MATCH(F295,Sectorwise!A:A,0)),N295&lt;=INDEX(Sectorwise!F:F,MATCH(F295,Sectorwise!A:A,0))),1,0)</f>
        <v>0</v>
      </c>
      <c r="R295" s="76">
        <f>IF(N295&gt;INDEX(Sectorwise!F:F,MATCH(F295,Sectorwise!A:A,0)),1,0)</f>
        <v>0</v>
      </c>
      <c r="S295" s="27">
        <f t="shared" si="17"/>
        <v>72000</v>
      </c>
      <c r="T295" s="27">
        <f t="shared" si="18"/>
        <v>0</v>
      </c>
      <c r="U295" s="27">
        <f t="shared" si="19"/>
        <v>0</v>
      </c>
      <c r="V295" s="95">
        <f>IF(R295=1,(N295-INDEX(Sectorwise!F:F,MATCH(F295,Sectorwise!A:A,0))),0)</f>
        <v>0</v>
      </c>
      <c r="W295" s="97">
        <f>POISSON(N295,INDEX(Sectorwise!D:D,MATCH(Travel!F456,Sectorwise!A:A,0)),TRUE)</f>
        <v>1</v>
      </c>
    </row>
    <row r="296" spans="1:23" ht="15.75" hidden="1" customHeight="1" x14ac:dyDescent="0.2">
      <c r="A296" s="29" t="s">
        <v>2071</v>
      </c>
      <c r="B296" s="29" t="s">
        <v>2072</v>
      </c>
      <c r="C296" s="29"/>
      <c r="E296" s="29" t="s">
        <v>1206</v>
      </c>
      <c r="F296" s="21" t="s">
        <v>2135</v>
      </c>
      <c r="G296" s="56" t="s">
        <v>2309</v>
      </c>
      <c r="H296" s="29" t="s">
        <v>2073</v>
      </c>
      <c r="I296" s="29" t="s">
        <v>2045</v>
      </c>
      <c r="J296" s="65">
        <v>5500</v>
      </c>
      <c r="K296" s="65">
        <v>1945</v>
      </c>
      <c r="L296" s="26">
        <f t="shared" si="16"/>
        <v>7445</v>
      </c>
      <c r="M296" s="26">
        <f t="array" ref="M296">MEDIAN(IF($F$3:$F$810=F296,$L$3:$L$810))</f>
        <v>7234</v>
      </c>
      <c r="N296" s="65">
        <v>7445</v>
      </c>
      <c r="O296" s="65" t="e">
        <f>N296-#REF!</f>
        <v>#REF!</v>
      </c>
      <c r="P296" s="76">
        <f>IF(N296&lt;INDEX(Sectorwise!E:E,MATCH(F296,Sectorwise!A:A,0)),1,0)</f>
        <v>0</v>
      </c>
      <c r="Q296" s="76">
        <f>IF(AND(N296&gt;=INDEX(Sectorwise!E:E,MATCH(F296,Sectorwise!A:A,0)),N296&lt;=INDEX(Sectorwise!F:F,MATCH(F296,Sectorwise!A:A,0))),1,0)</f>
        <v>1</v>
      </c>
      <c r="R296" s="76">
        <f>IF(N296&gt;INDEX(Sectorwise!F:F,MATCH(F296,Sectorwise!A:A,0)),1,0)</f>
        <v>0</v>
      </c>
      <c r="S296" s="27">
        <f t="shared" si="17"/>
        <v>0</v>
      </c>
      <c r="T296" s="27">
        <f t="shared" si="18"/>
        <v>7445</v>
      </c>
      <c r="U296" s="27">
        <f t="shared" si="19"/>
        <v>0</v>
      </c>
      <c r="V296" s="95">
        <f>IF(R296=1,(N296-INDEX(Sectorwise!F:F,MATCH(F296,Sectorwise!A:A,0))),0)</f>
        <v>0</v>
      </c>
      <c r="W296" s="97">
        <f>POISSON(N296,INDEX(Sectorwise!D:D,MATCH(Travel!F788,Sectorwise!A:A,0)),TRUE)</f>
        <v>0.99336918862088175</v>
      </c>
    </row>
    <row r="297" spans="1:23" ht="15.75" hidden="1" customHeight="1" x14ac:dyDescent="0.2">
      <c r="A297" s="56" t="s">
        <v>807</v>
      </c>
      <c r="B297" s="56" t="s">
        <v>817</v>
      </c>
      <c r="C297" s="56"/>
      <c r="E297" s="56" t="s">
        <v>2287</v>
      </c>
      <c r="F297" s="29" t="s">
        <v>2134</v>
      </c>
      <c r="G297" s="56" t="s">
        <v>2309</v>
      </c>
      <c r="H297" s="56" t="s">
        <v>818</v>
      </c>
      <c r="I297" s="56" t="s">
        <v>814</v>
      </c>
      <c r="J297" s="57">
        <v>2540</v>
      </c>
      <c r="K297" s="57">
        <v>1698</v>
      </c>
      <c r="L297" s="26">
        <f t="shared" si="16"/>
        <v>4238</v>
      </c>
      <c r="M297" s="26">
        <f t="array" ref="M297">MEDIAN(IF($F$3:$F$810=F297,$L$3:$L$810))</f>
        <v>7412.5</v>
      </c>
      <c r="N297" s="57">
        <v>4238</v>
      </c>
      <c r="O297" s="58">
        <v>0</v>
      </c>
      <c r="P297" s="76">
        <f>IF(N297&lt;INDEX(Sectorwise!E:E,MATCH(F297,Sectorwise!A:A,0)),1,0)</f>
        <v>1</v>
      </c>
      <c r="Q297" s="76">
        <f>IF(AND(N297&gt;=INDEX(Sectorwise!E:E,MATCH(F297,Sectorwise!A:A,0)),N297&lt;=INDEX(Sectorwise!F:F,MATCH(F297,Sectorwise!A:A,0))),1,0)</f>
        <v>0</v>
      </c>
      <c r="R297" s="76">
        <f>IF(N297&gt;INDEX(Sectorwise!F:F,MATCH(F297,Sectorwise!A:A,0)),1,0)</f>
        <v>0</v>
      </c>
      <c r="S297" s="27">
        <f t="shared" si="17"/>
        <v>4238</v>
      </c>
      <c r="T297" s="27">
        <f t="shared" si="18"/>
        <v>0</v>
      </c>
      <c r="U297" s="27">
        <f t="shared" si="19"/>
        <v>0</v>
      </c>
      <c r="V297" s="95">
        <f>IF(R297=1,(N297-INDEX(Sectorwise!F:F,MATCH(F297,Sectorwise!A:A,0))),0)</f>
        <v>0</v>
      </c>
      <c r="W297" s="97">
        <f>POISSON(N297,INDEX(Sectorwise!D:D,MATCH(Travel!F307,Sectorwise!A:A,0)),TRUE)</f>
        <v>0</v>
      </c>
    </row>
    <row r="298" spans="1:23" ht="15.75" hidden="1" customHeight="1" x14ac:dyDescent="0.2">
      <c r="A298" s="63" t="s">
        <v>1401</v>
      </c>
      <c r="B298" s="63" t="s">
        <v>1402</v>
      </c>
      <c r="C298" s="63"/>
      <c r="E298" s="56" t="s">
        <v>2287</v>
      </c>
      <c r="F298" s="63" t="s">
        <v>2136</v>
      </c>
      <c r="G298" s="56" t="s">
        <v>2309</v>
      </c>
      <c r="H298" s="63" t="s">
        <v>1403</v>
      </c>
      <c r="I298" s="63" t="s">
        <v>1389</v>
      </c>
      <c r="J298" s="65">
        <v>10800</v>
      </c>
      <c r="K298" s="65">
        <v>3668</v>
      </c>
      <c r="L298" s="26">
        <f t="shared" si="16"/>
        <v>14468</v>
      </c>
      <c r="M298" s="26">
        <f t="array" ref="M298">MEDIAN(IF($F$3:$F$810=F298,$L$3:$L$810))</f>
        <v>14406</v>
      </c>
      <c r="N298" s="65">
        <v>14468</v>
      </c>
      <c r="O298" s="62">
        <v>0</v>
      </c>
      <c r="P298" s="76">
        <f>IF(N298&lt;INDEX(Sectorwise!E:E,MATCH(F298,Sectorwise!A:A,0)),1,0)</f>
        <v>0</v>
      </c>
      <c r="Q298" s="76">
        <f>IF(AND(N298&gt;=INDEX(Sectorwise!E:E,MATCH(F298,Sectorwise!A:A,0)),N298&lt;=INDEX(Sectorwise!F:F,MATCH(F298,Sectorwise!A:A,0))),1,0)</f>
        <v>1</v>
      </c>
      <c r="R298" s="76">
        <f>IF(N298&gt;INDEX(Sectorwise!F:F,MATCH(F298,Sectorwise!A:A,0)),1,0)</f>
        <v>0</v>
      </c>
      <c r="S298" s="27">
        <f t="shared" si="17"/>
        <v>0</v>
      </c>
      <c r="T298" s="27">
        <f t="shared" si="18"/>
        <v>14468</v>
      </c>
      <c r="U298" s="27">
        <f t="shared" si="19"/>
        <v>0</v>
      </c>
      <c r="V298" s="95">
        <f>IF(R298=1,(N298-INDEX(Sectorwise!F:F,MATCH(F298,Sectorwise!A:A,0))),0)</f>
        <v>0</v>
      </c>
      <c r="W298" s="97">
        <f>POISSON(N298,INDEX(Sectorwise!D:D,MATCH(Travel!F525,Sectorwise!A:A,0)),TRUE)</f>
        <v>1</v>
      </c>
    </row>
    <row r="299" spans="1:23" ht="15.75" hidden="1" customHeight="1" x14ac:dyDescent="0.2">
      <c r="A299" s="63" t="s">
        <v>1644</v>
      </c>
      <c r="B299" s="63" t="s">
        <v>1645</v>
      </c>
      <c r="C299" s="63"/>
      <c r="E299" s="56" t="s">
        <v>2287</v>
      </c>
      <c r="F299" s="63" t="s">
        <v>2158</v>
      </c>
      <c r="G299" s="63" t="s">
        <v>2312</v>
      </c>
      <c r="H299" s="63" t="s">
        <v>1646</v>
      </c>
      <c r="I299" s="63" t="s">
        <v>1647</v>
      </c>
      <c r="J299" s="65">
        <v>11312</v>
      </c>
      <c r="K299" s="65">
        <v>10303</v>
      </c>
      <c r="L299" s="26">
        <f t="shared" si="16"/>
        <v>21615</v>
      </c>
      <c r="M299" s="26">
        <f t="array" ref="M299">MEDIAN(IF($F$3:$F$810=F299,$L$3:$L$810))</f>
        <v>20521</v>
      </c>
      <c r="N299" s="65">
        <v>21615</v>
      </c>
      <c r="O299" s="62">
        <v>0</v>
      </c>
      <c r="P299" s="76">
        <f>IF(N299&lt;INDEX(Sectorwise!E:E,MATCH(F299,Sectorwise!A:A,0)),1,0)</f>
        <v>0</v>
      </c>
      <c r="Q299" s="76">
        <f>IF(AND(N299&gt;=INDEX(Sectorwise!E:E,MATCH(F299,Sectorwise!A:A,0)),N299&lt;=INDEX(Sectorwise!F:F,MATCH(F299,Sectorwise!A:A,0))),1,0)</f>
        <v>1</v>
      </c>
      <c r="R299" s="76">
        <f>IF(N299&gt;INDEX(Sectorwise!F:F,MATCH(F299,Sectorwise!A:A,0)),1,0)</f>
        <v>0</v>
      </c>
      <c r="S299" s="27">
        <f t="shared" si="17"/>
        <v>0</v>
      </c>
      <c r="T299" s="27">
        <f t="shared" si="18"/>
        <v>21615</v>
      </c>
      <c r="U299" s="27">
        <f t="shared" si="19"/>
        <v>0</v>
      </c>
      <c r="V299" s="95">
        <f>IF(R299=1,(N299-INDEX(Sectorwise!F:F,MATCH(F299,Sectorwise!A:A,0))),0)</f>
        <v>0</v>
      </c>
      <c r="W299" s="97">
        <f>POISSON(N299,INDEX(Sectorwise!D:D,MATCH(Travel!F627,Sectorwise!A:A,0)),TRUE)</f>
        <v>1</v>
      </c>
    </row>
    <row r="300" spans="1:23" ht="15.75" hidden="1" customHeight="1" x14ac:dyDescent="0.2">
      <c r="A300" s="29" t="s">
        <v>1676</v>
      </c>
      <c r="B300" s="29" t="s">
        <v>1689</v>
      </c>
      <c r="C300" s="29"/>
      <c r="E300" s="56" t="s">
        <v>2287</v>
      </c>
      <c r="F300" s="29" t="s">
        <v>2158</v>
      </c>
      <c r="G300" s="56" t="s">
        <v>2309</v>
      </c>
      <c r="H300" s="29" t="s">
        <v>1690</v>
      </c>
      <c r="I300" s="29" t="s">
        <v>1680</v>
      </c>
      <c r="J300" s="65">
        <v>12800</v>
      </c>
      <c r="K300" s="65">
        <v>7868</v>
      </c>
      <c r="L300" s="26">
        <f t="shared" si="16"/>
        <v>20668</v>
      </c>
      <c r="M300" s="26">
        <f t="array" ref="M300">MEDIAN(IF($F$3:$F$810=F300,$L$3:$L$810))</f>
        <v>20521</v>
      </c>
      <c r="N300" s="65">
        <v>20668</v>
      </c>
      <c r="O300" s="62"/>
      <c r="P300" s="76">
        <f>IF(N300&lt;INDEX(Sectorwise!E:E,MATCH(F300,Sectorwise!A:A,0)),1,0)</f>
        <v>0</v>
      </c>
      <c r="Q300" s="76">
        <f>IF(AND(N300&gt;=INDEX(Sectorwise!E:E,MATCH(F300,Sectorwise!A:A,0)),N300&lt;=INDEX(Sectorwise!F:F,MATCH(F300,Sectorwise!A:A,0))),1,0)</f>
        <v>1</v>
      </c>
      <c r="R300" s="76">
        <f>IF(N300&gt;INDEX(Sectorwise!F:F,MATCH(F300,Sectorwise!A:A,0)),1,0)</f>
        <v>0</v>
      </c>
      <c r="S300" s="27">
        <f t="shared" si="17"/>
        <v>0</v>
      </c>
      <c r="T300" s="27">
        <f t="shared" si="18"/>
        <v>20668</v>
      </c>
      <c r="U300" s="27">
        <f t="shared" si="19"/>
        <v>0</v>
      </c>
      <c r="V300" s="95">
        <f>IF(R300=1,(N300-INDEX(Sectorwise!F:F,MATCH(F300,Sectorwise!A:A,0))),0)</f>
        <v>0</v>
      </c>
      <c r="W300" s="97">
        <f>POISSON(N300,INDEX(Sectorwise!D:D,MATCH(Travel!F642,Sectorwise!A:A,0)),TRUE)</f>
        <v>1</v>
      </c>
    </row>
    <row r="301" spans="1:23" ht="15.75" hidden="1" customHeight="1" x14ac:dyDescent="0.2">
      <c r="A301" s="21" t="s">
        <v>597</v>
      </c>
      <c r="B301" s="21" t="s">
        <v>598</v>
      </c>
      <c r="C301" s="22"/>
      <c r="E301" s="56" t="s">
        <v>2287</v>
      </c>
      <c r="F301" s="29" t="s">
        <v>2134</v>
      </c>
      <c r="G301" s="69" t="s">
        <v>2308</v>
      </c>
      <c r="H301" s="21" t="s">
        <v>599</v>
      </c>
      <c r="I301" s="21" t="s">
        <v>578</v>
      </c>
      <c r="J301" s="25">
        <v>2985</v>
      </c>
      <c r="K301" s="25">
        <v>2691</v>
      </c>
      <c r="L301" s="26">
        <f t="shared" si="16"/>
        <v>5676</v>
      </c>
      <c r="M301" s="26">
        <f t="array" ref="M301">MEDIAN(IF($F$3:$F$810=F301,$L$3:$L$810))</f>
        <v>7412.5</v>
      </c>
      <c r="N301" s="47">
        <v>5676</v>
      </c>
      <c r="O301" s="55"/>
      <c r="P301" s="76">
        <f>IF(N301&lt;INDEX(Sectorwise!E:E,MATCH(F301,Sectorwise!A:A,0)),1,0)</f>
        <v>1</v>
      </c>
      <c r="Q301" s="76">
        <f>IF(AND(N301&gt;=INDEX(Sectorwise!E:E,MATCH(F301,Sectorwise!A:A,0)),N301&lt;=INDEX(Sectorwise!F:F,MATCH(F301,Sectorwise!A:A,0))),1,0)</f>
        <v>0</v>
      </c>
      <c r="R301" s="76">
        <f>IF(N301&gt;INDEX(Sectorwise!F:F,MATCH(F301,Sectorwise!A:A,0)),1,0)</f>
        <v>0</v>
      </c>
      <c r="S301" s="27">
        <f t="shared" si="17"/>
        <v>5676</v>
      </c>
      <c r="T301" s="27">
        <f t="shared" si="18"/>
        <v>0</v>
      </c>
      <c r="U301" s="27">
        <f t="shared" si="19"/>
        <v>0</v>
      </c>
      <c r="V301" s="95">
        <f>IF(R301=1,(N301-INDEX(Sectorwise!F:F,MATCH(F301,Sectorwise!A:A,0))),0)</f>
        <v>0</v>
      </c>
      <c r="W301" s="97">
        <f>POISSON(N301,INDEX(Sectorwise!D:D,MATCH(Travel!F224,Sectorwise!A:A,0)),TRUE)</f>
        <v>1.4999535876792404E-98</v>
      </c>
    </row>
    <row r="302" spans="1:23" ht="15.75" hidden="1" customHeight="1" x14ac:dyDescent="0.2">
      <c r="A302" s="60" t="s">
        <v>964</v>
      </c>
      <c r="B302" s="60" t="s">
        <v>969</v>
      </c>
      <c r="C302" s="60"/>
      <c r="E302" s="56" t="s">
        <v>2287</v>
      </c>
      <c r="F302" s="29" t="s">
        <v>2134</v>
      </c>
      <c r="G302" s="63" t="s">
        <v>2312</v>
      </c>
      <c r="H302" s="60" t="s">
        <v>970</v>
      </c>
      <c r="I302" s="60" t="s">
        <v>922</v>
      </c>
      <c r="J302" s="61">
        <v>4250</v>
      </c>
      <c r="K302" s="61">
        <v>3105</v>
      </c>
      <c r="L302" s="26">
        <f t="shared" si="16"/>
        <v>7355</v>
      </c>
      <c r="M302" s="26">
        <f t="array" ref="M302">MEDIAN(IF($F$3:$F$810=F302,$L$3:$L$810))</f>
        <v>7412.5</v>
      </c>
      <c r="N302" s="61">
        <v>14710</v>
      </c>
      <c r="O302" s="62">
        <v>0</v>
      </c>
      <c r="P302" s="76">
        <f>IF(N302&lt;INDEX(Sectorwise!E:E,MATCH(F302,Sectorwise!A:A,0)),1,0)</f>
        <v>0</v>
      </c>
      <c r="Q302" s="76">
        <f>IF(AND(N302&gt;=INDEX(Sectorwise!E:E,MATCH(F302,Sectorwise!A:A,0)),N302&lt;=INDEX(Sectorwise!F:F,MATCH(F302,Sectorwise!A:A,0))),1,0)</f>
        <v>0</v>
      </c>
      <c r="R302" s="76">
        <f>IF(N302&gt;INDEX(Sectorwise!F:F,MATCH(F302,Sectorwise!A:A,0)),1,0)</f>
        <v>1</v>
      </c>
      <c r="S302" s="27">
        <f t="shared" si="17"/>
        <v>0</v>
      </c>
      <c r="T302" s="27">
        <f t="shared" si="18"/>
        <v>0</v>
      </c>
      <c r="U302" s="27">
        <f t="shared" si="19"/>
        <v>14710</v>
      </c>
      <c r="V302" s="95">
        <f>IF(R302=1,(N302-INDEX(Sectorwise!F:F,MATCH(F302,Sectorwise!A:A,0))),0)</f>
        <v>6510</v>
      </c>
      <c r="W302" s="97">
        <f>POISSON(N302,INDEX(Sectorwise!D:D,MATCH(Travel!F362,Sectorwise!A:A,0)),TRUE)</f>
        <v>1</v>
      </c>
    </row>
    <row r="303" spans="1:23" ht="15.75" hidden="1" customHeight="1" x14ac:dyDescent="0.2">
      <c r="A303" s="63" t="s">
        <v>1069</v>
      </c>
      <c r="B303" s="63" t="s">
        <v>1070</v>
      </c>
      <c r="C303" s="63"/>
      <c r="E303" s="56" t="s">
        <v>2287</v>
      </c>
      <c r="F303" s="29" t="s">
        <v>2134</v>
      </c>
      <c r="G303" s="56" t="s">
        <v>2309</v>
      </c>
      <c r="H303" s="63" t="s">
        <v>1071</v>
      </c>
      <c r="I303" s="63" t="s">
        <v>1072</v>
      </c>
      <c r="J303" s="65">
        <v>6290</v>
      </c>
      <c r="K303" s="65">
        <v>1906</v>
      </c>
      <c r="L303" s="26">
        <f t="shared" si="16"/>
        <v>8196</v>
      </c>
      <c r="M303" s="26">
        <f t="array" ref="M303">MEDIAN(IF($F$3:$F$810=F303,$L$3:$L$810))</f>
        <v>7412.5</v>
      </c>
      <c r="N303" s="65">
        <v>16114</v>
      </c>
      <c r="O303" s="62">
        <v>0</v>
      </c>
      <c r="P303" s="76">
        <f>IF(N303&lt;INDEX(Sectorwise!E:E,MATCH(F303,Sectorwise!A:A,0)),1,0)</f>
        <v>0</v>
      </c>
      <c r="Q303" s="76">
        <f>IF(AND(N303&gt;=INDEX(Sectorwise!E:E,MATCH(F303,Sectorwise!A:A,0)),N303&lt;=INDEX(Sectorwise!F:F,MATCH(F303,Sectorwise!A:A,0))),1,0)</f>
        <v>0</v>
      </c>
      <c r="R303" s="76">
        <f>IF(N303&gt;INDEX(Sectorwise!F:F,MATCH(F303,Sectorwise!A:A,0)),1,0)</f>
        <v>1</v>
      </c>
      <c r="S303" s="27">
        <f t="shared" si="17"/>
        <v>0</v>
      </c>
      <c r="T303" s="27">
        <f t="shared" si="18"/>
        <v>0</v>
      </c>
      <c r="U303" s="27">
        <f t="shared" si="19"/>
        <v>16114</v>
      </c>
      <c r="V303" s="95">
        <f>IF(R303=1,(N303-INDEX(Sectorwise!F:F,MATCH(F303,Sectorwise!A:A,0))),0)</f>
        <v>7914</v>
      </c>
      <c r="W303" s="97">
        <f>POISSON(N303,INDEX(Sectorwise!D:D,MATCH(Travel!F403,Sectorwise!A:A,0)),TRUE)</f>
        <v>1</v>
      </c>
    </row>
    <row r="304" spans="1:23" ht="15.75" hidden="1" customHeight="1" x14ac:dyDescent="0.2">
      <c r="A304" s="29" t="s">
        <v>2053</v>
      </c>
      <c r="B304" s="29" t="s">
        <v>2059</v>
      </c>
      <c r="C304" s="29"/>
      <c r="E304" s="56" t="s">
        <v>2287</v>
      </c>
      <c r="F304" s="29" t="s">
        <v>2134</v>
      </c>
      <c r="G304" s="63" t="s">
        <v>2312</v>
      </c>
      <c r="H304" s="29" t="s">
        <v>2060</v>
      </c>
      <c r="I304" s="29" t="s">
        <v>2045</v>
      </c>
      <c r="J304" s="65">
        <v>4620</v>
      </c>
      <c r="K304" s="65">
        <v>3125</v>
      </c>
      <c r="L304" s="26">
        <f t="shared" si="16"/>
        <v>7745</v>
      </c>
      <c r="M304" s="26">
        <f t="array" ref="M304">MEDIAN(IF($F$3:$F$810=F304,$L$3:$L$810))</f>
        <v>7412.5</v>
      </c>
      <c r="N304" s="65">
        <v>15573</v>
      </c>
      <c r="O304" s="65" t="e">
        <f>N304-#REF!</f>
        <v>#REF!</v>
      </c>
      <c r="P304" s="76">
        <f>IF(N304&lt;INDEX(Sectorwise!E:E,MATCH(F304,Sectorwise!A:A,0)),1,0)</f>
        <v>0</v>
      </c>
      <c r="Q304" s="76">
        <f>IF(AND(N304&gt;=INDEX(Sectorwise!E:E,MATCH(F304,Sectorwise!A:A,0)),N304&lt;=INDEX(Sectorwise!F:F,MATCH(F304,Sectorwise!A:A,0))),1,0)</f>
        <v>0</v>
      </c>
      <c r="R304" s="76">
        <f>IF(N304&gt;INDEX(Sectorwise!F:F,MATCH(F304,Sectorwise!A:A,0)),1,0)</f>
        <v>1</v>
      </c>
      <c r="S304" s="27">
        <f t="shared" si="17"/>
        <v>0</v>
      </c>
      <c r="T304" s="27">
        <f t="shared" si="18"/>
        <v>0</v>
      </c>
      <c r="U304" s="27">
        <f t="shared" si="19"/>
        <v>15573</v>
      </c>
      <c r="V304" s="95">
        <f>IF(R304=1,(N304-INDEX(Sectorwise!F:F,MATCH(F304,Sectorwise!A:A,0))),0)</f>
        <v>7373</v>
      </c>
      <c r="W304" s="97">
        <f>POISSON(N304,INDEX(Sectorwise!D:D,MATCH(Travel!F784,Sectorwise!A:A,0)),TRUE)</f>
        <v>1</v>
      </c>
    </row>
    <row r="305" spans="1:23" ht="15.75" hidden="1" customHeight="1" x14ac:dyDescent="0.2">
      <c r="A305" s="53" t="s">
        <v>542</v>
      </c>
      <c r="B305" s="54" t="s">
        <v>543</v>
      </c>
      <c r="C305" s="22"/>
      <c r="D305" s="32"/>
      <c r="E305" s="56" t="s">
        <v>2287</v>
      </c>
      <c r="F305" s="21" t="s">
        <v>2136</v>
      </c>
      <c r="G305" s="69" t="s">
        <v>2308</v>
      </c>
      <c r="H305" s="21" t="s">
        <v>544</v>
      </c>
      <c r="I305" s="21" t="s">
        <v>542</v>
      </c>
      <c r="J305" s="25">
        <v>1488</v>
      </c>
      <c r="K305" s="25">
        <v>4999</v>
      </c>
      <c r="L305" s="26">
        <f t="shared" si="16"/>
        <v>6487</v>
      </c>
      <c r="M305" s="26">
        <f t="array" ref="M305">MEDIAN(IF($F$3:$F$810=F305,$L$3:$L$810))</f>
        <v>14406</v>
      </c>
      <c r="N305" s="47">
        <v>6487</v>
      </c>
      <c r="O305" s="27"/>
      <c r="P305" s="76">
        <f>IF(N305&lt;INDEX(Sectorwise!E:E,MATCH(F305,Sectorwise!A:A,0)),1,0)</f>
        <v>1</v>
      </c>
      <c r="Q305" s="76">
        <f>IF(AND(N305&gt;=INDEX(Sectorwise!E:E,MATCH(F305,Sectorwise!A:A,0)),N305&lt;=INDEX(Sectorwise!F:F,MATCH(F305,Sectorwise!A:A,0))),1,0)</f>
        <v>0</v>
      </c>
      <c r="R305" s="76">
        <f>IF(N305&gt;INDEX(Sectorwise!F:F,MATCH(F305,Sectorwise!A:A,0)),1,0)</f>
        <v>0</v>
      </c>
      <c r="S305" s="27">
        <f t="shared" si="17"/>
        <v>6487</v>
      </c>
      <c r="T305" s="27">
        <f t="shared" si="18"/>
        <v>0</v>
      </c>
      <c r="U305" s="27">
        <f t="shared" si="19"/>
        <v>0</v>
      </c>
      <c r="V305" s="95">
        <f>IF(R305=1,(N305-INDEX(Sectorwise!F:F,MATCH(F305,Sectorwise!A:A,0))),0)</f>
        <v>0</v>
      </c>
      <c r="W305" s="97">
        <f>POISSON(N305,INDEX(Sectorwise!D:D,MATCH(Travel!F202,Sectorwise!A:A,0)),TRUE)</f>
        <v>0</v>
      </c>
    </row>
    <row r="306" spans="1:23" ht="15.75" hidden="1" customHeight="1" x14ac:dyDescent="0.2">
      <c r="A306" s="21" t="s">
        <v>691</v>
      </c>
      <c r="B306" s="24" t="s">
        <v>696</v>
      </c>
      <c r="C306" s="22"/>
      <c r="D306" s="32"/>
      <c r="E306" s="56" t="s">
        <v>2287</v>
      </c>
      <c r="F306" s="21" t="s">
        <v>2147</v>
      </c>
      <c r="G306" s="63" t="s">
        <v>2312</v>
      </c>
      <c r="H306" s="21" t="s">
        <v>697</v>
      </c>
      <c r="I306" s="21" t="s">
        <v>672</v>
      </c>
      <c r="J306" s="25">
        <v>2165</v>
      </c>
      <c r="K306" s="25">
        <v>4504</v>
      </c>
      <c r="L306" s="26">
        <f t="shared" si="16"/>
        <v>6669</v>
      </c>
      <c r="M306" s="26">
        <f t="array" ref="M306">MEDIAN(IF($F$3:$F$810=F306,$L$3:$L$810))</f>
        <v>10605</v>
      </c>
      <c r="N306" s="47">
        <v>6669</v>
      </c>
      <c r="O306" s="55"/>
      <c r="P306" s="76">
        <f>IF(N306&lt;INDEX(Sectorwise!E:E,MATCH(F306,Sectorwise!A:A,0)),1,0)</f>
        <v>1</v>
      </c>
      <c r="Q306" s="76">
        <f>IF(AND(N306&gt;=INDEX(Sectorwise!E:E,MATCH(F306,Sectorwise!A:A,0)),N306&lt;=INDEX(Sectorwise!F:F,MATCH(F306,Sectorwise!A:A,0))),1,0)</f>
        <v>0</v>
      </c>
      <c r="R306" s="76">
        <f>IF(N306&gt;INDEX(Sectorwise!F:F,MATCH(F306,Sectorwise!A:A,0)),1,0)</f>
        <v>0</v>
      </c>
      <c r="S306" s="27">
        <f t="shared" si="17"/>
        <v>6669</v>
      </c>
      <c r="T306" s="27">
        <f t="shared" si="18"/>
        <v>0</v>
      </c>
      <c r="U306" s="27">
        <f t="shared" si="19"/>
        <v>0</v>
      </c>
      <c r="V306" s="95">
        <f>IF(R306=1,(N306-INDEX(Sectorwise!F:F,MATCH(F306,Sectorwise!A:A,0))),0)</f>
        <v>0</v>
      </c>
      <c r="W306" s="97">
        <f>POISSON(N306,INDEX(Sectorwise!D:D,MATCH(Travel!F264,Sectorwise!A:A,0)),TRUE)</f>
        <v>8.2839156506696093E-19</v>
      </c>
    </row>
    <row r="307" spans="1:23" ht="15.75" hidden="1" customHeight="1" x14ac:dyDescent="0.2">
      <c r="A307" s="63" t="s">
        <v>1268</v>
      </c>
      <c r="B307" s="63" t="s">
        <v>1269</v>
      </c>
      <c r="C307" s="63"/>
      <c r="E307" s="56" t="s">
        <v>2287</v>
      </c>
      <c r="F307" s="21" t="s">
        <v>2147</v>
      </c>
      <c r="G307" s="63" t="s">
        <v>2312</v>
      </c>
      <c r="H307" s="63" t="s">
        <v>1270</v>
      </c>
      <c r="I307" s="63" t="s">
        <v>1223</v>
      </c>
      <c r="J307" s="65">
        <v>6640</v>
      </c>
      <c r="K307" s="65">
        <v>5277</v>
      </c>
      <c r="L307" s="26">
        <f t="shared" si="16"/>
        <v>11917</v>
      </c>
      <c r="M307" s="26">
        <f t="array" ref="M307">MEDIAN(IF($F$3:$F$810=F307,$L$3:$L$810))</f>
        <v>10605</v>
      </c>
      <c r="N307" s="65">
        <v>22217</v>
      </c>
      <c r="O307" s="62">
        <v>0</v>
      </c>
      <c r="P307" s="76">
        <f>IF(N307&lt;INDEX(Sectorwise!E:E,MATCH(F307,Sectorwise!A:A,0)),1,0)</f>
        <v>0</v>
      </c>
      <c r="Q307" s="76">
        <f>IF(AND(N307&gt;=INDEX(Sectorwise!E:E,MATCH(F307,Sectorwise!A:A,0)),N307&lt;=INDEX(Sectorwise!F:F,MATCH(F307,Sectorwise!A:A,0))),1,0)</f>
        <v>0</v>
      </c>
      <c r="R307" s="76">
        <f>IF(N307&gt;INDEX(Sectorwise!F:F,MATCH(F307,Sectorwise!A:A,0)),1,0)</f>
        <v>1</v>
      </c>
      <c r="S307" s="27">
        <f t="shared" si="17"/>
        <v>0</v>
      </c>
      <c r="T307" s="27">
        <f t="shared" si="18"/>
        <v>0</v>
      </c>
      <c r="U307" s="27">
        <f t="shared" si="19"/>
        <v>22217</v>
      </c>
      <c r="V307" s="95">
        <f>IF(R307=1,(N307-INDEX(Sectorwise!F:F,MATCH(F307,Sectorwise!A:A,0))),0)</f>
        <v>10517</v>
      </c>
      <c r="W307" s="97">
        <f>POISSON(N307,INDEX(Sectorwise!D:D,MATCH(Travel!F477,Sectorwise!A:A,0)),TRUE)</f>
        <v>1</v>
      </c>
    </row>
    <row r="308" spans="1:23" ht="15.75" hidden="1" customHeight="1" x14ac:dyDescent="0.2">
      <c r="A308" s="21" t="s">
        <v>597</v>
      </c>
      <c r="B308" s="21" t="s">
        <v>598</v>
      </c>
      <c r="C308" s="30" t="s">
        <v>600</v>
      </c>
      <c r="E308" s="56" t="s">
        <v>2287</v>
      </c>
      <c r="F308" s="21" t="s">
        <v>2135</v>
      </c>
      <c r="G308" s="56" t="s">
        <v>2309</v>
      </c>
      <c r="H308" s="21" t="s">
        <v>601</v>
      </c>
      <c r="I308" s="21" t="s">
        <v>570</v>
      </c>
      <c r="J308" s="25">
        <v>2540</v>
      </c>
      <c r="K308" s="25">
        <v>1677</v>
      </c>
      <c r="L308" s="26">
        <f t="shared" si="16"/>
        <v>4217</v>
      </c>
      <c r="M308" s="26">
        <f t="array" ref="M308">MEDIAN(IF($F$3:$F$810=F308,$L$3:$L$810))</f>
        <v>7234</v>
      </c>
      <c r="N308" s="47">
        <v>4217</v>
      </c>
      <c r="O308" s="55">
        <v>2858</v>
      </c>
      <c r="P308" s="76">
        <f>IF(N308&lt;INDEX(Sectorwise!E:E,MATCH(F308,Sectorwise!A:A,0)),1,0)</f>
        <v>1</v>
      </c>
      <c r="Q308" s="76">
        <f>IF(AND(N308&gt;=INDEX(Sectorwise!E:E,MATCH(F308,Sectorwise!A:A,0)),N308&lt;=INDEX(Sectorwise!F:F,MATCH(F308,Sectorwise!A:A,0))),1,0)</f>
        <v>0</v>
      </c>
      <c r="R308" s="76">
        <f>IF(N308&gt;INDEX(Sectorwise!F:F,MATCH(F308,Sectorwise!A:A,0)),1,0)</f>
        <v>0</v>
      </c>
      <c r="S308" s="27">
        <f t="shared" si="17"/>
        <v>4217</v>
      </c>
      <c r="T308" s="27">
        <f t="shared" si="18"/>
        <v>0</v>
      </c>
      <c r="U308" s="27">
        <f t="shared" si="19"/>
        <v>0</v>
      </c>
      <c r="V308" s="95">
        <f>IF(R308=1,(N308-INDEX(Sectorwise!F:F,MATCH(F308,Sectorwise!A:A,0))),0)</f>
        <v>0</v>
      </c>
      <c r="W308" s="97">
        <f>POISSON(N308,INDEX(Sectorwise!D:D,MATCH(Travel!F225,Sectorwise!A:A,0)),TRUE)</f>
        <v>0</v>
      </c>
    </row>
    <row r="309" spans="1:23" ht="15.75" hidden="1" customHeight="1" x14ac:dyDescent="0.2">
      <c r="A309" s="21" t="s">
        <v>630</v>
      </c>
      <c r="B309" s="21" t="s">
        <v>631</v>
      </c>
      <c r="C309" s="22"/>
      <c r="E309" s="56" t="s">
        <v>2287</v>
      </c>
      <c r="F309" s="21" t="s">
        <v>2135</v>
      </c>
      <c r="G309" s="69" t="s">
        <v>2308</v>
      </c>
      <c r="H309" s="21" t="s">
        <v>632</v>
      </c>
      <c r="I309" s="21" t="s">
        <v>633</v>
      </c>
      <c r="J309" s="25">
        <v>1445</v>
      </c>
      <c r="K309" s="25">
        <v>2655</v>
      </c>
      <c r="L309" s="26">
        <f t="shared" si="16"/>
        <v>4100</v>
      </c>
      <c r="M309" s="26">
        <f t="array" ref="M309">MEDIAN(IF($F$3:$F$810=F309,$L$3:$L$810))</f>
        <v>7234</v>
      </c>
      <c r="N309" s="47">
        <v>4100</v>
      </c>
      <c r="O309" s="55"/>
      <c r="P309" s="76">
        <f>IF(N309&lt;INDEX(Sectorwise!E:E,MATCH(F309,Sectorwise!A:A,0)),1,0)</f>
        <v>1</v>
      </c>
      <c r="Q309" s="76">
        <f>IF(AND(N309&gt;=INDEX(Sectorwise!E:E,MATCH(F309,Sectorwise!A:A,0)),N309&lt;=INDEX(Sectorwise!F:F,MATCH(F309,Sectorwise!A:A,0))),1,0)</f>
        <v>0</v>
      </c>
      <c r="R309" s="76">
        <f>IF(N309&gt;INDEX(Sectorwise!F:F,MATCH(F309,Sectorwise!A:A,0)),1,0)</f>
        <v>0</v>
      </c>
      <c r="S309" s="27">
        <f t="shared" si="17"/>
        <v>4100</v>
      </c>
      <c r="T309" s="27">
        <f t="shared" si="18"/>
        <v>0</v>
      </c>
      <c r="U309" s="27">
        <f t="shared" si="19"/>
        <v>0</v>
      </c>
      <c r="V309" s="95">
        <f>IF(R309=1,(N309-INDEX(Sectorwise!F:F,MATCH(F309,Sectorwise!A:A,0))),0)</f>
        <v>0</v>
      </c>
      <c r="W309" s="97">
        <f>POISSON(N309,INDEX(Sectorwise!D:D,MATCH(Travel!F236,Sectorwise!A:A,0)),TRUE)</f>
        <v>0</v>
      </c>
    </row>
    <row r="310" spans="1:23" ht="15.75" hidden="1" customHeight="1" x14ac:dyDescent="0.2">
      <c r="A310" s="21" t="s">
        <v>752</v>
      </c>
      <c r="B310" s="24" t="s">
        <v>753</v>
      </c>
      <c r="C310" s="22"/>
      <c r="D310" s="32"/>
      <c r="E310" s="56" t="s">
        <v>2287</v>
      </c>
      <c r="F310" s="21" t="s">
        <v>2135</v>
      </c>
      <c r="G310" s="63" t="s">
        <v>2312</v>
      </c>
      <c r="H310" s="21" t="s">
        <v>754</v>
      </c>
      <c r="I310" s="21" t="s">
        <v>731</v>
      </c>
      <c r="J310" s="25">
        <v>1445</v>
      </c>
      <c r="K310" s="25">
        <v>2508</v>
      </c>
      <c r="L310" s="26">
        <f t="shared" si="16"/>
        <v>3953</v>
      </c>
      <c r="M310" s="26">
        <f t="array" ref="M310">MEDIAN(IF($F$3:$F$810=F310,$L$3:$L$810))</f>
        <v>7234</v>
      </c>
      <c r="N310" s="47">
        <v>3953</v>
      </c>
      <c r="O310" s="55"/>
      <c r="P310" s="76">
        <f>IF(N310&lt;INDEX(Sectorwise!E:E,MATCH(F310,Sectorwise!A:A,0)),1,0)</f>
        <v>1</v>
      </c>
      <c r="Q310" s="76">
        <f>IF(AND(N310&gt;=INDEX(Sectorwise!E:E,MATCH(F310,Sectorwise!A:A,0)),N310&lt;=INDEX(Sectorwise!F:F,MATCH(F310,Sectorwise!A:A,0))),1,0)</f>
        <v>0</v>
      </c>
      <c r="R310" s="76">
        <f>IF(N310&gt;INDEX(Sectorwise!F:F,MATCH(F310,Sectorwise!A:A,0)),1,0)</f>
        <v>0</v>
      </c>
      <c r="S310" s="27">
        <f t="shared" si="17"/>
        <v>3953</v>
      </c>
      <c r="T310" s="27">
        <f t="shared" si="18"/>
        <v>0</v>
      </c>
      <c r="U310" s="27">
        <f t="shared" si="19"/>
        <v>0</v>
      </c>
      <c r="V310" s="95">
        <f>IF(R310=1,(N310-INDEX(Sectorwise!F:F,MATCH(F310,Sectorwise!A:A,0))),0)</f>
        <v>0</v>
      </c>
      <c r="W310" s="97">
        <f>POISSON(N310,INDEX(Sectorwise!D:D,MATCH(Travel!F285,Sectorwise!A:A,0)),TRUE)</f>
        <v>0</v>
      </c>
    </row>
    <row r="311" spans="1:23" ht="15.75" hidden="1" customHeight="1" x14ac:dyDescent="0.2">
      <c r="A311" s="56" t="s">
        <v>807</v>
      </c>
      <c r="B311" s="56" t="s">
        <v>815</v>
      </c>
      <c r="C311" s="56"/>
      <c r="E311" s="56" t="s">
        <v>2287</v>
      </c>
      <c r="F311" s="21" t="s">
        <v>2135</v>
      </c>
      <c r="G311" s="69" t="s">
        <v>2308</v>
      </c>
      <c r="H311" s="56" t="s">
        <v>816</v>
      </c>
      <c r="I311" s="56" t="s">
        <v>814</v>
      </c>
      <c r="J311" s="57">
        <v>2985</v>
      </c>
      <c r="K311" s="57">
        <v>2837</v>
      </c>
      <c r="L311" s="26">
        <f t="shared" si="16"/>
        <v>5822</v>
      </c>
      <c r="M311" s="26">
        <f t="array" ref="M311">MEDIAN(IF($F$3:$F$810=F311,$L$3:$L$810))</f>
        <v>7234</v>
      </c>
      <c r="N311" s="57">
        <v>5822</v>
      </c>
      <c r="O311" s="58">
        <v>0</v>
      </c>
      <c r="P311" s="76">
        <f>IF(N311&lt;INDEX(Sectorwise!E:E,MATCH(F311,Sectorwise!A:A,0)),1,0)</f>
        <v>1</v>
      </c>
      <c r="Q311" s="76">
        <f>IF(AND(N311&gt;=INDEX(Sectorwise!E:E,MATCH(F311,Sectorwise!A:A,0)),N311&lt;=INDEX(Sectorwise!F:F,MATCH(F311,Sectorwise!A:A,0))),1,0)</f>
        <v>0</v>
      </c>
      <c r="R311" s="76">
        <f>IF(N311&gt;INDEX(Sectorwise!F:F,MATCH(F311,Sectorwise!A:A,0)),1,0)</f>
        <v>0</v>
      </c>
      <c r="S311" s="27">
        <f t="shared" si="17"/>
        <v>5822</v>
      </c>
      <c r="T311" s="27">
        <f t="shared" si="18"/>
        <v>0</v>
      </c>
      <c r="U311" s="27">
        <f t="shared" si="19"/>
        <v>0</v>
      </c>
      <c r="V311" s="95">
        <f>IF(R311=1,(N311-INDEX(Sectorwise!F:F,MATCH(F311,Sectorwise!A:A,0))),0)</f>
        <v>0</v>
      </c>
      <c r="W311" s="97">
        <f>POISSON(N311,INDEX(Sectorwise!D:D,MATCH(Travel!F306,Sectorwise!A:A,0)),TRUE)</f>
        <v>0</v>
      </c>
    </row>
    <row r="312" spans="1:23" ht="15.75" hidden="1" customHeight="1" x14ac:dyDescent="0.2">
      <c r="A312" s="60" t="s">
        <v>964</v>
      </c>
      <c r="B312" s="60" t="s">
        <v>977</v>
      </c>
      <c r="C312" s="60"/>
      <c r="E312" s="56" t="s">
        <v>2287</v>
      </c>
      <c r="F312" s="21" t="s">
        <v>2135</v>
      </c>
      <c r="G312" s="69" t="s">
        <v>2308</v>
      </c>
      <c r="H312" s="60" t="s">
        <v>979</v>
      </c>
      <c r="I312" s="60" t="s">
        <v>938</v>
      </c>
      <c r="J312" s="61">
        <v>6306</v>
      </c>
      <c r="K312" s="61">
        <v>1045</v>
      </c>
      <c r="L312" s="26">
        <f t="shared" si="16"/>
        <v>7351</v>
      </c>
      <c r="M312" s="26">
        <f t="array" ref="M312">MEDIAN(IF($F$3:$F$810=F312,$L$3:$L$810))</f>
        <v>7234</v>
      </c>
      <c r="N312" s="61">
        <v>7351</v>
      </c>
      <c r="O312" s="62">
        <v>0</v>
      </c>
      <c r="P312" s="76">
        <f>IF(N312&lt;INDEX(Sectorwise!E:E,MATCH(F312,Sectorwise!A:A,0)),1,0)</f>
        <v>0</v>
      </c>
      <c r="Q312" s="76">
        <f>IF(AND(N312&gt;=INDEX(Sectorwise!E:E,MATCH(F312,Sectorwise!A:A,0)),N312&lt;=INDEX(Sectorwise!F:F,MATCH(F312,Sectorwise!A:A,0))),1,0)</f>
        <v>1</v>
      </c>
      <c r="R312" s="76">
        <f>IF(N312&gt;INDEX(Sectorwise!F:F,MATCH(F312,Sectorwise!A:A,0)),1,0)</f>
        <v>0</v>
      </c>
      <c r="S312" s="27">
        <f t="shared" si="17"/>
        <v>0</v>
      </c>
      <c r="T312" s="27">
        <f t="shared" si="18"/>
        <v>7351</v>
      </c>
      <c r="U312" s="27">
        <f t="shared" si="19"/>
        <v>0</v>
      </c>
      <c r="V312" s="95">
        <f>IF(R312=1,(N312-INDEX(Sectorwise!F:F,MATCH(F312,Sectorwise!A:A,0))),0)</f>
        <v>0</v>
      </c>
      <c r="W312" s="97">
        <f>POISSON(N312,INDEX(Sectorwise!D:D,MATCH(Travel!F367,Sectorwise!A:A,0)),TRUE)</f>
        <v>0.91616545889155065</v>
      </c>
    </row>
    <row r="313" spans="1:23" ht="15.75" hidden="1" customHeight="1" x14ac:dyDescent="0.2">
      <c r="A313" s="60" t="s">
        <v>1003</v>
      </c>
      <c r="B313" s="60" t="s">
        <v>1004</v>
      </c>
      <c r="C313" s="60"/>
      <c r="E313" s="56" t="s">
        <v>2287</v>
      </c>
      <c r="F313" s="21" t="s">
        <v>2135</v>
      </c>
      <c r="G313" s="69" t="s">
        <v>2308</v>
      </c>
      <c r="H313" s="60" t="s">
        <v>1005</v>
      </c>
      <c r="I313" s="60" t="s">
        <v>930</v>
      </c>
      <c r="J313" s="61">
        <v>6306</v>
      </c>
      <c r="K313" s="61">
        <v>1045</v>
      </c>
      <c r="L313" s="26">
        <f t="shared" si="16"/>
        <v>7351</v>
      </c>
      <c r="M313" s="26">
        <f t="array" ref="M313">MEDIAN(IF($F$3:$F$810=F313,$L$3:$L$810))</f>
        <v>7234</v>
      </c>
      <c r="N313" s="61">
        <v>7351</v>
      </c>
      <c r="O313" s="62">
        <v>0</v>
      </c>
      <c r="P313" s="76">
        <f>IF(N313&lt;INDEX(Sectorwise!E:E,MATCH(F313,Sectorwise!A:A,0)),1,0)</f>
        <v>0</v>
      </c>
      <c r="Q313" s="76">
        <f>IF(AND(N313&gt;=INDEX(Sectorwise!E:E,MATCH(F313,Sectorwise!A:A,0)),N313&lt;=INDEX(Sectorwise!F:F,MATCH(F313,Sectorwise!A:A,0))),1,0)</f>
        <v>1</v>
      </c>
      <c r="R313" s="76">
        <f>IF(N313&gt;INDEX(Sectorwise!F:F,MATCH(F313,Sectorwise!A:A,0)),1,0)</f>
        <v>0</v>
      </c>
      <c r="S313" s="27">
        <f t="shared" si="17"/>
        <v>0</v>
      </c>
      <c r="T313" s="27">
        <f t="shared" si="18"/>
        <v>7351</v>
      </c>
      <c r="U313" s="27">
        <f t="shared" si="19"/>
        <v>0</v>
      </c>
      <c r="V313" s="95">
        <f>IF(R313=1,(N313-INDEX(Sectorwise!F:F,MATCH(F313,Sectorwise!A:A,0))),0)</f>
        <v>0</v>
      </c>
      <c r="W313" s="97">
        <f>POISSON(N313,INDEX(Sectorwise!D:D,MATCH(Travel!F376,Sectorwise!A:A,0)),TRUE)</f>
        <v>0.91616545889155065</v>
      </c>
    </row>
    <row r="314" spans="1:23" ht="15.75" hidden="1" customHeight="1" x14ac:dyDescent="0.2">
      <c r="A314" s="63" t="s">
        <v>1069</v>
      </c>
      <c r="B314" s="63" t="s">
        <v>1070</v>
      </c>
      <c r="C314" s="63"/>
      <c r="E314" s="56" t="s">
        <v>2287</v>
      </c>
      <c r="F314" s="21" t="s">
        <v>2135</v>
      </c>
      <c r="G314" s="33" t="s">
        <v>2321</v>
      </c>
      <c r="H314" s="63" t="s">
        <v>1073</v>
      </c>
      <c r="I314" s="63" t="s">
        <v>1074</v>
      </c>
      <c r="J314" s="65">
        <v>4361</v>
      </c>
      <c r="K314" s="65">
        <v>3557</v>
      </c>
      <c r="L314" s="26">
        <f t="shared" si="16"/>
        <v>7918</v>
      </c>
      <c r="M314" s="26">
        <f t="array" ref="M314">MEDIAN(IF($F$3:$F$810=F314,$L$3:$L$810))</f>
        <v>7234</v>
      </c>
      <c r="N314" s="57">
        <f>J314+K314</f>
        <v>7918</v>
      </c>
      <c r="O314" s="62">
        <v>0</v>
      </c>
      <c r="P314" s="76">
        <f>IF(N314&lt;INDEX(Sectorwise!E:E,MATCH(F314,Sectorwise!A:A,0)),1,0)</f>
        <v>0</v>
      </c>
      <c r="Q314" s="76">
        <f>IF(AND(N314&gt;=INDEX(Sectorwise!E:E,MATCH(F314,Sectorwise!A:A,0)),N314&lt;=INDEX(Sectorwise!F:F,MATCH(F314,Sectorwise!A:A,0))),1,0)</f>
        <v>1</v>
      </c>
      <c r="R314" s="76">
        <f>IF(N314&gt;INDEX(Sectorwise!F:F,MATCH(F314,Sectorwise!A:A,0)),1,0)</f>
        <v>0</v>
      </c>
      <c r="S314" s="27">
        <f t="shared" si="17"/>
        <v>0</v>
      </c>
      <c r="T314" s="27">
        <f t="shared" si="18"/>
        <v>7918</v>
      </c>
      <c r="U314" s="27">
        <f t="shared" si="19"/>
        <v>0</v>
      </c>
      <c r="V314" s="95">
        <f>IF(R314=1,(N314-INDEX(Sectorwise!F:F,MATCH(F314,Sectorwise!A:A,0))),0)</f>
        <v>0</v>
      </c>
      <c r="W314" s="97">
        <f>POISSON(N314,INDEX(Sectorwise!D:D,MATCH(Travel!F404,Sectorwise!A:A,0)),TRUE)</f>
        <v>1</v>
      </c>
    </row>
    <row r="315" spans="1:23" ht="15.75" hidden="1" customHeight="1" x14ac:dyDescent="0.2">
      <c r="A315" s="29" t="s">
        <v>2053</v>
      </c>
      <c r="B315" s="29" t="s">
        <v>2059</v>
      </c>
      <c r="C315" s="29"/>
      <c r="E315" s="56" t="s">
        <v>2287</v>
      </c>
      <c r="F315" s="21" t="s">
        <v>2135</v>
      </c>
      <c r="G315" s="63" t="s">
        <v>2312</v>
      </c>
      <c r="H315" s="29" t="s">
        <v>2061</v>
      </c>
      <c r="I315" s="29" t="s">
        <v>2062</v>
      </c>
      <c r="J315" s="65">
        <v>4620</v>
      </c>
      <c r="K315" s="65">
        <v>3208</v>
      </c>
      <c r="L315" s="26">
        <f t="shared" si="16"/>
        <v>7828</v>
      </c>
      <c r="M315" s="26">
        <f t="array" ref="M315">MEDIAN(IF($F$3:$F$810=F315,$L$3:$L$810))</f>
        <v>7234</v>
      </c>
      <c r="N315" s="57">
        <f>J315+K315</f>
        <v>7828</v>
      </c>
      <c r="O315" s="65" t="e">
        <f>N315-#REF!</f>
        <v>#REF!</v>
      </c>
      <c r="P315" s="76">
        <f>IF(N315&lt;INDEX(Sectorwise!E:E,MATCH(F315,Sectorwise!A:A,0)),1,0)</f>
        <v>0</v>
      </c>
      <c r="Q315" s="76">
        <f>IF(AND(N315&gt;=INDEX(Sectorwise!E:E,MATCH(F315,Sectorwise!A:A,0)),N315&lt;=INDEX(Sectorwise!F:F,MATCH(F315,Sectorwise!A:A,0))),1,0)</f>
        <v>1</v>
      </c>
      <c r="R315" s="76">
        <f>IF(N315&gt;INDEX(Sectorwise!F:F,MATCH(F315,Sectorwise!A:A,0)),1,0)</f>
        <v>0</v>
      </c>
      <c r="S315" s="27">
        <f t="shared" si="17"/>
        <v>0</v>
      </c>
      <c r="T315" s="27">
        <f t="shared" si="18"/>
        <v>7828</v>
      </c>
      <c r="U315" s="27">
        <f t="shared" si="19"/>
        <v>0</v>
      </c>
      <c r="V315" s="95">
        <f>IF(R315=1,(N315-INDEX(Sectorwise!F:F,MATCH(F315,Sectorwise!A:A,0))),0)</f>
        <v>0</v>
      </c>
      <c r="W315" s="97">
        <f>POISSON(N315,INDEX(Sectorwise!D:D,MATCH(Travel!F785,Sectorwise!A:A,0)),TRUE)</f>
        <v>0.99999916430914437</v>
      </c>
    </row>
    <row r="316" spans="1:23" ht="15.75" hidden="1" customHeight="1" x14ac:dyDescent="0.2">
      <c r="A316" s="21" t="s">
        <v>700</v>
      </c>
      <c r="B316" s="24" t="s">
        <v>701</v>
      </c>
      <c r="C316" s="30"/>
      <c r="D316" s="32"/>
      <c r="E316" s="56" t="s">
        <v>2287</v>
      </c>
      <c r="F316" s="33" t="s">
        <v>2156</v>
      </c>
      <c r="G316" s="56" t="s">
        <v>2309</v>
      </c>
      <c r="H316" s="21" t="s">
        <v>702</v>
      </c>
      <c r="I316" s="21" t="s">
        <v>703</v>
      </c>
      <c r="J316" s="25">
        <v>1870</v>
      </c>
      <c r="K316" s="25">
        <v>3399</v>
      </c>
      <c r="L316" s="26">
        <f t="shared" si="16"/>
        <v>5269</v>
      </c>
      <c r="M316" s="26">
        <f t="array" ref="M316">MEDIAN(IF($F$3:$F$810=F316,$L$3:$L$810))</f>
        <v>9425</v>
      </c>
      <c r="N316" s="47">
        <v>5269</v>
      </c>
      <c r="O316" s="55"/>
      <c r="P316" s="76">
        <f>IF(N316&lt;INDEX(Sectorwise!E:E,MATCH(F316,Sectorwise!A:A,0)),1,0)</f>
        <v>1</v>
      </c>
      <c r="Q316" s="76">
        <f>IF(AND(N316&gt;=INDEX(Sectorwise!E:E,MATCH(F316,Sectorwise!A:A,0)),N316&lt;=INDEX(Sectorwise!F:F,MATCH(F316,Sectorwise!A:A,0))),1,0)</f>
        <v>0</v>
      </c>
      <c r="R316" s="76">
        <f>IF(N316&gt;INDEX(Sectorwise!F:F,MATCH(F316,Sectorwise!A:A,0)),1,0)</f>
        <v>0</v>
      </c>
      <c r="S316" s="27">
        <f t="shared" si="17"/>
        <v>5269</v>
      </c>
      <c r="T316" s="27">
        <f t="shared" si="18"/>
        <v>0</v>
      </c>
      <c r="U316" s="27">
        <f t="shared" si="19"/>
        <v>0</v>
      </c>
      <c r="V316" s="95">
        <f>IF(R316=1,(N316-INDEX(Sectorwise!F:F,MATCH(F316,Sectorwise!A:A,0))),0)</f>
        <v>0</v>
      </c>
      <c r="W316" s="97">
        <f>POISSON(N316,INDEX(Sectorwise!D:D,MATCH(Travel!F266,Sectorwise!A:A,0)),TRUE)</f>
        <v>2.6688354034802165E-152</v>
      </c>
    </row>
    <row r="317" spans="1:23" ht="15.75" hidden="1" customHeight="1" x14ac:dyDescent="0.2">
      <c r="A317" s="21" t="s">
        <v>710</v>
      </c>
      <c r="B317" s="24" t="s">
        <v>711</v>
      </c>
      <c r="C317" s="30"/>
      <c r="D317" s="32"/>
      <c r="E317" s="56" t="s">
        <v>2287</v>
      </c>
      <c r="F317" s="21" t="s">
        <v>2229</v>
      </c>
      <c r="G317" s="69" t="s">
        <v>2308</v>
      </c>
      <c r="H317" s="21" t="s">
        <v>712</v>
      </c>
      <c r="I317" s="21" t="s">
        <v>703</v>
      </c>
      <c r="J317" s="25">
        <v>3600</v>
      </c>
      <c r="K317" s="25">
        <v>4557</v>
      </c>
      <c r="L317" s="26">
        <f t="shared" si="16"/>
        <v>8157</v>
      </c>
      <c r="M317" s="26">
        <f t="array" ref="M317">MEDIAN(IF($F$3:$F$810=F317,$L$3:$L$810))</f>
        <v>8157</v>
      </c>
      <c r="N317" s="47">
        <v>8157</v>
      </c>
      <c r="O317" s="55"/>
      <c r="P317" s="76">
        <f>IF(N317&lt;INDEX(Sectorwise!E:E,MATCH(F317,Sectorwise!A:A,0)),1,0)</f>
        <v>0</v>
      </c>
      <c r="Q317" s="76">
        <f>IF(AND(N317&gt;=INDEX(Sectorwise!E:E,MATCH(F317,Sectorwise!A:A,0)),N317&lt;=INDEX(Sectorwise!F:F,MATCH(F317,Sectorwise!A:A,0))),1,0)</f>
        <v>1</v>
      </c>
      <c r="R317" s="76">
        <f>IF(N317&gt;INDEX(Sectorwise!F:F,MATCH(F317,Sectorwise!A:A,0)),1,0)</f>
        <v>0</v>
      </c>
      <c r="S317" s="27">
        <f t="shared" si="17"/>
        <v>0</v>
      </c>
      <c r="T317" s="27">
        <f t="shared" si="18"/>
        <v>8157</v>
      </c>
      <c r="U317" s="27">
        <f t="shared" si="19"/>
        <v>0</v>
      </c>
      <c r="V317" s="95">
        <f>IF(R317=1,(N317-INDEX(Sectorwise!F:F,MATCH(F317,Sectorwise!A:A,0))),0)</f>
        <v>0</v>
      </c>
      <c r="W317" s="97">
        <f>POISSON(N317,INDEX(Sectorwise!D:D,MATCH(Travel!F269,Sectorwise!A:A,0)),TRUE)</f>
        <v>1</v>
      </c>
    </row>
    <row r="318" spans="1:23" ht="15.75" hidden="1" customHeight="1" x14ac:dyDescent="0.2">
      <c r="A318" s="63" t="s">
        <v>1268</v>
      </c>
      <c r="B318" s="63" t="s">
        <v>1269</v>
      </c>
      <c r="C318" s="63"/>
      <c r="E318" s="56" t="s">
        <v>2287</v>
      </c>
      <c r="F318" s="21" t="s">
        <v>2149</v>
      </c>
      <c r="G318" s="63" t="s">
        <v>2312</v>
      </c>
      <c r="H318" s="63" t="s">
        <v>1271</v>
      </c>
      <c r="I318" s="63" t="s">
        <v>1272</v>
      </c>
      <c r="J318" s="65">
        <v>5240</v>
      </c>
      <c r="K318" s="65">
        <v>5060</v>
      </c>
      <c r="L318" s="26">
        <f t="shared" si="16"/>
        <v>10300</v>
      </c>
      <c r="M318" s="26">
        <f t="array" ref="M318">MEDIAN(IF($F$3:$F$810=F318,$L$3:$L$810))</f>
        <v>10332</v>
      </c>
      <c r="N318" s="57">
        <f>J318+K318</f>
        <v>10300</v>
      </c>
      <c r="O318" s="62">
        <v>0</v>
      </c>
      <c r="P318" s="76">
        <f>IF(N318&lt;INDEX(Sectorwise!E:E,MATCH(F318,Sectorwise!A:A,0)),1,0)</f>
        <v>0</v>
      </c>
      <c r="Q318" s="76">
        <f>IF(AND(N318&gt;=INDEX(Sectorwise!E:E,MATCH(F318,Sectorwise!A:A,0)),N318&lt;=INDEX(Sectorwise!F:F,MATCH(F318,Sectorwise!A:A,0))),1,0)</f>
        <v>1</v>
      </c>
      <c r="R318" s="76">
        <f>IF(N318&gt;INDEX(Sectorwise!F:F,MATCH(F318,Sectorwise!A:A,0)),1,0)</f>
        <v>0</v>
      </c>
      <c r="S318" s="27">
        <f t="shared" si="17"/>
        <v>0</v>
      </c>
      <c r="T318" s="27">
        <f t="shared" si="18"/>
        <v>10300</v>
      </c>
      <c r="U318" s="27">
        <f t="shared" si="19"/>
        <v>0</v>
      </c>
      <c r="V318" s="95">
        <f>IF(R318=1,(N318-INDEX(Sectorwise!F:F,MATCH(F318,Sectorwise!A:A,0))),0)</f>
        <v>0</v>
      </c>
      <c r="W318" s="97">
        <f>POISSON(N318,INDEX(Sectorwise!D:D,MATCH(Travel!F478,Sectorwise!A:A,0)),TRUE)</f>
        <v>1</v>
      </c>
    </row>
    <row r="319" spans="1:23" ht="15.75" hidden="1" customHeight="1" x14ac:dyDescent="0.2">
      <c r="A319" s="60" t="s">
        <v>1311</v>
      </c>
      <c r="B319" s="60" t="s">
        <v>1317</v>
      </c>
      <c r="C319" s="60"/>
      <c r="E319" s="56" t="s">
        <v>2287</v>
      </c>
      <c r="F319" s="21" t="s">
        <v>2149</v>
      </c>
      <c r="G319" s="60" t="s">
        <v>2316</v>
      </c>
      <c r="H319" s="60" t="s">
        <v>1318</v>
      </c>
      <c r="I319" s="60" t="s">
        <v>1314</v>
      </c>
      <c r="J319" s="61">
        <v>7050</v>
      </c>
      <c r="K319" s="61">
        <v>5794</v>
      </c>
      <c r="L319" s="26">
        <f t="shared" si="16"/>
        <v>12844</v>
      </c>
      <c r="M319" s="26">
        <f t="array" ref="M319">MEDIAN(IF($F$3:$F$810=F319,$L$3:$L$810))</f>
        <v>10332</v>
      </c>
      <c r="N319" s="61">
        <v>12844</v>
      </c>
      <c r="O319" s="62">
        <v>0</v>
      </c>
      <c r="P319" s="76">
        <f>IF(N319&lt;INDEX(Sectorwise!E:E,MATCH(F319,Sectorwise!A:A,0)),1,0)</f>
        <v>0</v>
      </c>
      <c r="Q319" s="76">
        <f>IF(AND(N319&gt;=INDEX(Sectorwise!E:E,MATCH(F319,Sectorwise!A:A,0)),N319&lt;=INDEX(Sectorwise!F:F,MATCH(F319,Sectorwise!A:A,0))),1,0)</f>
        <v>0</v>
      </c>
      <c r="R319" s="76">
        <f>IF(N319&gt;INDEX(Sectorwise!F:F,MATCH(F319,Sectorwise!A:A,0)),1,0)</f>
        <v>1</v>
      </c>
      <c r="S319" s="27">
        <f t="shared" si="17"/>
        <v>0</v>
      </c>
      <c r="T319" s="27">
        <f t="shared" si="18"/>
        <v>0</v>
      </c>
      <c r="U319" s="27">
        <f t="shared" si="19"/>
        <v>12844</v>
      </c>
      <c r="V319" s="95">
        <f>IF(R319=1,(N319-INDEX(Sectorwise!F:F,MATCH(F319,Sectorwise!A:A,0))),0)</f>
        <v>1444</v>
      </c>
      <c r="W319" s="97">
        <f>POISSON(N319,INDEX(Sectorwise!D:D,MATCH(Travel!F493,Sectorwise!A:A,0)),TRUE)</f>
        <v>1</v>
      </c>
    </row>
    <row r="320" spans="1:23" ht="15.75" hidden="1" customHeight="1" x14ac:dyDescent="0.2">
      <c r="A320" s="21" t="s">
        <v>657</v>
      </c>
      <c r="B320" s="21" t="s">
        <v>660</v>
      </c>
      <c r="C320" s="30" t="s">
        <v>661</v>
      </c>
      <c r="E320" s="63" t="s">
        <v>2288</v>
      </c>
      <c r="F320" s="21" t="s">
        <v>2144</v>
      </c>
      <c r="G320" s="69" t="s">
        <v>2308</v>
      </c>
      <c r="H320" s="21" t="s">
        <v>662</v>
      </c>
      <c r="I320" s="21" t="s">
        <v>621</v>
      </c>
      <c r="J320" s="25">
        <v>7645</v>
      </c>
      <c r="K320" s="25">
        <v>908</v>
      </c>
      <c r="L320" s="26">
        <f t="shared" si="16"/>
        <v>8553</v>
      </c>
      <c r="M320" s="26">
        <f t="array" ref="M320">MEDIAN(IF($F$3:$F$810=F320,$L$3:$L$810))</f>
        <v>9066</v>
      </c>
      <c r="N320" s="47">
        <v>8553</v>
      </c>
      <c r="O320" s="55">
        <v>8453</v>
      </c>
      <c r="P320" s="76">
        <f>IF(N320&lt;INDEX(Sectorwise!E:E,MATCH(F320,Sectorwise!A:A,0)),1,0)</f>
        <v>0</v>
      </c>
      <c r="Q320" s="76">
        <f>IF(AND(N320&gt;=INDEX(Sectorwise!E:E,MATCH(F320,Sectorwise!A:A,0)),N320&lt;=INDEX(Sectorwise!F:F,MATCH(F320,Sectorwise!A:A,0))),1,0)</f>
        <v>1</v>
      </c>
      <c r="R320" s="76">
        <f>IF(N320&gt;INDEX(Sectorwise!F:F,MATCH(F320,Sectorwise!A:A,0)),1,0)</f>
        <v>0</v>
      </c>
      <c r="S320" s="27">
        <f t="shared" si="17"/>
        <v>0</v>
      </c>
      <c r="T320" s="27">
        <f t="shared" si="18"/>
        <v>8553</v>
      </c>
      <c r="U320" s="27">
        <f t="shared" si="19"/>
        <v>0</v>
      </c>
      <c r="V320" s="95">
        <f>IF(R320=1,(N320-INDEX(Sectorwise!F:F,MATCH(F320,Sectorwise!A:A,0))),0)</f>
        <v>0</v>
      </c>
      <c r="W320" s="97">
        <f>POISSON(N320,INDEX(Sectorwise!D:D,MATCH(Travel!F250,Sectorwise!A:A,0)),TRUE)</f>
        <v>1.84547334023747E-105</v>
      </c>
    </row>
    <row r="321" spans="1:24" ht="15.75" hidden="1" customHeight="1" x14ac:dyDescent="0.2">
      <c r="A321" s="21" t="s">
        <v>630</v>
      </c>
      <c r="B321" s="21" t="s">
        <v>642</v>
      </c>
      <c r="C321" s="22"/>
      <c r="E321" s="63" t="s">
        <v>2288</v>
      </c>
      <c r="F321" s="21" t="s">
        <v>2137</v>
      </c>
      <c r="G321" s="56" t="s">
        <v>2309</v>
      </c>
      <c r="H321" s="21" t="s">
        <v>643</v>
      </c>
      <c r="I321" s="21" t="s">
        <v>621</v>
      </c>
      <c r="J321" s="25">
        <v>3930</v>
      </c>
      <c r="K321" s="25">
        <v>2192</v>
      </c>
      <c r="L321" s="26">
        <f t="shared" si="16"/>
        <v>6122</v>
      </c>
      <c r="M321" s="26">
        <f t="array" ref="M321">MEDIAN(IF($F$3:$F$810=F321,$L$3:$L$810))</f>
        <v>8229.5</v>
      </c>
      <c r="N321" s="47">
        <v>6122</v>
      </c>
      <c r="O321" s="55"/>
      <c r="P321" s="76">
        <f>IF(N321&lt;INDEX(Sectorwise!E:E,MATCH(F321,Sectorwise!A:A,0)),1,0)</f>
        <v>1</v>
      </c>
      <c r="Q321" s="76">
        <f>IF(AND(N321&gt;=INDEX(Sectorwise!E:E,MATCH(F321,Sectorwise!A:A,0)),N321&lt;=INDEX(Sectorwise!F:F,MATCH(F321,Sectorwise!A:A,0))),1,0)</f>
        <v>0</v>
      </c>
      <c r="R321" s="76">
        <f>IF(N321&gt;INDEX(Sectorwise!F:F,MATCH(F321,Sectorwise!A:A,0)),1,0)</f>
        <v>0</v>
      </c>
      <c r="S321" s="27">
        <f t="shared" si="17"/>
        <v>6122</v>
      </c>
      <c r="T321" s="27">
        <f t="shared" si="18"/>
        <v>0</v>
      </c>
      <c r="U321" s="27">
        <f t="shared" si="19"/>
        <v>0</v>
      </c>
      <c r="V321" s="95">
        <f>IF(R321=1,(N321-INDEX(Sectorwise!F:F,MATCH(F321,Sectorwise!A:A,0))),0)</f>
        <v>0</v>
      </c>
      <c r="W321" s="97">
        <f>POISSON(N321,INDEX(Sectorwise!D:D,MATCH(Travel!F241,Sectorwise!A:A,0)),TRUE)</f>
        <v>2.174771876160563E-41</v>
      </c>
    </row>
    <row r="322" spans="1:24" ht="15.75" hidden="1" customHeight="1" x14ac:dyDescent="0.2">
      <c r="A322" s="60" t="s">
        <v>912</v>
      </c>
      <c r="B322" s="60" t="s">
        <v>939</v>
      </c>
      <c r="C322" s="60"/>
      <c r="E322" s="63" t="s">
        <v>2288</v>
      </c>
      <c r="F322" s="21" t="s">
        <v>2137</v>
      </c>
      <c r="G322" s="56" t="s">
        <v>2309</v>
      </c>
      <c r="H322" s="60" t="s">
        <v>940</v>
      </c>
      <c r="I322" s="60" t="s">
        <v>938</v>
      </c>
      <c r="J322" s="61">
        <v>4950</v>
      </c>
      <c r="K322" s="61">
        <v>5387</v>
      </c>
      <c r="L322" s="26">
        <f t="shared" si="16"/>
        <v>10337</v>
      </c>
      <c r="M322" s="26">
        <f t="array" ref="M322">MEDIAN(IF($F$3:$F$810=F322,$L$3:$L$810))</f>
        <v>8229.5</v>
      </c>
      <c r="N322" s="61">
        <v>10337</v>
      </c>
      <c r="O322" s="62">
        <v>0</v>
      </c>
      <c r="P322" s="76">
        <f>IF(N322&lt;INDEX(Sectorwise!E:E,MATCH(F322,Sectorwise!A:A,0)),1,0)</f>
        <v>0</v>
      </c>
      <c r="Q322" s="76">
        <f>IF(AND(N322&gt;=INDEX(Sectorwise!E:E,MATCH(F322,Sectorwise!A:A,0)),N322&lt;=INDEX(Sectorwise!F:F,MATCH(F322,Sectorwise!A:A,0))),1,0)</f>
        <v>0</v>
      </c>
      <c r="R322" s="76">
        <f>IF(N322&gt;INDEX(Sectorwise!F:F,MATCH(F322,Sectorwise!A:A,0)),1,0)</f>
        <v>1</v>
      </c>
      <c r="S322" s="27">
        <f t="shared" si="17"/>
        <v>0</v>
      </c>
      <c r="T322" s="27">
        <f t="shared" si="18"/>
        <v>0</v>
      </c>
      <c r="U322" s="27">
        <f t="shared" si="19"/>
        <v>10337</v>
      </c>
      <c r="V322" s="95">
        <f>IF(R322=1,(N322-INDEX(Sectorwise!F:F,MATCH(F322,Sectorwise!A:A,0))),0)</f>
        <v>1237</v>
      </c>
      <c r="W322" s="97">
        <f>POISSON(N322,INDEX(Sectorwise!D:D,MATCH(Travel!F351,Sectorwise!A:A,0)),TRUE)</f>
        <v>1</v>
      </c>
    </row>
    <row r="323" spans="1:24" ht="15.75" hidden="1" customHeight="1" x14ac:dyDescent="0.2">
      <c r="A323" s="60" t="s">
        <v>912</v>
      </c>
      <c r="B323" s="60" t="s">
        <v>936</v>
      </c>
      <c r="C323" s="60"/>
      <c r="E323" s="63" t="s">
        <v>2288</v>
      </c>
      <c r="F323" s="21" t="s">
        <v>2154</v>
      </c>
      <c r="G323" s="69" t="s">
        <v>2308</v>
      </c>
      <c r="H323" s="60" t="s">
        <v>937</v>
      </c>
      <c r="I323" s="60" t="s">
        <v>938</v>
      </c>
      <c r="J323" s="61">
        <v>8399</v>
      </c>
      <c r="K323" s="61">
        <v>1078</v>
      </c>
      <c r="L323" s="26">
        <f t="shared" ref="L323:L386" si="20">J323+K323</f>
        <v>9477</v>
      </c>
      <c r="M323" s="26">
        <f t="array" ref="M323">MEDIAN(IF($F$3:$F$810=F323,$L$3:$L$810))</f>
        <v>9477</v>
      </c>
      <c r="N323" s="61">
        <v>9477</v>
      </c>
      <c r="O323" s="62">
        <v>0</v>
      </c>
      <c r="P323" s="76">
        <f>IF(N323&lt;INDEX(Sectorwise!E:E,MATCH(F323,Sectorwise!A:A,0)),1,0)</f>
        <v>0</v>
      </c>
      <c r="Q323" s="76">
        <f>IF(AND(N323&gt;=INDEX(Sectorwise!E:E,MATCH(F323,Sectorwise!A:A,0)),N323&lt;=INDEX(Sectorwise!F:F,MATCH(F323,Sectorwise!A:A,0))),1,0)</f>
        <v>1</v>
      </c>
      <c r="R323" s="76">
        <f>IF(N323&gt;INDEX(Sectorwise!F:F,MATCH(F323,Sectorwise!A:A,0)),1,0)</f>
        <v>0</v>
      </c>
      <c r="S323" s="27">
        <f t="shared" ref="S323:S386" si="21">IF(P323=0,0,N323)</f>
        <v>0</v>
      </c>
      <c r="T323" s="27">
        <f t="shared" ref="T323:T386" si="22">IF(Q323=0,0,N323)</f>
        <v>9477</v>
      </c>
      <c r="U323" s="27">
        <f t="shared" ref="U323:U386" si="23">IF(R323=0,0,N323)</f>
        <v>0</v>
      </c>
      <c r="V323" s="95">
        <f>IF(R323=1,(N323-INDEX(Sectorwise!F:F,MATCH(F323,Sectorwise!A:A,0))),0)</f>
        <v>0</v>
      </c>
      <c r="W323" s="97">
        <f>POISSON(N323,INDEX(Sectorwise!D:D,MATCH(Travel!F350,Sectorwise!A:A,0)),TRUE)</f>
        <v>0</v>
      </c>
    </row>
    <row r="324" spans="1:24" ht="15.75" hidden="1" customHeight="1" x14ac:dyDescent="0.2">
      <c r="A324" s="21" t="s">
        <v>176</v>
      </c>
      <c r="B324" s="21" t="s">
        <v>184</v>
      </c>
      <c r="C324" s="22"/>
      <c r="D324" s="32"/>
      <c r="E324" s="63" t="s">
        <v>2288</v>
      </c>
      <c r="F324" s="29" t="s">
        <v>2134</v>
      </c>
      <c r="G324" s="56" t="s">
        <v>2309</v>
      </c>
      <c r="H324" s="21" t="s">
        <v>185</v>
      </c>
      <c r="I324" s="21" t="s">
        <v>164</v>
      </c>
      <c r="J324" s="25">
        <v>4500</v>
      </c>
      <c r="K324" s="25">
        <v>3171</v>
      </c>
      <c r="L324" s="26">
        <f t="shared" si="20"/>
        <v>7671</v>
      </c>
      <c r="M324" s="26">
        <f t="array" ref="M324">MEDIAN(IF($F$3:$F$810=F324,$L$3:$L$810))</f>
        <v>7412.5</v>
      </c>
      <c r="N324" s="26">
        <v>7671</v>
      </c>
      <c r="O324" s="27"/>
      <c r="P324" s="76">
        <f>IF(N324&lt;INDEX(Sectorwise!E:E,MATCH(F324,Sectorwise!A:A,0)),1,0)</f>
        <v>0</v>
      </c>
      <c r="Q324" s="76">
        <f>IF(AND(N324&gt;=INDEX(Sectorwise!E:E,MATCH(F324,Sectorwise!A:A,0)),N324&lt;=INDEX(Sectorwise!F:F,MATCH(F324,Sectorwise!A:A,0))),1,0)</f>
        <v>1</v>
      </c>
      <c r="R324" s="76">
        <f>IF(N324&gt;INDEX(Sectorwise!F:F,MATCH(F324,Sectorwise!A:A,0)),1,0)</f>
        <v>0</v>
      </c>
      <c r="S324" s="27">
        <f t="shared" si="21"/>
        <v>0</v>
      </c>
      <c r="T324" s="27">
        <f t="shared" si="22"/>
        <v>7671</v>
      </c>
      <c r="U324" s="27">
        <f t="shared" si="23"/>
        <v>0</v>
      </c>
      <c r="V324" s="95">
        <f>IF(R324=1,(N324-INDEX(Sectorwise!F:F,MATCH(F324,Sectorwise!A:A,0))),0)</f>
        <v>0</v>
      </c>
      <c r="W324" s="97">
        <f>POISSON(N324,INDEX(Sectorwise!D:D,MATCH(Travel!F65,Sectorwise!A:A,0)),TRUE)</f>
        <v>3.4194471180777294E-3</v>
      </c>
      <c r="X324" s="28">
        <v>7671</v>
      </c>
    </row>
    <row r="325" spans="1:24" ht="15.75" hidden="1" customHeight="1" x14ac:dyDescent="0.2">
      <c r="A325" s="33" t="s">
        <v>224</v>
      </c>
      <c r="B325" s="33" t="s">
        <v>225</v>
      </c>
      <c r="C325" s="40"/>
      <c r="D325" s="35"/>
      <c r="E325" s="63" t="s">
        <v>2288</v>
      </c>
      <c r="F325" s="29" t="s">
        <v>2134</v>
      </c>
      <c r="G325" s="56" t="s">
        <v>2309</v>
      </c>
      <c r="H325" s="33" t="s">
        <v>226</v>
      </c>
      <c r="I325" s="33" t="s">
        <v>164</v>
      </c>
      <c r="J325" s="36">
        <v>4500</v>
      </c>
      <c r="K325" s="36">
        <v>3171</v>
      </c>
      <c r="L325" s="26">
        <f t="shared" si="20"/>
        <v>7671</v>
      </c>
      <c r="M325" s="26">
        <f t="array" ref="M325">MEDIAN(IF($F$3:$F$810=F325,$L$3:$L$810))</f>
        <v>7412.5</v>
      </c>
      <c r="N325" s="41">
        <v>7671</v>
      </c>
      <c r="O325" s="38"/>
      <c r="P325" s="76">
        <f>IF(N325&lt;INDEX(Sectorwise!E:E,MATCH(F325,Sectorwise!A:A,0)),1,0)</f>
        <v>0</v>
      </c>
      <c r="Q325" s="76">
        <f>IF(AND(N325&gt;=INDEX(Sectorwise!E:E,MATCH(F325,Sectorwise!A:A,0)),N325&lt;=INDEX(Sectorwise!F:F,MATCH(F325,Sectorwise!A:A,0))),1,0)</f>
        <v>1</v>
      </c>
      <c r="R325" s="76">
        <f>IF(N325&gt;INDEX(Sectorwise!F:F,MATCH(F325,Sectorwise!A:A,0)),1,0)</f>
        <v>0</v>
      </c>
      <c r="S325" s="27">
        <f t="shared" si="21"/>
        <v>0</v>
      </c>
      <c r="T325" s="27">
        <f t="shared" si="22"/>
        <v>7671</v>
      </c>
      <c r="U325" s="27">
        <f t="shared" si="23"/>
        <v>0</v>
      </c>
      <c r="V325" s="95">
        <f>IF(R325=1,(N325-INDEX(Sectorwise!F:F,MATCH(F325,Sectorwise!A:A,0))),0)</f>
        <v>0</v>
      </c>
      <c r="W325" s="97">
        <f>POISSON(N325,INDEX(Sectorwise!D:D,MATCH(Travel!F84,Sectorwise!A:A,0)),TRUE)</f>
        <v>0.99999982582459435</v>
      </c>
      <c r="X325" s="39">
        <f>+N325-O325</f>
        <v>7671</v>
      </c>
    </row>
    <row r="326" spans="1:24" ht="15.75" hidden="1" customHeight="1" x14ac:dyDescent="0.2">
      <c r="A326" s="33" t="s">
        <v>263</v>
      </c>
      <c r="B326" s="33" t="s">
        <v>264</v>
      </c>
      <c r="C326" s="40"/>
      <c r="D326" s="35"/>
      <c r="E326" s="63" t="s">
        <v>2288</v>
      </c>
      <c r="F326" s="29" t="s">
        <v>2134</v>
      </c>
      <c r="G326" s="56" t="s">
        <v>2309</v>
      </c>
      <c r="H326" s="33" t="s">
        <v>265</v>
      </c>
      <c r="I326" s="33" t="s">
        <v>240</v>
      </c>
      <c r="J326" s="36">
        <v>4500</v>
      </c>
      <c r="K326" s="36">
        <v>3171</v>
      </c>
      <c r="L326" s="26">
        <f t="shared" si="20"/>
        <v>7671</v>
      </c>
      <c r="M326" s="26">
        <f t="array" ref="M326">MEDIAN(IF($F$3:$F$810=F326,$L$3:$L$810))</f>
        <v>7412.5</v>
      </c>
      <c r="N326" s="41">
        <v>7671</v>
      </c>
      <c r="O326" s="38"/>
      <c r="P326" s="76">
        <f>IF(N326&lt;INDEX(Sectorwise!E:E,MATCH(F326,Sectorwise!A:A,0)),1,0)</f>
        <v>0</v>
      </c>
      <c r="Q326" s="76">
        <f>IF(AND(N326&gt;=INDEX(Sectorwise!E:E,MATCH(F326,Sectorwise!A:A,0)),N326&lt;=INDEX(Sectorwise!F:F,MATCH(F326,Sectorwise!A:A,0))),1,0)</f>
        <v>1</v>
      </c>
      <c r="R326" s="76">
        <f>IF(N326&gt;INDEX(Sectorwise!F:F,MATCH(F326,Sectorwise!A:A,0)),1,0)</f>
        <v>0</v>
      </c>
      <c r="S326" s="27">
        <f t="shared" si="21"/>
        <v>0</v>
      </c>
      <c r="T326" s="27">
        <f t="shared" si="22"/>
        <v>7671</v>
      </c>
      <c r="U326" s="27">
        <f t="shared" si="23"/>
        <v>0</v>
      </c>
      <c r="V326" s="95">
        <f>IF(R326=1,(N326-INDEX(Sectorwise!F:F,MATCH(F326,Sectorwise!A:A,0))),0)</f>
        <v>0</v>
      </c>
      <c r="W326" s="97">
        <f>POISSON(N326,INDEX(Sectorwise!D:D,MATCH(Travel!F99,Sectorwise!A:A,0)),TRUE)</f>
        <v>0.99861843644391424</v>
      </c>
      <c r="X326" s="39">
        <f>+N326-O326</f>
        <v>7671</v>
      </c>
    </row>
    <row r="327" spans="1:24" ht="15.75" hidden="1" customHeight="1" x14ac:dyDescent="0.2">
      <c r="A327" s="33" t="s">
        <v>319</v>
      </c>
      <c r="B327" s="33" t="s">
        <v>320</v>
      </c>
      <c r="C327" s="40"/>
      <c r="D327" s="35"/>
      <c r="E327" s="63" t="s">
        <v>2288</v>
      </c>
      <c r="F327" s="29" t="s">
        <v>2134</v>
      </c>
      <c r="G327" s="56" t="s">
        <v>2309</v>
      </c>
      <c r="H327" s="33" t="s">
        <v>321</v>
      </c>
      <c r="I327" s="33" t="s">
        <v>322</v>
      </c>
      <c r="J327" s="42">
        <v>4500</v>
      </c>
      <c r="K327" s="45">
        <v>3171</v>
      </c>
      <c r="L327" s="26">
        <f t="shared" si="20"/>
        <v>7671</v>
      </c>
      <c r="M327" s="26">
        <f t="array" ref="M327">MEDIAN(IF($F$3:$F$810=F327,$L$3:$L$810))</f>
        <v>7412.5</v>
      </c>
      <c r="N327" s="43">
        <f>+J327+K327</f>
        <v>7671</v>
      </c>
      <c r="O327" s="38"/>
      <c r="P327" s="76">
        <f>IF(N327&lt;INDEX(Sectorwise!E:E,MATCH(F327,Sectorwise!A:A,0)),1,0)</f>
        <v>0</v>
      </c>
      <c r="Q327" s="76">
        <f>IF(AND(N327&gt;=INDEX(Sectorwise!E:E,MATCH(F327,Sectorwise!A:A,0)),N327&lt;=INDEX(Sectorwise!F:F,MATCH(F327,Sectorwise!A:A,0))),1,0)</f>
        <v>1</v>
      </c>
      <c r="R327" s="76">
        <f>IF(N327&gt;INDEX(Sectorwise!F:F,MATCH(F327,Sectorwise!A:A,0)),1,0)</f>
        <v>0</v>
      </c>
      <c r="S327" s="27">
        <f t="shared" si="21"/>
        <v>0</v>
      </c>
      <c r="T327" s="27">
        <f t="shared" si="22"/>
        <v>7671</v>
      </c>
      <c r="U327" s="27">
        <f t="shared" si="23"/>
        <v>0</v>
      </c>
      <c r="V327" s="95">
        <f>IF(R327=1,(N327-INDEX(Sectorwise!F:F,MATCH(F327,Sectorwise!A:A,0))),0)</f>
        <v>0</v>
      </c>
      <c r="W327" s="97">
        <f>POISSON(N327,INDEX(Sectorwise!D:D,MATCH(Travel!F120,Sectorwise!A:A,0)),TRUE)</f>
        <v>9.7486827763195762E-198</v>
      </c>
      <c r="X327" s="44">
        <f>+N327-O327</f>
        <v>7671</v>
      </c>
    </row>
    <row r="328" spans="1:24" ht="15.75" hidden="1" customHeight="1" x14ac:dyDescent="0.2">
      <c r="A328" s="33" t="s">
        <v>358</v>
      </c>
      <c r="B328" s="33" t="s">
        <v>366</v>
      </c>
      <c r="C328" s="40"/>
      <c r="D328" s="35"/>
      <c r="E328" s="63" t="s">
        <v>2288</v>
      </c>
      <c r="F328" s="29" t="s">
        <v>2134</v>
      </c>
      <c r="G328" s="56" t="s">
        <v>2309</v>
      </c>
      <c r="H328" s="33" t="s">
        <v>367</v>
      </c>
      <c r="I328" s="33" t="s">
        <v>361</v>
      </c>
      <c r="J328" s="42">
        <v>4550</v>
      </c>
      <c r="K328" s="45">
        <v>3122</v>
      </c>
      <c r="L328" s="26">
        <f t="shared" si="20"/>
        <v>7672</v>
      </c>
      <c r="M328" s="26">
        <f t="array" ref="M328">MEDIAN(IF($F$3:$F$810=F328,$L$3:$L$810))</f>
        <v>7412.5</v>
      </c>
      <c r="N328" s="43">
        <f>+J328+K328</f>
        <v>7672</v>
      </c>
      <c r="O328" s="38"/>
      <c r="P328" s="76">
        <f>IF(N328&lt;INDEX(Sectorwise!E:E,MATCH(F328,Sectorwise!A:A,0)),1,0)</f>
        <v>0</v>
      </c>
      <c r="Q328" s="76">
        <f>IF(AND(N328&gt;=INDEX(Sectorwise!E:E,MATCH(F328,Sectorwise!A:A,0)),N328&lt;=INDEX(Sectorwise!F:F,MATCH(F328,Sectorwise!A:A,0))),1,0)</f>
        <v>1</v>
      </c>
      <c r="R328" s="76">
        <f>IF(N328&gt;INDEX(Sectorwise!F:F,MATCH(F328,Sectorwise!A:A,0)),1,0)</f>
        <v>0</v>
      </c>
      <c r="S328" s="27">
        <f t="shared" si="21"/>
        <v>0</v>
      </c>
      <c r="T328" s="27">
        <f t="shared" si="22"/>
        <v>7672</v>
      </c>
      <c r="U328" s="27">
        <f t="shared" si="23"/>
        <v>0</v>
      </c>
      <c r="V328" s="95">
        <f>IF(R328=1,(N328-INDEX(Sectorwise!F:F,MATCH(F328,Sectorwise!A:A,0))),0)</f>
        <v>0</v>
      </c>
      <c r="W328" s="97">
        <f>POISSON(N328,INDEX(Sectorwise!D:D,MATCH(Travel!F136,Sectorwise!A:A,0)),TRUE)</f>
        <v>0</v>
      </c>
      <c r="X328" s="44">
        <f>+N328-O328</f>
        <v>7672</v>
      </c>
    </row>
    <row r="329" spans="1:24" ht="15.75" hidden="1" customHeight="1" x14ac:dyDescent="0.2">
      <c r="A329" s="21" t="s">
        <v>572</v>
      </c>
      <c r="B329" s="21" t="s">
        <v>576</v>
      </c>
      <c r="C329" s="22"/>
      <c r="E329" s="63" t="s">
        <v>2288</v>
      </c>
      <c r="F329" s="29" t="s">
        <v>2134</v>
      </c>
      <c r="G329" s="56" t="s">
        <v>2309</v>
      </c>
      <c r="H329" s="21" t="s">
        <v>577</v>
      </c>
      <c r="I329" s="21" t="s">
        <v>578</v>
      </c>
      <c r="J329" s="25">
        <v>2540</v>
      </c>
      <c r="K329" s="25">
        <v>1541</v>
      </c>
      <c r="L329" s="26">
        <f t="shared" si="20"/>
        <v>4081</v>
      </c>
      <c r="M329" s="26">
        <f t="array" ref="M329">MEDIAN(IF($F$3:$F$810=F329,$L$3:$L$810))</f>
        <v>7412.5</v>
      </c>
      <c r="N329" s="47">
        <v>4081</v>
      </c>
      <c r="O329" s="55"/>
      <c r="P329" s="76">
        <f>IF(N329&lt;INDEX(Sectorwise!E:E,MATCH(F329,Sectorwise!A:A,0)),1,0)</f>
        <v>1</v>
      </c>
      <c r="Q329" s="76">
        <f>IF(AND(N329&gt;=INDEX(Sectorwise!E:E,MATCH(F329,Sectorwise!A:A,0)),N329&lt;=INDEX(Sectorwise!F:F,MATCH(F329,Sectorwise!A:A,0))),1,0)</f>
        <v>0</v>
      </c>
      <c r="R329" s="76">
        <f>IF(N329&gt;INDEX(Sectorwise!F:F,MATCH(F329,Sectorwise!A:A,0)),1,0)</f>
        <v>0</v>
      </c>
      <c r="S329" s="27">
        <f t="shared" si="21"/>
        <v>4081</v>
      </c>
      <c r="T329" s="27">
        <f t="shared" si="22"/>
        <v>0</v>
      </c>
      <c r="U329" s="27">
        <f t="shared" si="23"/>
        <v>0</v>
      </c>
      <c r="V329" s="95">
        <f>IF(R329=1,(N329-INDEX(Sectorwise!F:F,MATCH(F329,Sectorwise!A:A,0))),0)</f>
        <v>0</v>
      </c>
      <c r="W329" s="97">
        <f>POISSON(N329,INDEX(Sectorwise!D:D,MATCH(Travel!F217,Sectorwise!A:A,0)),TRUE)</f>
        <v>0</v>
      </c>
    </row>
    <row r="330" spans="1:24" ht="15.75" hidden="1" customHeight="1" x14ac:dyDescent="0.2">
      <c r="A330" s="21" t="s">
        <v>630</v>
      </c>
      <c r="B330" s="21" t="s">
        <v>636</v>
      </c>
      <c r="C330" s="22"/>
      <c r="E330" s="63" t="s">
        <v>2288</v>
      </c>
      <c r="F330" s="29" t="s">
        <v>2134</v>
      </c>
      <c r="G330" s="63" t="s">
        <v>2312</v>
      </c>
      <c r="H330" s="21" t="s">
        <v>637</v>
      </c>
      <c r="I330" s="21" t="s">
        <v>604</v>
      </c>
      <c r="J330" s="25">
        <v>1716</v>
      </c>
      <c r="K330" s="25">
        <v>2965</v>
      </c>
      <c r="L330" s="26">
        <f t="shared" si="20"/>
        <v>4681</v>
      </c>
      <c r="M330" s="26">
        <f t="array" ref="M330">MEDIAN(IF($F$3:$F$810=F330,$L$3:$L$810))</f>
        <v>7412.5</v>
      </c>
      <c r="N330" s="47">
        <v>4681</v>
      </c>
      <c r="O330" s="55"/>
      <c r="P330" s="76">
        <f>IF(N330&lt;INDEX(Sectorwise!E:E,MATCH(F330,Sectorwise!A:A,0)),1,0)</f>
        <v>1</v>
      </c>
      <c r="Q330" s="76">
        <f>IF(AND(N330&gt;=INDEX(Sectorwise!E:E,MATCH(F330,Sectorwise!A:A,0)),N330&lt;=INDEX(Sectorwise!F:F,MATCH(F330,Sectorwise!A:A,0))),1,0)</f>
        <v>0</v>
      </c>
      <c r="R330" s="76">
        <f>IF(N330&gt;INDEX(Sectorwise!F:F,MATCH(F330,Sectorwise!A:A,0)),1,0)</f>
        <v>0</v>
      </c>
      <c r="S330" s="27">
        <f t="shared" si="21"/>
        <v>4681</v>
      </c>
      <c r="T330" s="27">
        <f t="shared" si="22"/>
        <v>0</v>
      </c>
      <c r="U330" s="27">
        <f t="shared" si="23"/>
        <v>0</v>
      </c>
      <c r="V330" s="95">
        <f>IF(R330=1,(N330-INDEX(Sectorwise!F:F,MATCH(F330,Sectorwise!A:A,0))),0)</f>
        <v>0</v>
      </c>
      <c r="W330" s="97">
        <f>POISSON(N330,INDEX(Sectorwise!D:D,MATCH(Travel!F238,Sectorwise!A:A,0)),TRUE)</f>
        <v>2.2884287713310222E-226</v>
      </c>
    </row>
    <row r="331" spans="1:24" ht="15.75" hidden="1" customHeight="1" x14ac:dyDescent="0.2">
      <c r="A331" s="21" t="s">
        <v>669</v>
      </c>
      <c r="B331" s="24" t="s">
        <v>678</v>
      </c>
      <c r="C331" s="22"/>
      <c r="D331" s="32"/>
      <c r="E331" s="63" t="s">
        <v>2288</v>
      </c>
      <c r="F331" s="29" t="s">
        <v>2134</v>
      </c>
      <c r="G331" s="56" t="s">
        <v>2309</v>
      </c>
      <c r="H331" s="21" t="s">
        <v>679</v>
      </c>
      <c r="I331" s="21" t="s">
        <v>680</v>
      </c>
      <c r="J331" s="25">
        <v>1638</v>
      </c>
      <c r="K331" s="25">
        <v>1491</v>
      </c>
      <c r="L331" s="26">
        <f t="shared" si="20"/>
        <v>3129</v>
      </c>
      <c r="M331" s="26">
        <f t="array" ref="M331">MEDIAN(IF($F$3:$F$810=F331,$L$3:$L$810))</f>
        <v>7412.5</v>
      </c>
      <c r="N331" s="47">
        <v>3129</v>
      </c>
      <c r="O331" s="55"/>
      <c r="P331" s="76">
        <f>IF(N331&lt;INDEX(Sectorwise!E:E,MATCH(F331,Sectorwise!A:A,0)),1,0)</f>
        <v>1</v>
      </c>
      <c r="Q331" s="76">
        <f>IF(AND(N331&gt;=INDEX(Sectorwise!E:E,MATCH(F331,Sectorwise!A:A,0)),N331&lt;=INDEX(Sectorwise!F:F,MATCH(F331,Sectorwise!A:A,0))),1,0)</f>
        <v>0</v>
      </c>
      <c r="R331" s="76">
        <f>IF(N331&gt;INDEX(Sectorwise!F:F,MATCH(F331,Sectorwise!A:A,0)),1,0)</f>
        <v>0</v>
      </c>
      <c r="S331" s="27">
        <f t="shared" si="21"/>
        <v>3129</v>
      </c>
      <c r="T331" s="27">
        <f t="shared" si="22"/>
        <v>0</v>
      </c>
      <c r="U331" s="27">
        <f t="shared" si="23"/>
        <v>0</v>
      </c>
      <c r="V331" s="95">
        <f>IF(R331=1,(N331-INDEX(Sectorwise!F:F,MATCH(F331,Sectorwise!A:A,0))),0)</f>
        <v>0</v>
      </c>
      <c r="W331" s="97">
        <f>POISSON(N331,INDEX(Sectorwise!D:D,MATCH(Travel!F257,Sectorwise!A:A,0)),TRUE)</f>
        <v>0</v>
      </c>
    </row>
    <row r="332" spans="1:24" ht="15.75" hidden="1" customHeight="1" x14ac:dyDescent="0.2">
      <c r="A332" s="21" t="s">
        <v>755</v>
      </c>
      <c r="B332" s="24" t="s">
        <v>756</v>
      </c>
      <c r="C332" s="52"/>
      <c r="D332" s="32"/>
      <c r="E332" s="63" t="s">
        <v>2288</v>
      </c>
      <c r="F332" s="29" t="s">
        <v>2134</v>
      </c>
      <c r="G332" s="56" t="s">
        <v>2309</v>
      </c>
      <c r="H332" s="21" t="s">
        <v>757</v>
      </c>
      <c r="I332" s="21" t="s">
        <v>758</v>
      </c>
      <c r="J332" s="25">
        <v>4360</v>
      </c>
      <c r="K332" s="25">
        <v>1800</v>
      </c>
      <c r="L332" s="26">
        <f t="shared" si="20"/>
        <v>6160</v>
      </c>
      <c r="M332" s="26">
        <f t="array" ref="M332">MEDIAN(IF($F$3:$F$810=F332,$L$3:$L$810))</f>
        <v>7412.5</v>
      </c>
      <c r="N332" s="47">
        <v>6160</v>
      </c>
      <c r="O332" s="55"/>
      <c r="P332" s="76">
        <f>IF(N332&lt;INDEX(Sectorwise!E:E,MATCH(F332,Sectorwise!A:A,0)),1,0)</f>
        <v>1</v>
      </c>
      <c r="Q332" s="76">
        <f>IF(AND(N332&gt;=INDEX(Sectorwise!E:E,MATCH(F332,Sectorwise!A:A,0)),N332&lt;=INDEX(Sectorwise!F:F,MATCH(F332,Sectorwise!A:A,0))),1,0)</f>
        <v>0</v>
      </c>
      <c r="R332" s="76">
        <f>IF(N332&gt;INDEX(Sectorwise!F:F,MATCH(F332,Sectorwise!A:A,0)),1,0)</f>
        <v>0</v>
      </c>
      <c r="S332" s="27">
        <f t="shared" si="21"/>
        <v>6160</v>
      </c>
      <c r="T332" s="27">
        <f t="shared" si="22"/>
        <v>0</v>
      </c>
      <c r="U332" s="27">
        <f t="shared" si="23"/>
        <v>0</v>
      </c>
      <c r="V332" s="95">
        <f>IF(R332=1,(N332-INDEX(Sectorwise!F:F,MATCH(F332,Sectorwise!A:A,0))),0)</f>
        <v>0</v>
      </c>
      <c r="W332" s="97">
        <f>POISSON(N332,INDEX(Sectorwise!D:D,MATCH(Travel!F286,Sectorwise!A:A,0)),TRUE)</f>
        <v>4.877308860315722E-51</v>
      </c>
    </row>
    <row r="333" spans="1:24" ht="15.75" hidden="1" customHeight="1" x14ac:dyDescent="0.2">
      <c r="A333" s="56" t="s">
        <v>787</v>
      </c>
      <c r="B333" s="56" t="s">
        <v>788</v>
      </c>
      <c r="C333" s="56"/>
      <c r="E333" s="63" t="s">
        <v>2288</v>
      </c>
      <c r="F333" s="29" t="s">
        <v>2134</v>
      </c>
      <c r="G333" s="56" t="s">
        <v>2309</v>
      </c>
      <c r="H333" s="56" t="s">
        <v>789</v>
      </c>
      <c r="I333" s="56" t="s">
        <v>773</v>
      </c>
      <c r="J333" s="57">
        <v>5340</v>
      </c>
      <c r="K333" s="57">
        <v>1853</v>
      </c>
      <c r="L333" s="26">
        <f t="shared" si="20"/>
        <v>7193</v>
      </c>
      <c r="M333" s="26">
        <f t="array" ref="M333">MEDIAN(IF($F$3:$F$810=F333,$L$3:$L$810))</f>
        <v>7412.5</v>
      </c>
      <c r="N333" s="57">
        <v>7193</v>
      </c>
      <c r="O333" s="58">
        <v>0</v>
      </c>
      <c r="P333" s="76">
        <f>IF(N333&lt;INDEX(Sectorwise!E:E,MATCH(F333,Sectorwise!A:A,0)),1,0)</f>
        <v>0</v>
      </c>
      <c r="Q333" s="76">
        <f>IF(AND(N333&gt;=INDEX(Sectorwise!E:E,MATCH(F333,Sectorwise!A:A,0)),N333&lt;=INDEX(Sectorwise!F:F,MATCH(F333,Sectorwise!A:A,0))),1,0)</f>
        <v>1</v>
      </c>
      <c r="R333" s="76">
        <f>IF(N333&gt;INDEX(Sectorwise!F:F,MATCH(F333,Sectorwise!A:A,0)),1,0)</f>
        <v>0</v>
      </c>
      <c r="S333" s="27">
        <f t="shared" si="21"/>
        <v>0</v>
      </c>
      <c r="T333" s="27">
        <f t="shared" si="22"/>
        <v>7193</v>
      </c>
      <c r="U333" s="27">
        <f t="shared" si="23"/>
        <v>0</v>
      </c>
      <c r="V333" s="95">
        <f>IF(R333=1,(N333-INDEX(Sectorwise!F:F,MATCH(F333,Sectorwise!A:A,0))),0)</f>
        <v>0</v>
      </c>
      <c r="W333" s="97">
        <f>POISSON(N333,INDEX(Sectorwise!D:D,MATCH(Travel!F296,Sectorwise!A:A,0)),TRUE)</f>
        <v>0.31751536976992895</v>
      </c>
    </row>
    <row r="334" spans="1:24" ht="15.75" hidden="1" customHeight="1" x14ac:dyDescent="0.2">
      <c r="A334" s="56" t="s">
        <v>797</v>
      </c>
      <c r="B334" s="56" t="s">
        <v>798</v>
      </c>
      <c r="C334" s="59" t="s">
        <v>799</v>
      </c>
      <c r="E334" s="63" t="s">
        <v>2288</v>
      </c>
      <c r="F334" s="29" t="s">
        <v>2134</v>
      </c>
      <c r="G334" s="69" t="s">
        <v>2308</v>
      </c>
      <c r="H334" s="56" t="s">
        <v>800</v>
      </c>
      <c r="I334" s="56" t="s">
        <v>801</v>
      </c>
      <c r="J334" s="57">
        <v>480</v>
      </c>
      <c r="K334" s="57">
        <v>2395</v>
      </c>
      <c r="L334" s="26">
        <f t="shared" si="20"/>
        <v>2875</v>
      </c>
      <c r="M334" s="26">
        <f t="array" ref="M334">MEDIAN(IF($F$3:$F$810=F334,$L$3:$L$810))</f>
        <v>7412.5</v>
      </c>
      <c r="N334" s="57">
        <v>2875</v>
      </c>
      <c r="O334" s="58">
        <v>1275</v>
      </c>
      <c r="P334" s="76">
        <f>IF(N334&lt;INDEX(Sectorwise!E:E,MATCH(F334,Sectorwise!A:A,0)),1,0)</f>
        <v>1</v>
      </c>
      <c r="Q334" s="76">
        <f>IF(AND(N334&gt;=INDEX(Sectorwise!E:E,MATCH(F334,Sectorwise!A:A,0)),N334&lt;=INDEX(Sectorwise!F:F,MATCH(F334,Sectorwise!A:A,0))),1,0)</f>
        <v>0</v>
      </c>
      <c r="R334" s="76">
        <f>IF(N334&gt;INDEX(Sectorwise!F:F,MATCH(F334,Sectorwise!A:A,0)),1,0)</f>
        <v>0</v>
      </c>
      <c r="S334" s="27">
        <f t="shared" si="21"/>
        <v>2875</v>
      </c>
      <c r="T334" s="27">
        <f t="shared" si="22"/>
        <v>0</v>
      </c>
      <c r="U334" s="27">
        <f t="shared" si="23"/>
        <v>0</v>
      </c>
      <c r="V334" s="95">
        <f>IF(R334=1,(N334-INDEX(Sectorwise!F:F,MATCH(F334,Sectorwise!A:A,0))),0)</f>
        <v>0</v>
      </c>
      <c r="W334" s="97">
        <f>POISSON(N334,INDEX(Sectorwise!D:D,MATCH(Travel!F300,Sectorwise!A:A,0)),TRUE)</f>
        <v>0</v>
      </c>
    </row>
    <row r="335" spans="1:24" ht="15.75" hidden="1" customHeight="1" x14ac:dyDescent="0.2">
      <c r="A335" s="56" t="s">
        <v>807</v>
      </c>
      <c r="B335" s="56" t="s">
        <v>819</v>
      </c>
      <c r="C335" s="56"/>
      <c r="E335" s="63" t="s">
        <v>2288</v>
      </c>
      <c r="F335" s="29" t="s">
        <v>2134</v>
      </c>
      <c r="G335" s="56" t="s">
        <v>2309</v>
      </c>
      <c r="H335" s="56" t="s">
        <v>820</v>
      </c>
      <c r="I335" s="56" t="s">
        <v>814</v>
      </c>
      <c r="J335" s="57">
        <v>4360</v>
      </c>
      <c r="K335" s="57">
        <v>1824</v>
      </c>
      <c r="L335" s="26">
        <f t="shared" si="20"/>
        <v>6184</v>
      </c>
      <c r="M335" s="26">
        <f t="array" ref="M335">MEDIAN(IF($F$3:$F$810=F335,$L$3:$L$810))</f>
        <v>7412.5</v>
      </c>
      <c r="N335" s="57">
        <v>10530</v>
      </c>
      <c r="O335" s="58">
        <v>0</v>
      </c>
      <c r="P335" s="76">
        <f>IF(N335&lt;INDEX(Sectorwise!E:E,MATCH(F335,Sectorwise!A:A,0)),1,0)</f>
        <v>0</v>
      </c>
      <c r="Q335" s="76">
        <f>IF(AND(N335&gt;=INDEX(Sectorwise!E:E,MATCH(F335,Sectorwise!A:A,0)),N335&lt;=INDEX(Sectorwise!F:F,MATCH(F335,Sectorwise!A:A,0))),1,0)</f>
        <v>0</v>
      </c>
      <c r="R335" s="76">
        <f>IF(N335&gt;INDEX(Sectorwise!F:F,MATCH(F335,Sectorwise!A:A,0)),1,0)</f>
        <v>1</v>
      </c>
      <c r="S335" s="27">
        <f t="shared" si="21"/>
        <v>0</v>
      </c>
      <c r="T335" s="27">
        <f t="shared" si="22"/>
        <v>0</v>
      </c>
      <c r="U335" s="27">
        <f t="shared" si="23"/>
        <v>10530</v>
      </c>
      <c r="V335" s="95">
        <f>IF(R335=1,(N335-INDEX(Sectorwise!F:F,MATCH(F335,Sectorwise!A:A,0))),0)</f>
        <v>2330</v>
      </c>
      <c r="W335" s="97">
        <f>POISSON(N335,INDEX(Sectorwise!D:D,MATCH(Travel!F308,Sectorwise!A:A,0)),TRUE)</f>
        <v>1</v>
      </c>
    </row>
    <row r="336" spans="1:24" ht="15.75" hidden="1" customHeight="1" x14ac:dyDescent="0.2">
      <c r="A336" s="60" t="s">
        <v>912</v>
      </c>
      <c r="B336" s="60" t="s">
        <v>913</v>
      </c>
      <c r="C336" s="60"/>
      <c r="E336" s="63" t="s">
        <v>2288</v>
      </c>
      <c r="F336" s="29" t="s">
        <v>2134</v>
      </c>
      <c r="G336" s="56" t="s">
        <v>2309</v>
      </c>
      <c r="H336" s="60" t="s">
        <v>914</v>
      </c>
      <c r="I336" s="60" t="s">
        <v>903</v>
      </c>
      <c r="J336" s="61">
        <v>5340</v>
      </c>
      <c r="K336" s="61">
        <v>1854</v>
      </c>
      <c r="L336" s="26">
        <f t="shared" si="20"/>
        <v>7194</v>
      </c>
      <c r="M336" s="26">
        <f t="array" ref="M336">MEDIAN(IF($F$3:$F$810=F336,$L$3:$L$810))</f>
        <v>7412.5</v>
      </c>
      <c r="N336" s="61">
        <v>7194</v>
      </c>
      <c r="O336" s="62">
        <v>0</v>
      </c>
      <c r="P336" s="76">
        <f>IF(N336&lt;INDEX(Sectorwise!E:E,MATCH(F336,Sectorwise!A:A,0)),1,0)</f>
        <v>0</v>
      </c>
      <c r="Q336" s="76">
        <f>IF(AND(N336&gt;=INDEX(Sectorwise!E:E,MATCH(F336,Sectorwise!A:A,0)),N336&lt;=INDEX(Sectorwise!F:F,MATCH(F336,Sectorwise!A:A,0))),1,0)</f>
        <v>1</v>
      </c>
      <c r="R336" s="76">
        <f>IF(N336&gt;INDEX(Sectorwise!F:F,MATCH(F336,Sectorwise!A:A,0)),1,0)</f>
        <v>0</v>
      </c>
      <c r="S336" s="27">
        <f t="shared" si="21"/>
        <v>0</v>
      </c>
      <c r="T336" s="27">
        <f t="shared" si="22"/>
        <v>7194</v>
      </c>
      <c r="U336" s="27">
        <f t="shared" si="23"/>
        <v>0</v>
      </c>
      <c r="V336" s="95">
        <f>IF(R336=1,(N336-INDEX(Sectorwise!F:F,MATCH(F336,Sectorwise!A:A,0))),0)</f>
        <v>0</v>
      </c>
      <c r="W336" s="97">
        <f>POISSON(N336,INDEX(Sectorwise!D:D,MATCH(Travel!F341,Sectorwise!A:A,0)),TRUE)</f>
        <v>5.5002769043010578E-3</v>
      </c>
    </row>
    <row r="337" spans="1:24" ht="15.75" hidden="1" customHeight="1" x14ac:dyDescent="0.2">
      <c r="A337" s="60" t="s">
        <v>1049</v>
      </c>
      <c r="B337" s="60" t="s">
        <v>1050</v>
      </c>
      <c r="C337" s="60"/>
      <c r="E337" s="63" t="s">
        <v>2288</v>
      </c>
      <c r="F337" s="29" t="s">
        <v>2134</v>
      </c>
      <c r="G337" s="56" t="s">
        <v>2309</v>
      </c>
      <c r="H337" s="60" t="s">
        <v>1051</v>
      </c>
      <c r="I337" s="60" t="s">
        <v>1052</v>
      </c>
      <c r="J337" s="61">
        <v>6750</v>
      </c>
      <c r="K337" s="61">
        <v>1932</v>
      </c>
      <c r="L337" s="26">
        <f t="shared" si="20"/>
        <v>8682</v>
      </c>
      <c r="M337" s="26">
        <f t="array" ref="M337">MEDIAN(IF($F$3:$F$810=F337,$L$3:$L$810))</f>
        <v>7412.5</v>
      </c>
      <c r="N337" s="61">
        <v>8682</v>
      </c>
      <c r="O337" s="62">
        <v>0</v>
      </c>
      <c r="P337" s="76">
        <f>IF(N337&lt;INDEX(Sectorwise!E:E,MATCH(F337,Sectorwise!A:A,0)),1,0)</f>
        <v>0</v>
      </c>
      <c r="Q337" s="76">
        <f>IF(AND(N337&gt;=INDEX(Sectorwise!E:E,MATCH(F337,Sectorwise!A:A,0)),N337&lt;=INDEX(Sectorwise!F:F,MATCH(F337,Sectorwise!A:A,0))),1,0)</f>
        <v>0</v>
      </c>
      <c r="R337" s="76">
        <f>IF(N337&gt;INDEX(Sectorwise!F:F,MATCH(F337,Sectorwise!A:A,0)),1,0)</f>
        <v>1</v>
      </c>
      <c r="S337" s="27">
        <f t="shared" si="21"/>
        <v>0</v>
      </c>
      <c r="T337" s="27">
        <f t="shared" si="22"/>
        <v>0</v>
      </c>
      <c r="U337" s="27">
        <f t="shared" si="23"/>
        <v>8682</v>
      </c>
      <c r="V337" s="95">
        <f>IF(R337=1,(N337-INDEX(Sectorwise!F:F,MATCH(F337,Sectorwise!A:A,0))),0)</f>
        <v>482</v>
      </c>
      <c r="W337" s="97">
        <f>POISSON(N337,INDEX(Sectorwise!D:D,MATCH(Travel!F394,Sectorwise!A:A,0)),TRUE)</f>
        <v>1</v>
      </c>
    </row>
    <row r="338" spans="1:24" ht="15.75" hidden="1" customHeight="1" x14ac:dyDescent="0.2">
      <c r="A338" s="63" t="s">
        <v>1282</v>
      </c>
      <c r="B338" s="63" t="s">
        <v>1283</v>
      </c>
      <c r="C338" s="63"/>
      <c r="E338" s="63" t="s">
        <v>2288</v>
      </c>
      <c r="F338" s="29" t="s">
        <v>2134</v>
      </c>
      <c r="G338" s="56" t="s">
        <v>2309</v>
      </c>
      <c r="H338" s="63" t="s">
        <v>1284</v>
      </c>
      <c r="I338" s="63" t="s">
        <v>1239</v>
      </c>
      <c r="J338" s="65">
        <v>6340</v>
      </c>
      <c r="K338" s="65">
        <v>1909</v>
      </c>
      <c r="L338" s="26">
        <f t="shared" si="20"/>
        <v>8249</v>
      </c>
      <c r="M338" s="26">
        <f t="array" ref="M338">MEDIAN(IF($F$3:$F$810=F338,$L$3:$L$810))</f>
        <v>7412.5</v>
      </c>
      <c r="N338" s="65">
        <v>16266</v>
      </c>
      <c r="O338" s="62">
        <v>0</v>
      </c>
      <c r="P338" s="76">
        <f>IF(N338&lt;INDEX(Sectorwise!E:E,MATCH(F338,Sectorwise!A:A,0)),1,0)</f>
        <v>0</v>
      </c>
      <c r="Q338" s="76">
        <f>IF(AND(N338&gt;=INDEX(Sectorwise!E:E,MATCH(F338,Sectorwise!A:A,0)),N338&lt;=INDEX(Sectorwise!F:F,MATCH(F338,Sectorwise!A:A,0))),1,0)</f>
        <v>0</v>
      </c>
      <c r="R338" s="76">
        <f>IF(N338&gt;INDEX(Sectorwise!F:F,MATCH(F338,Sectorwise!A:A,0)),1,0)</f>
        <v>1</v>
      </c>
      <c r="S338" s="27">
        <f t="shared" si="21"/>
        <v>0</v>
      </c>
      <c r="T338" s="27">
        <f t="shared" si="22"/>
        <v>0</v>
      </c>
      <c r="U338" s="27">
        <f t="shared" si="23"/>
        <v>16266</v>
      </c>
      <c r="V338" s="95">
        <f>IF(R338=1,(N338-INDEX(Sectorwise!F:F,MATCH(F338,Sectorwise!A:A,0))),0)</f>
        <v>8066</v>
      </c>
      <c r="W338" s="97">
        <f>POISSON(N338,INDEX(Sectorwise!D:D,MATCH(Travel!F482,Sectorwise!A:A,0)),TRUE)</f>
        <v>1.3709085463290569E-125</v>
      </c>
    </row>
    <row r="339" spans="1:24" ht="15.75" hidden="1" customHeight="1" x14ac:dyDescent="0.2">
      <c r="A339" s="63" t="s">
        <v>1413</v>
      </c>
      <c r="B339" s="63" t="s">
        <v>1422</v>
      </c>
      <c r="C339" s="63"/>
      <c r="E339" s="63" t="s">
        <v>2288</v>
      </c>
      <c r="F339" s="29" t="s">
        <v>2134</v>
      </c>
      <c r="G339" s="56" t="s">
        <v>2309</v>
      </c>
      <c r="H339" s="63" t="s">
        <v>1423</v>
      </c>
      <c r="I339" s="63" t="s">
        <v>1417</v>
      </c>
      <c r="J339" s="65">
        <v>6100</v>
      </c>
      <c r="K339" s="65">
        <v>1896</v>
      </c>
      <c r="L339" s="26">
        <f t="shared" si="20"/>
        <v>7996</v>
      </c>
      <c r="M339" s="26">
        <f t="array" ref="M339">MEDIAN(IF($F$3:$F$810=F339,$L$3:$L$810))</f>
        <v>7412.5</v>
      </c>
      <c r="N339" s="65">
        <v>7996</v>
      </c>
      <c r="O339" s="62">
        <v>0</v>
      </c>
      <c r="P339" s="76">
        <f>IF(N339&lt;INDEX(Sectorwise!E:E,MATCH(F339,Sectorwise!A:A,0)),1,0)</f>
        <v>0</v>
      </c>
      <c r="Q339" s="76">
        <f>IF(AND(N339&gt;=INDEX(Sectorwise!E:E,MATCH(F339,Sectorwise!A:A,0)),N339&lt;=INDEX(Sectorwise!F:F,MATCH(F339,Sectorwise!A:A,0))),1,0)</f>
        <v>1</v>
      </c>
      <c r="R339" s="76">
        <f>IF(N339&gt;INDEX(Sectorwise!F:F,MATCH(F339,Sectorwise!A:A,0)),1,0)</f>
        <v>0</v>
      </c>
      <c r="S339" s="27">
        <f t="shared" si="21"/>
        <v>0</v>
      </c>
      <c r="T339" s="27">
        <f t="shared" si="22"/>
        <v>7996</v>
      </c>
      <c r="U339" s="27">
        <f t="shared" si="23"/>
        <v>0</v>
      </c>
      <c r="V339" s="95">
        <f>IF(R339=1,(N339-INDEX(Sectorwise!F:F,MATCH(F339,Sectorwise!A:A,0))),0)</f>
        <v>0</v>
      </c>
      <c r="W339" s="97">
        <f>POISSON(N339,INDEX(Sectorwise!D:D,MATCH(Travel!F533,Sectorwise!A:A,0)),TRUE)</f>
        <v>1</v>
      </c>
    </row>
    <row r="340" spans="1:24" ht="15.75" hidden="1" customHeight="1" x14ac:dyDescent="0.2">
      <c r="A340" s="63" t="s">
        <v>1594</v>
      </c>
      <c r="B340" s="63" t="s">
        <v>1595</v>
      </c>
      <c r="C340" s="63" t="s">
        <v>1596</v>
      </c>
      <c r="E340" s="63" t="s">
        <v>2288</v>
      </c>
      <c r="F340" s="29" t="s">
        <v>2134</v>
      </c>
      <c r="G340" s="56" t="s">
        <v>2309</v>
      </c>
      <c r="H340" s="63" t="s">
        <v>1597</v>
      </c>
      <c r="I340" s="63" t="s">
        <v>1598</v>
      </c>
      <c r="J340" s="65">
        <v>6750</v>
      </c>
      <c r="K340" s="65">
        <v>1932</v>
      </c>
      <c r="L340" s="26">
        <f t="shared" si="20"/>
        <v>8682</v>
      </c>
      <c r="M340" s="26">
        <f t="array" ref="M340">MEDIAN(IF($F$3:$F$810=F340,$L$3:$L$810))</f>
        <v>7412.5</v>
      </c>
      <c r="N340" s="65">
        <v>18977</v>
      </c>
      <c r="O340" s="62">
        <v>8616</v>
      </c>
      <c r="P340" s="76">
        <f>IF(N340&lt;INDEX(Sectorwise!E:E,MATCH(F340,Sectorwise!A:A,0)),1,0)</f>
        <v>0</v>
      </c>
      <c r="Q340" s="76">
        <f>IF(AND(N340&gt;=INDEX(Sectorwise!E:E,MATCH(F340,Sectorwise!A:A,0)),N340&lt;=INDEX(Sectorwise!F:F,MATCH(F340,Sectorwise!A:A,0))),1,0)</f>
        <v>0</v>
      </c>
      <c r="R340" s="76">
        <f>IF(N340&gt;INDEX(Sectorwise!F:F,MATCH(F340,Sectorwise!A:A,0)),1,0)</f>
        <v>1</v>
      </c>
      <c r="S340" s="27">
        <f t="shared" si="21"/>
        <v>0</v>
      </c>
      <c r="T340" s="27">
        <f t="shared" si="22"/>
        <v>0</v>
      </c>
      <c r="U340" s="27">
        <f t="shared" si="23"/>
        <v>18977</v>
      </c>
      <c r="V340" s="95">
        <f>IF(R340=1,(N340-INDEX(Sectorwise!F:F,MATCH(F340,Sectorwise!A:A,0))),0)</f>
        <v>10777</v>
      </c>
      <c r="W340" s="97">
        <f>POISSON(N340,INDEX(Sectorwise!D:D,MATCH(Travel!F605,Sectorwise!A:A,0)),TRUE)</f>
        <v>1</v>
      </c>
    </row>
    <row r="341" spans="1:24" ht="15.75" hidden="1" customHeight="1" x14ac:dyDescent="0.2">
      <c r="A341" s="63" t="s">
        <v>1665</v>
      </c>
      <c r="B341" s="63" t="s">
        <v>1666</v>
      </c>
      <c r="C341" s="63"/>
      <c r="E341" s="63" t="s">
        <v>2288</v>
      </c>
      <c r="F341" s="29" t="s">
        <v>2134</v>
      </c>
      <c r="G341" s="56" t="s">
        <v>2309</v>
      </c>
      <c r="H341" s="63" t="s">
        <v>1667</v>
      </c>
      <c r="I341" s="63" t="s">
        <v>1664</v>
      </c>
      <c r="J341" s="65">
        <v>5100</v>
      </c>
      <c r="K341" s="65">
        <v>1940</v>
      </c>
      <c r="L341" s="26">
        <f t="shared" si="20"/>
        <v>7040</v>
      </c>
      <c r="M341" s="26">
        <f t="array" ref="M341">MEDIAN(IF($F$3:$F$810=F341,$L$3:$L$810))</f>
        <v>7412.5</v>
      </c>
      <c r="N341" s="65">
        <v>7040</v>
      </c>
      <c r="O341" s="62">
        <v>0</v>
      </c>
      <c r="P341" s="76">
        <f>IF(N341&lt;INDEX(Sectorwise!E:E,MATCH(F341,Sectorwise!A:A,0)),1,0)</f>
        <v>0</v>
      </c>
      <c r="Q341" s="76">
        <f>IF(AND(N341&gt;=INDEX(Sectorwise!E:E,MATCH(F341,Sectorwise!A:A,0)),N341&lt;=INDEX(Sectorwise!F:F,MATCH(F341,Sectorwise!A:A,0))),1,0)</f>
        <v>1</v>
      </c>
      <c r="R341" s="76">
        <f>IF(N341&gt;INDEX(Sectorwise!F:F,MATCH(F341,Sectorwise!A:A,0)),1,0)</f>
        <v>0</v>
      </c>
      <c r="S341" s="27">
        <f t="shared" si="21"/>
        <v>0</v>
      </c>
      <c r="T341" s="27">
        <f t="shared" si="22"/>
        <v>7040</v>
      </c>
      <c r="U341" s="27">
        <f t="shared" si="23"/>
        <v>0</v>
      </c>
      <c r="V341" s="95">
        <f>IF(R341=1,(N341-INDEX(Sectorwise!F:F,MATCH(F341,Sectorwise!A:A,0))),0)</f>
        <v>0</v>
      </c>
      <c r="W341" s="97">
        <f>POISSON(N341,INDEX(Sectorwise!D:D,MATCH(Travel!F633,Sectorwise!A:A,0)),TRUE)</f>
        <v>3.7507504419776995E-298</v>
      </c>
    </row>
    <row r="342" spans="1:24" ht="15.75" hidden="1" customHeight="1" x14ac:dyDescent="0.2">
      <c r="A342" s="63" t="s">
        <v>1823</v>
      </c>
      <c r="B342" s="63" t="s">
        <v>1832</v>
      </c>
      <c r="C342" s="63"/>
      <c r="E342" s="63" t="s">
        <v>2288</v>
      </c>
      <c r="F342" s="29" t="s">
        <v>2134</v>
      </c>
      <c r="G342" s="56" t="s">
        <v>2309</v>
      </c>
      <c r="H342" s="63" t="s">
        <v>1833</v>
      </c>
      <c r="I342" s="63" t="s">
        <v>1834</v>
      </c>
      <c r="J342" s="65">
        <v>6100</v>
      </c>
      <c r="K342" s="65">
        <v>1896</v>
      </c>
      <c r="L342" s="26">
        <f t="shared" si="20"/>
        <v>7996</v>
      </c>
      <c r="M342" s="26">
        <f t="array" ref="M342">MEDIAN(IF($F$3:$F$810=F342,$L$3:$L$810))</f>
        <v>7412.5</v>
      </c>
      <c r="N342" s="65">
        <v>7996</v>
      </c>
      <c r="O342" s="62">
        <v>0</v>
      </c>
      <c r="P342" s="76">
        <f>IF(N342&lt;INDEX(Sectorwise!E:E,MATCH(F342,Sectorwise!A:A,0)),1,0)</f>
        <v>0</v>
      </c>
      <c r="Q342" s="76">
        <f>IF(AND(N342&gt;=INDEX(Sectorwise!E:E,MATCH(F342,Sectorwise!A:A,0)),N342&lt;=INDEX(Sectorwise!F:F,MATCH(F342,Sectorwise!A:A,0))),1,0)</f>
        <v>1</v>
      </c>
      <c r="R342" s="76">
        <f>IF(N342&gt;INDEX(Sectorwise!F:F,MATCH(F342,Sectorwise!A:A,0)),1,0)</f>
        <v>0</v>
      </c>
      <c r="S342" s="27">
        <f t="shared" si="21"/>
        <v>0</v>
      </c>
      <c r="T342" s="27">
        <f t="shared" si="22"/>
        <v>7996</v>
      </c>
      <c r="U342" s="27">
        <f t="shared" si="23"/>
        <v>0</v>
      </c>
      <c r="V342" s="95">
        <f>IF(R342=1,(N342-INDEX(Sectorwise!F:F,MATCH(F342,Sectorwise!A:A,0))),0)</f>
        <v>0</v>
      </c>
      <c r="W342" s="97">
        <f>POISSON(N342,INDEX(Sectorwise!D:D,MATCH(Travel!F693,Sectorwise!A:A,0)),TRUE)</f>
        <v>6.25520965797361E-155</v>
      </c>
    </row>
    <row r="343" spans="1:24" ht="15.75" hidden="1" customHeight="1" x14ac:dyDescent="0.2">
      <c r="A343" s="69" t="s">
        <v>1994</v>
      </c>
      <c r="B343" s="69" t="s">
        <v>2002</v>
      </c>
      <c r="C343" s="69"/>
      <c r="E343" s="63" t="s">
        <v>2288</v>
      </c>
      <c r="F343" s="29" t="s">
        <v>2134</v>
      </c>
      <c r="G343" s="56" t="s">
        <v>2309</v>
      </c>
      <c r="H343" s="69" t="s">
        <v>2003</v>
      </c>
      <c r="I343" s="69" t="s">
        <v>1932</v>
      </c>
      <c r="J343" s="70">
        <v>6100</v>
      </c>
      <c r="K343" s="70">
        <v>1896</v>
      </c>
      <c r="L343" s="26">
        <f t="shared" si="20"/>
        <v>7996</v>
      </c>
      <c r="M343" s="26">
        <f t="array" ref="M343">MEDIAN(IF($F$3:$F$810=F343,$L$3:$L$810))</f>
        <v>7412.5</v>
      </c>
      <c r="N343" s="70">
        <v>7996</v>
      </c>
      <c r="O343" s="71">
        <v>0</v>
      </c>
      <c r="P343" s="76">
        <f>IF(N343&lt;INDEX(Sectorwise!E:E,MATCH(F343,Sectorwise!A:A,0)),1,0)</f>
        <v>0</v>
      </c>
      <c r="Q343" s="76">
        <f>IF(AND(N343&gt;=INDEX(Sectorwise!E:E,MATCH(F343,Sectorwise!A:A,0)),N343&lt;=INDEX(Sectorwise!F:F,MATCH(F343,Sectorwise!A:A,0))),1,0)</f>
        <v>1</v>
      </c>
      <c r="R343" s="76">
        <f>IF(N343&gt;INDEX(Sectorwise!F:F,MATCH(F343,Sectorwise!A:A,0)),1,0)</f>
        <v>0</v>
      </c>
      <c r="S343" s="27">
        <f t="shared" si="21"/>
        <v>0</v>
      </c>
      <c r="T343" s="27">
        <f t="shared" si="22"/>
        <v>7996</v>
      </c>
      <c r="U343" s="27">
        <f t="shared" si="23"/>
        <v>0</v>
      </c>
      <c r="V343" s="95">
        <f>IF(R343=1,(N343-INDEX(Sectorwise!F:F,MATCH(F343,Sectorwise!A:A,0))),0)</f>
        <v>0</v>
      </c>
      <c r="W343" s="97">
        <f>POISSON(N343,INDEX(Sectorwise!D:D,MATCH(Travel!F762,Sectorwise!A:A,0)),TRUE)</f>
        <v>8.0280160579515611E-91</v>
      </c>
    </row>
    <row r="344" spans="1:24" ht="15.75" hidden="1" customHeight="1" x14ac:dyDescent="0.2">
      <c r="A344" s="63" t="s">
        <v>1737</v>
      </c>
      <c r="B344" s="63" t="s">
        <v>1738</v>
      </c>
      <c r="C344" s="63"/>
      <c r="E344" s="63" t="s">
        <v>2288</v>
      </c>
      <c r="F344" s="21" t="s">
        <v>2136</v>
      </c>
      <c r="G344" s="56" t="s">
        <v>2309</v>
      </c>
      <c r="H344" s="63" t="s">
        <v>1739</v>
      </c>
      <c r="I344" s="63" t="s">
        <v>1740</v>
      </c>
      <c r="J344" s="65">
        <v>12060</v>
      </c>
      <c r="K344" s="65">
        <v>3740</v>
      </c>
      <c r="L344" s="26">
        <f t="shared" si="20"/>
        <v>15800</v>
      </c>
      <c r="M344" s="26">
        <f t="array" ref="M344">MEDIAN(IF($F$3:$F$810=F344,$L$3:$L$810))</f>
        <v>14406</v>
      </c>
      <c r="N344" s="65">
        <v>15800</v>
      </c>
      <c r="O344" s="62">
        <v>0</v>
      </c>
      <c r="P344" s="76">
        <f>IF(N344&lt;INDEX(Sectorwise!E:E,MATCH(F344,Sectorwise!A:A,0)),1,0)</f>
        <v>0</v>
      </c>
      <c r="Q344" s="76">
        <f>IF(AND(N344&gt;=INDEX(Sectorwise!E:E,MATCH(F344,Sectorwise!A:A,0)),N344&lt;=INDEX(Sectorwise!F:F,MATCH(F344,Sectorwise!A:A,0))),1,0)</f>
        <v>1</v>
      </c>
      <c r="R344" s="76">
        <f>IF(N344&gt;INDEX(Sectorwise!F:F,MATCH(F344,Sectorwise!A:A,0)),1,0)</f>
        <v>0</v>
      </c>
      <c r="S344" s="27">
        <f t="shared" si="21"/>
        <v>0</v>
      </c>
      <c r="T344" s="27">
        <f t="shared" si="22"/>
        <v>15800</v>
      </c>
      <c r="U344" s="27">
        <f t="shared" si="23"/>
        <v>0</v>
      </c>
      <c r="V344" s="95">
        <f>IF(R344=1,(N344-INDEX(Sectorwise!F:F,MATCH(F344,Sectorwise!A:A,0))),0)</f>
        <v>0</v>
      </c>
      <c r="W344" s="97">
        <f>POISSON(N344,INDEX(Sectorwise!D:D,MATCH(Travel!F658,Sectorwise!A:A,0)),TRUE)</f>
        <v>1</v>
      </c>
    </row>
    <row r="345" spans="1:24" ht="15.75" hidden="1" customHeight="1" x14ac:dyDescent="0.2">
      <c r="A345" s="69" t="s">
        <v>1994</v>
      </c>
      <c r="B345" s="69" t="s">
        <v>2004</v>
      </c>
      <c r="C345" s="69" t="s">
        <v>2005</v>
      </c>
      <c r="E345" s="63" t="s">
        <v>2288</v>
      </c>
      <c r="F345" s="21" t="s">
        <v>2136</v>
      </c>
      <c r="G345" s="69" t="s">
        <v>2308</v>
      </c>
      <c r="H345" s="69" t="s">
        <v>2006</v>
      </c>
      <c r="I345" s="69" t="s">
        <v>1977</v>
      </c>
      <c r="J345" s="70">
        <v>8534</v>
      </c>
      <c r="K345" s="70">
        <v>1778</v>
      </c>
      <c r="L345" s="26">
        <f t="shared" si="20"/>
        <v>10312</v>
      </c>
      <c r="M345" s="26">
        <f t="array" ref="M345">MEDIAN(IF($F$3:$F$810=F345,$L$3:$L$810))</f>
        <v>14406</v>
      </c>
      <c r="N345" s="70">
        <v>10312</v>
      </c>
      <c r="O345" s="71">
        <v>5000</v>
      </c>
      <c r="P345" s="76">
        <f>IF(N345&lt;INDEX(Sectorwise!E:E,MATCH(F345,Sectorwise!A:A,0)),1,0)</f>
        <v>1</v>
      </c>
      <c r="Q345" s="76">
        <f>IF(AND(N345&gt;=INDEX(Sectorwise!E:E,MATCH(F345,Sectorwise!A:A,0)),N345&lt;=INDEX(Sectorwise!F:F,MATCH(F345,Sectorwise!A:A,0))),1,0)</f>
        <v>0</v>
      </c>
      <c r="R345" s="76">
        <f>IF(N345&gt;INDEX(Sectorwise!F:F,MATCH(F345,Sectorwise!A:A,0)),1,0)</f>
        <v>0</v>
      </c>
      <c r="S345" s="27">
        <f t="shared" si="21"/>
        <v>10312</v>
      </c>
      <c r="T345" s="27">
        <f t="shared" si="22"/>
        <v>0</v>
      </c>
      <c r="U345" s="27">
        <f t="shared" si="23"/>
        <v>0</v>
      </c>
      <c r="V345" s="95">
        <f>IF(R345=1,(N345-INDEX(Sectorwise!F:F,MATCH(F345,Sectorwise!A:A,0))),0)</f>
        <v>0</v>
      </c>
      <c r="W345" s="97">
        <f>POISSON(N345,INDEX(Sectorwise!D:D,MATCH(Travel!F763,Sectorwise!A:A,0)),TRUE)</f>
        <v>0</v>
      </c>
    </row>
    <row r="346" spans="1:24" ht="15.75" hidden="1" customHeight="1" x14ac:dyDescent="0.2">
      <c r="A346" s="56" t="s">
        <v>842</v>
      </c>
      <c r="B346" s="56" t="s">
        <v>846</v>
      </c>
      <c r="C346" s="56"/>
      <c r="E346" s="63" t="s">
        <v>2288</v>
      </c>
      <c r="F346" s="21" t="s">
        <v>2147</v>
      </c>
      <c r="G346" s="56" t="s">
        <v>2309</v>
      </c>
      <c r="H346" s="56" t="s">
        <v>847</v>
      </c>
      <c r="I346" s="56" t="s">
        <v>848</v>
      </c>
      <c r="J346" s="57">
        <v>3100</v>
      </c>
      <c r="K346" s="57">
        <v>3822</v>
      </c>
      <c r="L346" s="26">
        <f t="shared" si="20"/>
        <v>6922</v>
      </c>
      <c r="M346" s="26">
        <f t="array" ref="M346">MEDIAN(IF($F$3:$F$810=F346,$L$3:$L$810))</f>
        <v>10605</v>
      </c>
      <c r="N346" s="57">
        <v>6922</v>
      </c>
      <c r="O346" s="58">
        <v>0</v>
      </c>
      <c r="P346" s="76">
        <f>IF(N346&lt;INDEX(Sectorwise!E:E,MATCH(F346,Sectorwise!A:A,0)),1,0)</f>
        <v>1</v>
      </c>
      <c r="Q346" s="76">
        <f>IF(AND(N346&gt;=INDEX(Sectorwise!E:E,MATCH(F346,Sectorwise!A:A,0)),N346&lt;=INDEX(Sectorwise!F:F,MATCH(F346,Sectorwise!A:A,0))),1,0)</f>
        <v>0</v>
      </c>
      <c r="R346" s="76">
        <f>IF(N346&gt;INDEX(Sectorwise!F:F,MATCH(F346,Sectorwise!A:A,0)),1,0)</f>
        <v>0</v>
      </c>
      <c r="S346" s="27">
        <f t="shared" si="21"/>
        <v>6922</v>
      </c>
      <c r="T346" s="27">
        <f t="shared" si="22"/>
        <v>0</v>
      </c>
      <c r="U346" s="27">
        <f t="shared" si="23"/>
        <v>0</v>
      </c>
      <c r="V346" s="95">
        <f>IF(R346=1,(N346-INDEX(Sectorwise!F:F,MATCH(F346,Sectorwise!A:A,0))),0)</f>
        <v>0</v>
      </c>
      <c r="W346" s="97">
        <f>POISSON(N346,INDEX(Sectorwise!D:D,MATCH(Travel!F320,Sectorwise!A:A,0)),TRUE)</f>
        <v>2.1253812527295158E-122</v>
      </c>
    </row>
    <row r="347" spans="1:24" ht="15.75" hidden="1" customHeight="1" x14ac:dyDescent="0.2">
      <c r="A347" s="60" t="s">
        <v>1301</v>
      </c>
      <c r="B347" s="60" t="s">
        <v>1302</v>
      </c>
      <c r="C347" s="60"/>
      <c r="E347" s="63" t="s">
        <v>2288</v>
      </c>
      <c r="F347" s="21" t="s">
        <v>2147</v>
      </c>
      <c r="G347" s="56" t="s">
        <v>2309</v>
      </c>
      <c r="H347" s="60" t="s">
        <v>1303</v>
      </c>
      <c r="I347" s="60" t="s">
        <v>1304</v>
      </c>
      <c r="J347" s="61">
        <v>7500</v>
      </c>
      <c r="K347" s="61">
        <v>4065</v>
      </c>
      <c r="L347" s="26">
        <f t="shared" si="20"/>
        <v>11565</v>
      </c>
      <c r="M347" s="26">
        <f t="array" ref="M347">MEDIAN(IF($F$3:$F$810=F347,$L$3:$L$810))</f>
        <v>10605</v>
      </c>
      <c r="N347" s="61">
        <v>25578</v>
      </c>
      <c r="O347" s="62">
        <v>0</v>
      </c>
      <c r="P347" s="76">
        <f>IF(N347&lt;INDEX(Sectorwise!E:E,MATCH(F347,Sectorwise!A:A,0)),1,0)</f>
        <v>0</v>
      </c>
      <c r="Q347" s="76">
        <f>IF(AND(N347&gt;=INDEX(Sectorwise!E:E,MATCH(F347,Sectorwise!A:A,0)),N347&lt;=INDEX(Sectorwise!F:F,MATCH(F347,Sectorwise!A:A,0))),1,0)</f>
        <v>0</v>
      </c>
      <c r="R347" s="76">
        <f>IF(N347&gt;INDEX(Sectorwise!F:F,MATCH(F347,Sectorwise!A:A,0)),1,0)</f>
        <v>1</v>
      </c>
      <c r="S347" s="27">
        <f t="shared" si="21"/>
        <v>0</v>
      </c>
      <c r="T347" s="27">
        <f t="shared" si="22"/>
        <v>0</v>
      </c>
      <c r="U347" s="27">
        <f t="shared" si="23"/>
        <v>25578</v>
      </c>
      <c r="V347" s="95">
        <f>IF(R347=1,(N347-INDEX(Sectorwise!F:F,MATCH(F347,Sectorwise!A:A,0))),0)</f>
        <v>13878</v>
      </c>
      <c r="W347" s="97">
        <f>POISSON(N347,INDEX(Sectorwise!D:D,MATCH(Travel!F488,Sectorwise!A:A,0)),TRUE)</f>
        <v>1</v>
      </c>
    </row>
    <row r="348" spans="1:24" ht="15.75" hidden="1" customHeight="1" x14ac:dyDescent="0.2">
      <c r="A348" s="33" t="s">
        <v>245</v>
      </c>
      <c r="B348" s="33" t="s">
        <v>246</v>
      </c>
      <c r="C348" s="40"/>
      <c r="D348" s="35"/>
      <c r="E348" s="63" t="s">
        <v>2288</v>
      </c>
      <c r="F348" s="33" t="s">
        <v>2158</v>
      </c>
      <c r="G348" s="69" t="s">
        <v>2308</v>
      </c>
      <c r="H348" s="33" t="s">
        <v>247</v>
      </c>
      <c r="I348" s="33" t="s">
        <v>243</v>
      </c>
      <c r="J348" s="36">
        <v>16562</v>
      </c>
      <c r="K348" s="36">
        <v>2933</v>
      </c>
      <c r="L348" s="26">
        <f t="shared" si="20"/>
        <v>19495</v>
      </c>
      <c r="M348" s="26">
        <f t="array" ref="M348">MEDIAN(IF($F$3:$F$810=F348,$L$3:$L$810))</f>
        <v>20521</v>
      </c>
      <c r="N348" s="41">
        <v>19495</v>
      </c>
      <c r="O348" s="38"/>
      <c r="P348" s="76">
        <f>IF(N348&lt;INDEX(Sectorwise!E:E,MATCH(F348,Sectorwise!A:A,0)),1,0)</f>
        <v>0</v>
      </c>
      <c r="Q348" s="76">
        <f>IF(AND(N348&gt;=INDEX(Sectorwise!E:E,MATCH(F348,Sectorwise!A:A,0)),N348&lt;=INDEX(Sectorwise!F:F,MATCH(F348,Sectorwise!A:A,0))),1,0)</f>
        <v>1</v>
      </c>
      <c r="R348" s="76">
        <f>IF(N348&gt;INDEX(Sectorwise!F:F,MATCH(F348,Sectorwise!A:A,0)),1,0)</f>
        <v>0</v>
      </c>
      <c r="S348" s="27">
        <f t="shared" si="21"/>
        <v>0</v>
      </c>
      <c r="T348" s="27">
        <f t="shared" si="22"/>
        <v>19495</v>
      </c>
      <c r="U348" s="27">
        <f t="shared" si="23"/>
        <v>0</v>
      </c>
      <c r="V348" s="95">
        <f>IF(R348=1,(N348-INDEX(Sectorwise!F:F,MATCH(F348,Sectorwise!A:A,0))),0)</f>
        <v>0</v>
      </c>
      <c r="W348" s="97">
        <f>POISSON(N348,INDEX(Sectorwise!D:D,MATCH(Travel!F93,Sectorwise!A:A,0)),TRUE)</f>
        <v>1</v>
      </c>
      <c r="X348" s="39">
        <f>+N348-O348</f>
        <v>19495</v>
      </c>
    </row>
    <row r="349" spans="1:24" ht="15.75" hidden="1" customHeight="1" x14ac:dyDescent="0.2">
      <c r="A349" s="29" t="s">
        <v>2114</v>
      </c>
      <c r="B349" s="29" t="s">
        <v>2115</v>
      </c>
      <c r="C349" s="29"/>
      <c r="E349" s="63" t="s">
        <v>2288</v>
      </c>
      <c r="F349" s="60" t="s">
        <v>2158</v>
      </c>
      <c r="G349" s="56" t="s">
        <v>2309</v>
      </c>
      <c r="H349" s="29" t="s">
        <v>2116</v>
      </c>
      <c r="I349" s="29" t="s">
        <v>2040</v>
      </c>
      <c r="J349" s="65">
        <v>16068</v>
      </c>
      <c r="K349" s="65">
        <v>7924</v>
      </c>
      <c r="L349" s="26">
        <f t="shared" si="20"/>
        <v>23992</v>
      </c>
      <c r="M349" s="26">
        <f t="array" ref="M349">MEDIAN(IF($F$3:$F$810=F349,$L$3:$L$810))</f>
        <v>20521</v>
      </c>
      <c r="N349" s="65">
        <v>23992</v>
      </c>
      <c r="O349" s="65" t="e">
        <f>N349-#REF!</f>
        <v>#REF!</v>
      </c>
      <c r="P349" s="76">
        <f>IF(N349&lt;INDEX(Sectorwise!E:E,MATCH(F349,Sectorwise!A:A,0)),1,0)</f>
        <v>0</v>
      </c>
      <c r="Q349" s="76">
        <f>IF(AND(N349&gt;=INDEX(Sectorwise!E:E,MATCH(F349,Sectorwise!A:A,0)),N349&lt;=INDEX(Sectorwise!F:F,MATCH(F349,Sectorwise!A:A,0))),1,0)</f>
        <v>0</v>
      </c>
      <c r="R349" s="76">
        <f>IF(N349&gt;INDEX(Sectorwise!F:F,MATCH(F349,Sectorwise!A:A,0)),1,0)</f>
        <v>1</v>
      </c>
      <c r="S349" s="27">
        <f t="shared" si="21"/>
        <v>0</v>
      </c>
      <c r="T349" s="27">
        <f t="shared" si="22"/>
        <v>0</v>
      </c>
      <c r="U349" s="27">
        <f t="shared" si="23"/>
        <v>23992</v>
      </c>
      <c r="V349" s="95">
        <f>IF(R349=1,(N349-INDEX(Sectorwise!F:F,MATCH(F349,Sectorwise!A:A,0))),0)</f>
        <v>1392</v>
      </c>
      <c r="W349" s="97">
        <f>POISSON(N349,INDEX(Sectorwise!D:D,MATCH(Travel!F803,Sectorwise!A:A,0)),TRUE)</f>
        <v>1</v>
      </c>
    </row>
    <row r="350" spans="1:24" ht="15.75" hidden="1" customHeight="1" x14ac:dyDescent="0.2">
      <c r="A350" s="63" t="s">
        <v>1511</v>
      </c>
      <c r="B350" s="63" t="s">
        <v>1523</v>
      </c>
      <c r="C350" s="63"/>
      <c r="E350" s="63" t="s">
        <v>2288</v>
      </c>
      <c r="F350" s="63" t="s">
        <v>2139</v>
      </c>
      <c r="G350" s="63" t="s">
        <v>2315</v>
      </c>
      <c r="H350" s="63" t="s">
        <v>1524</v>
      </c>
      <c r="I350" s="63" t="s">
        <v>1501</v>
      </c>
      <c r="J350" s="65">
        <v>0</v>
      </c>
      <c r="K350" s="65">
        <v>3800</v>
      </c>
      <c r="L350" s="26">
        <f t="shared" si="20"/>
        <v>3800</v>
      </c>
      <c r="M350" s="26">
        <f t="array" ref="M350">MEDIAN(IF($F$3:$F$810=F350,$L$3:$L$810))</f>
        <v>45000</v>
      </c>
      <c r="N350" s="65">
        <v>3800</v>
      </c>
      <c r="O350" s="62">
        <v>0</v>
      </c>
      <c r="P350" s="76">
        <f>IF(N350&lt;INDEX(Sectorwise!E:E,MATCH(F350,Sectorwise!A:A,0)),1,0)</f>
        <v>1</v>
      </c>
      <c r="Q350" s="76">
        <f>IF(AND(N350&gt;=INDEX(Sectorwise!E:E,MATCH(F350,Sectorwise!A:A,0)),N350&lt;=INDEX(Sectorwise!F:F,MATCH(F350,Sectorwise!A:A,0))),1,0)</f>
        <v>0</v>
      </c>
      <c r="R350" s="76">
        <f>IF(N350&gt;INDEX(Sectorwise!F:F,MATCH(F350,Sectorwise!A:A,0)),1,0)</f>
        <v>0</v>
      </c>
      <c r="S350" s="27">
        <f t="shared" si="21"/>
        <v>3800</v>
      </c>
      <c r="T350" s="27">
        <f t="shared" si="22"/>
        <v>0</v>
      </c>
      <c r="U350" s="27">
        <f t="shared" si="23"/>
        <v>0</v>
      </c>
      <c r="V350" s="95">
        <f>IF(R350=1,(N350-INDEX(Sectorwise!F:F,MATCH(F350,Sectorwise!A:A,0))),0)</f>
        <v>0</v>
      </c>
      <c r="W350" s="97">
        <f>POISSON(N350,INDEX(Sectorwise!D:D,MATCH(Travel!F577,Sectorwise!A:A,0)),TRUE)</f>
        <v>0</v>
      </c>
    </row>
    <row r="351" spans="1:24" ht="15.75" hidden="1" customHeight="1" x14ac:dyDescent="0.2">
      <c r="A351" s="29" t="s">
        <v>2098</v>
      </c>
      <c r="B351" s="29" t="s">
        <v>2105</v>
      </c>
      <c r="C351" s="29"/>
      <c r="E351" s="63" t="s">
        <v>2288</v>
      </c>
      <c r="F351" s="21" t="s">
        <v>2142</v>
      </c>
      <c r="G351" s="69" t="s">
        <v>2308</v>
      </c>
      <c r="H351" s="29" t="s">
        <v>2106</v>
      </c>
      <c r="I351" s="29" t="s">
        <v>2088</v>
      </c>
      <c r="J351" s="65">
        <v>3915</v>
      </c>
      <c r="K351" s="65">
        <v>829</v>
      </c>
      <c r="L351" s="26">
        <f t="shared" si="20"/>
        <v>4744</v>
      </c>
      <c r="M351" s="26">
        <f t="array" ref="M351">MEDIAN(IF($F$3:$F$810=F351,$L$3:$L$810))</f>
        <v>5161</v>
      </c>
      <c r="N351" s="65">
        <v>4744</v>
      </c>
      <c r="O351" s="65" t="e">
        <f>N351-#REF!</f>
        <v>#REF!</v>
      </c>
      <c r="P351" s="76">
        <f>IF(N351&lt;INDEX(Sectorwise!E:E,MATCH(F351,Sectorwise!A:A,0)),1,0)</f>
        <v>0</v>
      </c>
      <c r="Q351" s="76">
        <f>IF(AND(N351&gt;=INDEX(Sectorwise!E:E,MATCH(F351,Sectorwise!A:A,0)),N351&lt;=INDEX(Sectorwise!F:F,MATCH(F351,Sectorwise!A:A,0))),1,0)</f>
        <v>1</v>
      </c>
      <c r="R351" s="76">
        <f>IF(N351&gt;INDEX(Sectorwise!F:F,MATCH(F351,Sectorwise!A:A,0)),1,0)</f>
        <v>0</v>
      </c>
      <c r="S351" s="27">
        <f t="shared" si="21"/>
        <v>0</v>
      </c>
      <c r="T351" s="27">
        <f t="shared" si="22"/>
        <v>4744</v>
      </c>
      <c r="U351" s="27">
        <f t="shared" si="23"/>
        <v>0</v>
      </c>
      <c r="V351" s="95">
        <f>IF(R351=1,(N351-INDEX(Sectorwise!F:F,MATCH(F351,Sectorwise!A:A,0))),0)</f>
        <v>0</v>
      </c>
      <c r="W351" s="97">
        <f>POISSON(N351,INDEX(Sectorwise!D:D,MATCH(Travel!F800,Sectorwise!A:A,0)),TRUE)</f>
        <v>1.1705167588933613E-5</v>
      </c>
    </row>
    <row r="352" spans="1:24" ht="15.75" hidden="1" customHeight="1" x14ac:dyDescent="0.2">
      <c r="A352" s="63" t="s">
        <v>1791</v>
      </c>
      <c r="B352" s="63" t="s">
        <v>1805</v>
      </c>
      <c r="C352" s="63"/>
      <c r="E352" s="63" t="s">
        <v>2288</v>
      </c>
      <c r="F352" s="21" t="s">
        <v>2178</v>
      </c>
      <c r="G352" s="63" t="s">
        <v>2324</v>
      </c>
      <c r="H352" s="63" t="s">
        <v>1806</v>
      </c>
      <c r="I352" s="63" t="s">
        <v>1807</v>
      </c>
      <c r="J352" s="65">
        <v>16000</v>
      </c>
      <c r="K352" s="65">
        <v>20800</v>
      </c>
      <c r="L352" s="26">
        <f t="shared" si="20"/>
        <v>36800</v>
      </c>
      <c r="M352" s="26">
        <f t="array" ref="M352">MEDIAN(IF($F$3:$F$810=F352,$L$3:$L$810))</f>
        <v>37293</v>
      </c>
      <c r="N352" s="65">
        <v>36800</v>
      </c>
      <c r="O352" s="62">
        <v>0</v>
      </c>
      <c r="P352" s="76">
        <f>IF(N352&lt;INDEX(Sectorwise!E:E,MATCH(F352,Sectorwise!A:A,0)),1,0)</f>
        <v>0</v>
      </c>
      <c r="Q352" s="76">
        <f>IF(AND(N352&gt;=INDEX(Sectorwise!E:E,MATCH(F352,Sectorwise!A:A,0)),N352&lt;=INDEX(Sectorwise!F:F,MATCH(F352,Sectorwise!A:A,0))),1,0)</f>
        <v>1</v>
      </c>
      <c r="R352" s="76">
        <f>IF(N352&gt;INDEX(Sectorwise!F:F,MATCH(F352,Sectorwise!A:A,0)),1,0)</f>
        <v>0</v>
      </c>
      <c r="S352" s="27">
        <f t="shared" si="21"/>
        <v>0</v>
      </c>
      <c r="T352" s="27">
        <f t="shared" si="22"/>
        <v>36800</v>
      </c>
      <c r="U352" s="27">
        <f t="shared" si="23"/>
        <v>0</v>
      </c>
      <c r="V352" s="95">
        <f>IF(R352=1,(N352-INDEX(Sectorwise!F:F,MATCH(F352,Sectorwise!A:A,0))),0)</f>
        <v>0</v>
      </c>
      <c r="W352" s="97">
        <f>POISSON(N352,INDEX(Sectorwise!D:D,MATCH(Travel!F684,Sectorwise!A:A,0)),TRUE)</f>
        <v>1</v>
      </c>
    </row>
    <row r="353" spans="1:24" ht="15.75" hidden="1" customHeight="1" x14ac:dyDescent="0.2">
      <c r="A353" s="63" t="s">
        <v>1815</v>
      </c>
      <c r="B353" s="63" t="s">
        <v>1820</v>
      </c>
      <c r="C353" s="63"/>
      <c r="E353" s="63" t="s">
        <v>2288</v>
      </c>
      <c r="F353" s="21" t="s">
        <v>2178</v>
      </c>
      <c r="G353" s="63" t="s">
        <v>2324</v>
      </c>
      <c r="H353" s="63" t="s">
        <v>1821</v>
      </c>
      <c r="I353" s="63" t="s">
        <v>1822</v>
      </c>
      <c r="J353" s="65">
        <v>0</v>
      </c>
      <c r="K353" s="65">
        <v>1500</v>
      </c>
      <c r="L353" s="26">
        <f t="shared" si="20"/>
        <v>1500</v>
      </c>
      <c r="M353" s="26">
        <f t="array" ref="M353">MEDIAN(IF($F$3:$F$810=F353,$L$3:$L$810))</f>
        <v>37293</v>
      </c>
      <c r="N353" s="65">
        <v>1500</v>
      </c>
      <c r="O353" s="62">
        <v>0</v>
      </c>
      <c r="P353" s="76">
        <f>IF(N353&lt;INDEX(Sectorwise!E:E,MATCH(F353,Sectorwise!A:A,0)),1,0)</f>
        <v>1</v>
      </c>
      <c r="Q353" s="76">
        <f>IF(AND(N353&gt;=INDEX(Sectorwise!E:E,MATCH(F353,Sectorwise!A:A,0)),N353&lt;=INDEX(Sectorwise!F:F,MATCH(F353,Sectorwise!A:A,0))),1,0)</f>
        <v>0</v>
      </c>
      <c r="R353" s="76">
        <f>IF(N353&gt;INDEX(Sectorwise!F:F,MATCH(F353,Sectorwise!A:A,0)),1,0)</f>
        <v>0</v>
      </c>
      <c r="S353" s="27">
        <f t="shared" si="21"/>
        <v>1500</v>
      </c>
      <c r="T353" s="27">
        <f t="shared" si="22"/>
        <v>0</v>
      </c>
      <c r="U353" s="27">
        <f t="shared" si="23"/>
        <v>0</v>
      </c>
      <c r="V353" s="95">
        <f>IF(R353=1,(N353-INDEX(Sectorwise!F:F,MATCH(F353,Sectorwise!A:A,0))),0)</f>
        <v>0</v>
      </c>
      <c r="W353" s="97">
        <f>POISSON(N353,INDEX(Sectorwise!D:D,MATCH(Travel!F688,Sectorwise!A:A,0)),TRUE)</f>
        <v>0</v>
      </c>
    </row>
    <row r="354" spans="1:24" ht="15.75" hidden="1" customHeight="1" x14ac:dyDescent="0.2">
      <c r="A354" s="21" t="s">
        <v>630</v>
      </c>
      <c r="B354" s="21" t="s">
        <v>634</v>
      </c>
      <c r="C354" s="22"/>
      <c r="E354" s="63" t="s">
        <v>2288</v>
      </c>
      <c r="F354" s="21" t="s">
        <v>2192</v>
      </c>
      <c r="G354" s="33" t="s">
        <v>2321</v>
      </c>
      <c r="H354" s="21" t="s">
        <v>635</v>
      </c>
      <c r="I354" s="21" t="s">
        <v>604</v>
      </c>
      <c r="J354" s="25">
        <v>35</v>
      </c>
      <c r="K354" s="25">
        <v>2377</v>
      </c>
      <c r="L354" s="26">
        <f t="shared" si="20"/>
        <v>2412</v>
      </c>
      <c r="M354" s="26">
        <f t="array" ref="M354">MEDIAN(IF($F$3:$F$810=F354,$L$3:$L$810))</f>
        <v>3186</v>
      </c>
      <c r="N354" s="47">
        <v>2412</v>
      </c>
      <c r="O354" s="55"/>
      <c r="P354" s="76">
        <f>IF(N354&lt;INDEX(Sectorwise!E:E,MATCH(F354,Sectorwise!A:A,0)),1,0)</f>
        <v>1</v>
      </c>
      <c r="Q354" s="76">
        <f>IF(AND(N354&gt;=INDEX(Sectorwise!E:E,MATCH(F354,Sectorwise!A:A,0)),N354&lt;=INDEX(Sectorwise!F:F,MATCH(F354,Sectorwise!A:A,0))),1,0)</f>
        <v>0</v>
      </c>
      <c r="R354" s="76">
        <f>IF(N354&gt;INDEX(Sectorwise!F:F,MATCH(F354,Sectorwise!A:A,0)),1,0)</f>
        <v>0</v>
      </c>
      <c r="S354" s="27">
        <f t="shared" si="21"/>
        <v>2412</v>
      </c>
      <c r="T354" s="27">
        <f t="shared" si="22"/>
        <v>0</v>
      </c>
      <c r="U354" s="27">
        <f t="shared" si="23"/>
        <v>0</v>
      </c>
      <c r="V354" s="95">
        <f>IF(R354=1,(N354-INDEX(Sectorwise!F:F,MATCH(F354,Sectorwise!A:A,0))),0)</f>
        <v>0</v>
      </c>
      <c r="W354" s="97">
        <f>POISSON(N354,INDEX(Sectorwise!D:D,MATCH(Travel!F237,Sectorwise!A:A,0)),TRUE)</f>
        <v>0</v>
      </c>
    </row>
    <row r="355" spans="1:24" ht="15.75" hidden="1" customHeight="1" x14ac:dyDescent="0.2">
      <c r="A355" s="21" t="s">
        <v>176</v>
      </c>
      <c r="B355" s="21" t="s">
        <v>184</v>
      </c>
      <c r="C355" s="22"/>
      <c r="D355" s="32"/>
      <c r="E355" s="63" t="s">
        <v>2288</v>
      </c>
      <c r="F355" s="21" t="s">
        <v>2135</v>
      </c>
      <c r="G355" s="56" t="s">
        <v>2309</v>
      </c>
      <c r="H355" s="21" t="s">
        <v>186</v>
      </c>
      <c r="I355" s="21" t="s">
        <v>164</v>
      </c>
      <c r="J355" s="25">
        <v>5750</v>
      </c>
      <c r="K355" s="25">
        <v>3324</v>
      </c>
      <c r="L355" s="26">
        <f t="shared" si="20"/>
        <v>9074</v>
      </c>
      <c r="M355" s="26">
        <f t="array" ref="M355">MEDIAN(IF($F$3:$F$810=F355,$L$3:$L$810))</f>
        <v>7234</v>
      </c>
      <c r="N355" s="26">
        <v>9074</v>
      </c>
      <c r="O355" s="27"/>
      <c r="P355" s="76">
        <f>IF(N355&lt;INDEX(Sectorwise!E:E,MATCH(F355,Sectorwise!A:A,0)),1,0)</f>
        <v>0</v>
      </c>
      <c r="Q355" s="76">
        <f>IF(AND(N355&gt;=INDEX(Sectorwise!E:E,MATCH(F355,Sectorwise!A:A,0)),N355&lt;=INDEX(Sectorwise!F:F,MATCH(F355,Sectorwise!A:A,0))),1,0)</f>
        <v>0</v>
      </c>
      <c r="R355" s="76">
        <f>IF(N355&gt;INDEX(Sectorwise!F:F,MATCH(F355,Sectorwise!A:A,0)),1,0)</f>
        <v>1</v>
      </c>
      <c r="S355" s="27">
        <f t="shared" si="21"/>
        <v>0</v>
      </c>
      <c r="T355" s="27">
        <f t="shared" si="22"/>
        <v>0</v>
      </c>
      <c r="U355" s="27">
        <f t="shared" si="23"/>
        <v>9074</v>
      </c>
      <c r="V355" s="95">
        <f>IF(R355=1,(N355-INDEX(Sectorwise!F:F,MATCH(F355,Sectorwise!A:A,0))),0)</f>
        <v>1074</v>
      </c>
      <c r="W355" s="97">
        <f>POISSON(N355,INDEX(Sectorwise!D:D,MATCH(Travel!F66,Sectorwise!A:A,0)),TRUE)</f>
        <v>1</v>
      </c>
      <c r="X355" s="28">
        <v>9074</v>
      </c>
    </row>
    <row r="356" spans="1:24" ht="15.75" hidden="1" customHeight="1" x14ac:dyDescent="0.2">
      <c r="A356" s="33" t="s">
        <v>248</v>
      </c>
      <c r="B356" s="33" t="s">
        <v>249</v>
      </c>
      <c r="C356" s="40"/>
      <c r="D356" s="35"/>
      <c r="E356" s="63" t="s">
        <v>2288</v>
      </c>
      <c r="F356" s="21" t="s">
        <v>2135</v>
      </c>
      <c r="G356" s="63" t="s">
        <v>2312</v>
      </c>
      <c r="H356" s="33" t="s">
        <v>250</v>
      </c>
      <c r="I356" s="33" t="s">
        <v>240</v>
      </c>
      <c r="J356" s="36">
        <v>3940</v>
      </c>
      <c r="K356" s="36">
        <v>3171</v>
      </c>
      <c r="L356" s="26">
        <f t="shared" si="20"/>
        <v>7111</v>
      </c>
      <c r="M356" s="26">
        <f t="array" ref="M356">MEDIAN(IF($F$3:$F$810=F356,$L$3:$L$810))</f>
        <v>7234</v>
      </c>
      <c r="N356" s="41">
        <v>7111</v>
      </c>
      <c r="O356" s="38"/>
      <c r="P356" s="76">
        <f>IF(N356&lt;INDEX(Sectorwise!E:E,MATCH(F356,Sectorwise!A:A,0)),1,0)</f>
        <v>0</v>
      </c>
      <c r="Q356" s="76">
        <f>IF(AND(N356&gt;=INDEX(Sectorwise!E:E,MATCH(F356,Sectorwise!A:A,0)),N356&lt;=INDEX(Sectorwise!F:F,MATCH(F356,Sectorwise!A:A,0))),1,0)</f>
        <v>1</v>
      </c>
      <c r="R356" s="76">
        <f>IF(N356&gt;INDEX(Sectorwise!F:F,MATCH(F356,Sectorwise!A:A,0)),1,0)</f>
        <v>0</v>
      </c>
      <c r="S356" s="27">
        <f t="shared" si="21"/>
        <v>0</v>
      </c>
      <c r="T356" s="27">
        <f t="shared" si="22"/>
        <v>7111</v>
      </c>
      <c r="U356" s="27">
        <f t="shared" si="23"/>
        <v>0</v>
      </c>
      <c r="V356" s="95">
        <f>IF(R356=1,(N356-INDEX(Sectorwise!F:F,MATCH(F356,Sectorwise!A:A,0))),0)</f>
        <v>0</v>
      </c>
      <c r="W356" s="97">
        <f>POISSON(N356,INDEX(Sectorwise!D:D,MATCH(Travel!F94,Sectorwise!A:A,0)),TRUE)</f>
        <v>7.4593597116115268E-2</v>
      </c>
      <c r="X356" s="39">
        <f>+N356-O356</f>
        <v>7111</v>
      </c>
    </row>
    <row r="357" spans="1:24" ht="15.75" hidden="1" customHeight="1" x14ac:dyDescent="0.2">
      <c r="A357" s="33" t="s">
        <v>319</v>
      </c>
      <c r="B357" s="33" t="s">
        <v>320</v>
      </c>
      <c r="C357" s="40" t="s">
        <v>323</v>
      </c>
      <c r="D357" s="35"/>
      <c r="E357" s="63" t="s">
        <v>2288</v>
      </c>
      <c r="F357" s="21" t="s">
        <v>2135</v>
      </c>
      <c r="G357" s="56" t="s">
        <v>2309</v>
      </c>
      <c r="H357" s="33" t="s">
        <v>324</v>
      </c>
      <c r="I357" s="33" t="s">
        <v>322</v>
      </c>
      <c r="J357" s="42">
        <v>5020</v>
      </c>
      <c r="K357" s="45">
        <v>3283</v>
      </c>
      <c r="L357" s="26">
        <f t="shared" si="20"/>
        <v>8303</v>
      </c>
      <c r="M357" s="26">
        <f t="array" ref="M357">MEDIAN(IF($F$3:$F$810=F357,$L$3:$L$810))</f>
        <v>7234</v>
      </c>
      <c r="N357" s="43">
        <f>+J357+K357</f>
        <v>8303</v>
      </c>
      <c r="O357" s="46">
        <v>6953</v>
      </c>
      <c r="P357" s="76">
        <f>IF(N357&lt;INDEX(Sectorwise!E:E,MATCH(F357,Sectorwise!A:A,0)),1,0)</f>
        <v>0</v>
      </c>
      <c r="Q357" s="76">
        <f>IF(AND(N357&gt;=INDEX(Sectorwise!E:E,MATCH(F357,Sectorwise!A:A,0)),N357&lt;=INDEX(Sectorwise!F:F,MATCH(F357,Sectorwise!A:A,0))),1,0)</f>
        <v>0</v>
      </c>
      <c r="R357" s="76">
        <f>IF(N357&gt;INDEX(Sectorwise!F:F,MATCH(F357,Sectorwise!A:A,0)),1,0)</f>
        <v>1</v>
      </c>
      <c r="S357" s="27">
        <f t="shared" si="21"/>
        <v>0</v>
      </c>
      <c r="T357" s="27">
        <f t="shared" si="22"/>
        <v>0</v>
      </c>
      <c r="U357" s="27">
        <f t="shared" si="23"/>
        <v>8303</v>
      </c>
      <c r="V357" s="95">
        <f>IF(R357=1,(N357-INDEX(Sectorwise!F:F,MATCH(F357,Sectorwise!A:A,0))),0)</f>
        <v>303</v>
      </c>
      <c r="W357" s="97">
        <f>POISSON(N357,INDEX(Sectorwise!D:D,MATCH(Travel!F121,Sectorwise!A:A,0)),TRUE)</f>
        <v>3.3755819160932858E-95</v>
      </c>
      <c r="X357" s="44">
        <f>+N357-O357</f>
        <v>1350</v>
      </c>
    </row>
    <row r="358" spans="1:24" ht="15.75" hidden="1" customHeight="1" x14ac:dyDescent="0.2">
      <c r="A358" s="33" t="s">
        <v>330</v>
      </c>
      <c r="B358" s="33" t="s">
        <v>331</v>
      </c>
      <c r="C358" s="40"/>
      <c r="D358" s="35"/>
      <c r="E358" s="63" t="s">
        <v>2288</v>
      </c>
      <c r="F358" s="21" t="s">
        <v>2135</v>
      </c>
      <c r="G358" s="60" t="s">
        <v>2316</v>
      </c>
      <c r="H358" s="33" t="s">
        <v>332</v>
      </c>
      <c r="I358" s="33" t="s">
        <v>322</v>
      </c>
      <c r="J358" s="42">
        <v>3720</v>
      </c>
      <c r="K358" s="45">
        <v>3473</v>
      </c>
      <c r="L358" s="26">
        <f t="shared" si="20"/>
        <v>7193</v>
      </c>
      <c r="M358" s="26">
        <f t="array" ref="M358">MEDIAN(IF($F$3:$F$810=F358,$L$3:$L$810))</f>
        <v>7234</v>
      </c>
      <c r="N358" s="43">
        <f>+J358+K358</f>
        <v>7193</v>
      </c>
      <c r="O358" s="38"/>
      <c r="P358" s="76">
        <f>IF(N358&lt;INDEX(Sectorwise!E:E,MATCH(F358,Sectorwise!A:A,0)),1,0)</f>
        <v>0</v>
      </c>
      <c r="Q358" s="76">
        <f>IF(AND(N358&gt;=INDEX(Sectorwise!E:E,MATCH(F358,Sectorwise!A:A,0)),N358&lt;=INDEX(Sectorwise!F:F,MATCH(F358,Sectorwise!A:A,0))),1,0)</f>
        <v>1</v>
      </c>
      <c r="R358" s="76">
        <f>IF(N358&gt;INDEX(Sectorwise!F:F,MATCH(F358,Sectorwise!A:A,0)),1,0)</f>
        <v>0</v>
      </c>
      <c r="S358" s="27">
        <f t="shared" si="21"/>
        <v>0</v>
      </c>
      <c r="T358" s="27">
        <f t="shared" si="22"/>
        <v>7193</v>
      </c>
      <c r="U358" s="27">
        <f t="shared" si="23"/>
        <v>0</v>
      </c>
      <c r="V358" s="95">
        <f>IF(R358=1,(N358-INDEX(Sectorwise!F:F,MATCH(F358,Sectorwise!A:A,0))),0)</f>
        <v>0</v>
      </c>
      <c r="W358" s="97">
        <f>POISSON(N358,INDEX(Sectorwise!D:D,MATCH(Travel!F124,Sectorwise!A:A,0)),TRUE)</f>
        <v>0</v>
      </c>
      <c r="X358" s="44">
        <f>+N358-O358</f>
        <v>7193</v>
      </c>
    </row>
    <row r="359" spans="1:24" ht="15.75" hidden="1" customHeight="1" x14ac:dyDescent="0.2">
      <c r="A359" s="33" t="s">
        <v>358</v>
      </c>
      <c r="B359" s="33" t="s">
        <v>374</v>
      </c>
      <c r="C359" s="40"/>
      <c r="D359" s="35"/>
      <c r="E359" s="63" t="s">
        <v>2288</v>
      </c>
      <c r="F359" s="21" t="s">
        <v>2135</v>
      </c>
      <c r="G359" s="69" t="s">
        <v>2308</v>
      </c>
      <c r="H359" s="33" t="s">
        <v>375</v>
      </c>
      <c r="I359" s="33" t="s">
        <v>361</v>
      </c>
      <c r="J359" s="42">
        <v>5924</v>
      </c>
      <c r="K359" s="45">
        <v>1024</v>
      </c>
      <c r="L359" s="26">
        <f t="shared" si="20"/>
        <v>6948</v>
      </c>
      <c r="M359" s="26">
        <f t="array" ref="M359">MEDIAN(IF($F$3:$F$810=F359,$L$3:$L$810))</f>
        <v>7234</v>
      </c>
      <c r="N359" s="43">
        <f>+J359+K359</f>
        <v>6948</v>
      </c>
      <c r="O359" s="38"/>
      <c r="P359" s="76">
        <f>IF(N359&lt;INDEX(Sectorwise!E:E,MATCH(F359,Sectorwise!A:A,0)),1,0)</f>
        <v>0</v>
      </c>
      <c r="Q359" s="76">
        <f>IF(AND(N359&gt;=INDEX(Sectorwise!E:E,MATCH(F359,Sectorwise!A:A,0)),N359&lt;=INDEX(Sectorwise!F:F,MATCH(F359,Sectorwise!A:A,0))),1,0)</f>
        <v>1</v>
      </c>
      <c r="R359" s="76">
        <f>IF(N359&gt;INDEX(Sectorwise!F:F,MATCH(F359,Sectorwise!A:A,0)),1,0)</f>
        <v>0</v>
      </c>
      <c r="S359" s="27">
        <f t="shared" si="21"/>
        <v>0</v>
      </c>
      <c r="T359" s="27">
        <f t="shared" si="22"/>
        <v>6948</v>
      </c>
      <c r="U359" s="27">
        <f t="shared" si="23"/>
        <v>0</v>
      </c>
      <c r="V359" s="95">
        <f>IF(R359=1,(N359-INDEX(Sectorwise!F:F,MATCH(F359,Sectorwise!A:A,0))),0)</f>
        <v>0</v>
      </c>
      <c r="W359" s="97">
        <f>POISSON(N359,INDEX(Sectorwise!D:D,MATCH(Travel!F139,Sectorwise!A:A,0)),TRUE)</f>
        <v>0</v>
      </c>
      <c r="X359" s="44">
        <f>+N359-O359</f>
        <v>6948</v>
      </c>
    </row>
    <row r="360" spans="1:24" ht="15.75" hidden="1" customHeight="1" x14ac:dyDescent="0.2">
      <c r="A360" s="33" t="s">
        <v>381</v>
      </c>
      <c r="B360" s="33" t="s">
        <v>382</v>
      </c>
      <c r="C360" s="40"/>
      <c r="D360" s="35"/>
      <c r="E360" s="63" t="s">
        <v>2288</v>
      </c>
      <c r="F360" s="21" t="s">
        <v>2135</v>
      </c>
      <c r="G360" s="63" t="s">
        <v>2312</v>
      </c>
      <c r="H360" s="33" t="s">
        <v>383</v>
      </c>
      <c r="I360" s="33" t="s">
        <v>361</v>
      </c>
      <c r="J360" s="36">
        <v>3940</v>
      </c>
      <c r="K360" s="36">
        <v>3171</v>
      </c>
      <c r="L360" s="26">
        <f t="shared" si="20"/>
        <v>7111</v>
      </c>
      <c r="M360" s="26">
        <f t="array" ref="M360">MEDIAN(IF($F$3:$F$810=F360,$L$3:$L$810))</f>
        <v>7234</v>
      </c>
      <c r="N360" s="47">
        <f>+J360+K360</f>
        <v>7111</v>
      </c>
      <c r="O360" s="27"/>
      <c r="P360" s="76">
        <f>IF(N360&lt;INDEX(Sectorwise!E:E,MATCH(F360,Sectorwise!A:A,0)),1,0)</f>
        <v>0</v>
      </c>
      <c r="Q360" s="76">
        <f>IF(AND(N360&gt;=INDEX(Sectorwise!E:E,MATCH(F360,Sectorwise!A:A,0)),N360&lt;=INDEX(Sectorwise!F:F,MATCH(F360,Sectorwise!A:A,0))),1,0)</f>
        <v>1</v>
      </c>
      <c r="R360" s="76">
        <f>IF(N360&gt;INDEX(Sectorwise!F:F,MATCH(F360,Sectorwise!A:A,0)),1,0)</f>
        <v>0</v>
      </c>
      <c r="S360" s="27">
        <f t="shared" si="21"/>
        <v>0</v>
      </c>
      <c r="T360" s="27">
        <f t="shared" si="22"/>
        <v>7111</v>
      </c>
      <c r="U360" s="27">
        <f t="shared" si="23"/>
        <v>0</v>
      </c>
      <c r="V360" s="95">
        <f>IF(R360=1,(N360-INDEX(Sectorwise!F:F,MATCH(F360,Sectorwise!A:A,0))),0)</f>
        <v>0</v>
      </c>
      <c r="W360" s="97">
        <f>POISSON(N360,INDEX(Sectorwise!D:D,MATCH(Travel!F144,Sectorwise!A:A,0)),TRUE)</f>
        <v>7.4593597116115268E-2</v>
      </c>
    </row>
    <row r="361" spans="1:24" ht="15.75" hidden="1" customHeight="1" x14ac:dyDescent="0.2">
      <c r="A361" s="21" t="s">
        <v>657</v>
      </c>
      <c r="B361" s="21" t="s">
        <v>663</v>
      </c>
      <c r="C361" s="22"/>
      <c r="E361" s="63" t="s">
        <v>2288</v>
      </c>
      <c r="F361" s="21" t="s">
        <v>2135</v>
      </c>
      <c r="G361" s="69" t="s">
        <v>2308</v>
      </c>
      <c r="H361" s="21" t="s">
        <v>664</v>
      </c>
      <c r="I361" s="21" t="s">
        <v>621</v>
      </c>
      <c r="J361" s="25">
        <v>738</v>
      </c>
      <c r="K361" s="25">
        <v>2572</v>
      </c>
      <c r="L361" s="26">
        <f t="shared" si="20"/>
        <v>3310</v>
      </c>
      <c r="M361" s="26">
        <f t="array" ref="M361">MEDIAN(IF($F$3:$F$810=F361,$L$3:$L$810))</f>
        <v>7234</v>
      </c>
      <c r="N361" s="47">
        <v>3310</v>
      </c>
      <c r="O361" s="55"/>
      <c r="P361" s="76">
        <f>IF(N361&lt;INDEX(Sectorwise!E:E,MATCH(F361,Sectorwise!A:A,0)),1,0)</f>
        <v>1</v>
      </c>
      <c r="Q361" s="76">
        <f>IF(AND(N361&gt;=INDEX(Sectorwise!E:E,MATCH(F361,Sectorwise!A:A,0)),N361&lt;=INDEX(Sectorwise!F:F,MATCH(F361,Sectorwise!A:A,0))),1,0)</f>
        <v>0</v>
      </c>
      <c r="R361" s="76">
        <f>IF(N361&gt;INDEX(Sectorwise!F:F,MATCH(F361,Sectorwise!A:A,0)),1,0)</f>
        <v>0</v>
      </c>
      <c r="S361" s="27">
        <f t="shared" si="21"/>
        <v>3310</v>
      </c>
      <c r="T361" s="27">
        <f t="shared" si="22"/>
        <v>0</v>
      </c>
      <c r="U361" s="27">
        <f t="shared" si="23"/>
        <v>0</v>
      </c>
      <c r="V361" s="95">
        <f>IF(R361=1,(N361-INDEX(Sectorwise!F:F,MATCH(F361,Sectorwise!A:A,0))),0)</f>
        <v>0</v>
      </c>
      <c r="W361" s="97">
        <f>POISSON(N361,INDEX(Sectorwise!D:D,MATCH(Travel!F251,Sectorwise!A:A,0)),TRUE)</f>
        <v>8.4182649134965094E-168</v>
      </c>
    </row>
    <row r="362" spans="1:24" ht="15.75" hidden="1" customHeight="1" x14ac:dyDescent="0.2">
      <c r="A362" s="21" t="s">
        <v>669</v>
      </c>
      <c r="B362" s="24" t="s">
        <v>678</v>
      </c>
      <c r="C362" s="22"/>
      <c r="D362" s="32"/>
      <c r="E362" s="63" t="s">
        <v>2288</v>
      </c>
      <c r="F362" s="21" t="s">
        <v>2135</v>
      </c>
      <c r="G362" s="63" t="s">
        <v>2312</v>
      </c>
      <c r="H362" s="21" t="s">
        <v>681</v>
      </c>
      <c r="I362" s="21" t="s">
        <v>680</v>
      </c>
      <c r="J362" s="25">
        <v>532</v>
      </c>
      <c r="K362" s="25">
        <v>2457</v>
      </c>
      <c r="L362" s="26">
        <f t="shared" si="20"/>
        <v>2989</v>
      </c>
      <c r="M362" s="26">
        <f t="array" ref="M362">MEDIAN(IF($F$3:$F$810=F362,$L$3:$L$810))</f>
        <v>7234</v>
      </c>
      <c r="N362" s="47">
        <v>2989</v>
      </c>
      <c r="O362" s="55"/>
      <c r="P362" s="76">
        <f>IF(N362&lt;INDEX(Sectorwise!E:E,MATCH(F362,Sectorwise!A:A,0)),1,0)</f>
        <v>1</v>
      </c>
      <c r="Q362" s="76">
        <f>IF(AND(N362&gt;=INDEX(Sectorwise!E:E,MATCH(F362,Sectorwise!A:A,0)),N362&lt;=INDEX(Sectorwise!F:F,MATCH(F362,Sectorwise!A:A,0))),1,0)</f>
        <v>0</v>
      </c>
      <c r="R362" s="76">
        <f>IF(N362&gt;INDEX(Sectorwise!F:F,MATCH(F362,Sectorwise!A:A,0)),1,0)</f>
        <v>0</v>
      </c>
      <c r="S362" s="27">
        <f t="shared" si="21"/>
        <v>2989</v>
      </c>
      <c r="T362" s="27">
        <f t="shared" si="22"/>
        <v>0</v>
      </c>
      <c r="U362" s="27">
        <f t="shared" si="23"/>
        <v>0</v>
      </c>
      <c r="V362" s="95">
        <f>IF(R362=1,(N362-INDEX(Sectorwise!F:F,MATCH(F362,Sectorwise!A:A,0))),0)</f>
        <v>0</v>
      </c>
      <c r="W362" s="97">
        <f>POISSON(N362,INDEX(Sectorwise!D:D,MATCH(Travel!F258,Sectorwise!A:A,0)),TRUE)</f>
        <v>0</v>
      </c>
    </row>
    <row r="363" spans="1:24" ht="15.75" hidden="1" customHeight="1" x14ac:dyDescent="0.2">
      <c r="A363" s="56" t="s">
        <v>787</v>
      </c>
      <c r="B363" s="56" t="s">
        <v>790</v>
      </c>
      <c r="C363" s="56"/>
      <c r="E363" s="63" t="s">
        <v>2288</v>
      </c>
      <c r="F363" s="21" t="s">
        <v>2135</v>
      </c>
      <c r="G363" s="56" t="s">
        <v>2309</v>
      </c>
      <c r="H363" s="56" t="s">
        <v>791</v>
      </c>
      <c r="I363" s="56" t="s">
        <v>773</v>
      </c>
      <c r="J363" s="57">
        <v>5340</v>
      </c>
      <c r="K363" s="57">
        <v>1936</v>
      </c>
      <c r="L363" s="26">
        <f t="shared" si="20"/>
        <v>7276</v>
      </c>
      <c r="M363" s="26">
        <f t="array" ref="M363">MEDIAN(IF($F$3:$F$810=F363,$L$3:$L$810))</f>
        <v>7234</v>
      </c>
      <c r="N363" s="57">
        <v>7276</v>
      </c>
      <c r="O363" s="58">
        <v>0</v>
      </c>
      <c r="P363" s="76">
        <f>IF(N363&lt;INDEX(Sectorwise!E:E,MATCH(F363,Sectorwise!A:A,0)),1,0)</f>
        <v>0</v>
      </c>
      <c r="Q363" s="76">
        <f>IF(AND(N363&gt;=INDEX(Sectorwise!E:E,MATCH(F363,Sectorwise!A:A,0)),N363&lt;=INDEX(Sectorwise!F:F,MATCH(F363,Sectorwise!A:A,0))),1,0)</f>
        <v>1</v>
      </c>
      <c r="R363" s="76">
        <f>IF(N363&gt;INDEX(Sectorwise!F:F,MATCH(F363,Sectorwise!A:A,0)),1,0)</f>
        <v>0</v>
      </c>
      <c r="S363" s="27">
        <f t="shared" si="21"/>
        <v>0</v>
      </c>
      <c r="T363" s="27">
        <f t="shared" si="22"/>
        <v>7276</v>
      </c>
      <c r="U363" s="27">
        <f t="shared" si="23"/>
        <v>0</v>
      </c>
      <c r="V363" s="95">
        <f>IF(R363=1,(N363-INDEX(Sectorwise!F:F,MATCH(F363,Sectorwise!A:A,0))),0)</f>
        <v>0</v>
      </c>
      <c r="W363" s="97">
        <f>POISSON(N363,INDEX(Sectorwise!D:D,MATCH(Travel!F297,Sectorwise!A:A,0)),TRUE)</f>
        <v>5.6760877359888981E-2</v>
      </c>
    </row>
    <row r="364" spans="1:24" ht="15.75" hidden="1" customHeight="1" x14ac:dyDescent="0.2">
      <c r="A364" s="56" t="s">
        <v>807</v>
      </c>
      <c r="B364" s="56" t="s">
        <v>819</v>
      </c>
      <c r="C364" s="56"/>
      <c r="E364" s="63" t="s">
        <v>2288</v>
      </c>
      <c r="F364" s="21" t="s">
        <v>2135</v>
      </c>
      <c r="G364" s="56" t="s">
        <v>2309</v>
      </c>
      <c r="H364" s="56" t="s">
        <v>821</v>
      </c>
      <c r="I364" s="56" t="s">
        <v>814</v>
      </c>
      <c r="J364" s="57">
        <v>2540</v>
      </c>
      <c r="K364" s="57">
        <v>1806</v>
      </c>
      <c r="L364" s="26">
        <f t="shared" si="20"/>
        <v>4346</v>
      </c>
      <c r="M364" s="26">
        <f t="array" ref="M364">MEDIAN(IF($F$3:$F$810=F364,$L$3:$L$810))</f>
        <v>7234</v>
      </c>
      <c r="N364" s="57">
        <f>J364+K364</f>
        <v>4346</v>
      </c>
      <c r="O364" s="58">
        <v>0</v>
      </c>
      <c r="P364" s="76">
        <f>IF(N364&lt;INDEX(Sectorwise!E:E,MATCH(F364,Sectorwise!A:A,0)),1,0)</f>
        <v>1</v>
      </c>
      <c r="Q364" s="76">
        <f>IF(AND(N364&gt;=INDEX(Sectorwise!E:E,MATCH(F364,Sectorwise!A:A,0)),N364&lt;=INDEX(Sectorwise!F:F,MATCH(F364,Sectorwise!A:A,0))),1,0)</f>
        <v>0</v>
      </c>
      <c r="R364" s="76">
        <f>IF(N364&gt;INDEX(Sectorwise!F:F,MATCH(F364,Sectorwise!A:A,0)),1,0)</f>
        <v>0</v>
      </c>
      <c r="S364" s="27">
        <f t="shared" si="21"/>
        <v>4346</v>
      </c>
      <c r="T364" s="27">
        <f t="shared" si="22"/>
        <v>0</v>
      </c>
      <c r="U364" s="27">
        <f t="shared" si="23"/>
        <v>0</v>
      </c>
      <c r="V364" s="95">
        <f>IF(R364=1,(N364-INDEX(Sectorwise!F:F,MATCH(F364,Sectorwise!A:A,0))),0)</f>
        <v>0</v>
      </c>
      <c r="W364" s="97">
        <f>POISSON(N364,INDEX(Sectorwise!D:D,MATCH(Travel!F309,Sectorwise!A:A,0)),TRUE)</f>
        <v>4.5603386836408767E-295</v>
      </c>
    </row>
    <row r="365" spans="1:24" ht="15.75" hidden="1" customHeight="1" x14ac:dyDescent="0.2">
      <c r="A365" s="60" t="s">
        <v>912</v>
      </c>
      <c r="B365" s="60" t="s">
        <v>931</v>
      </c>
      <c r="C365" s="64" t="s">
        <v>932</v>
      </c>
      <c r="E365" s="63" t="s">
        <v>2288</v>
      </c>
      <c r="F365" s="21" t="s">
        <v>2135</v>
      </c>
      <c r="G365" s="69" t="s">
        <v>2308</v>
      </c>
      <c r="H365" s="60" t="s">
        <v>933</v>
      </c>
      <c r="I365" s="60" t="s">
        <v>903</v>
      </c>
      <c r="J365" s="61">
        <v>6390</v>
      </c>
      <c r="K365" s="61">
        <v>836</v>
      </c>
      <c r="L365" s="26">
        <f t="shared" si="20"/>
        <v>7226</v>
      </c>
      <c r="M365" s="26">
        <f t="array" ref="M365">MEDIAN(IF($F$3:$F$810=F365,$L$3:$L$810))</f>
        <v>7234</v>
      </c>
      <c r="N365" s="61">
        <v>7226</v>
      </c>
      <c r="O365" s="62">
        <v>7126</v>
      </c>
      <c r="P365" s="76">
        <f>IF(N365&lt;INDEX(Sectorwise!E:E,MATCH(F365,Sectorwise!A:A,0)),1,0)</f>
        <v>0</v>
      </c>
      <c r="Q365" s="76">
        <f>IF(AND(N365&gt;=INDEX(Sectorwise!E:E,MATCH(F365,Sectorwise!A:A,0)),N365&lt;=INDEX(Sectorwise!F:F,MATCH(F365,Sectorwise!A:A,0))),1,0)</f>
        <v>1</v>
      </c>
      <c r="R365" s="76">
        <f>IF(N365&gt;INDEX(Sectorwise!F:F,MATCH(F365,Sectorwise!A:A,0)),1,0)</f>
        <v>0</v>
      </c>
      <c r="S365" s="27">
        <f t="shared" si="21"/>
        <v>0</v>
      </c>
      <c r="T365" s="27">
        <f t="shared" si="22"/>
        <v>7226</v>
      </c>
      <c r="U365" s="27">
        <f t="shared" si="23"/>
        <v>0</v>
      </c>
      <c r="V365" s="95">
        <f>IF(R365=1,(N365-INDEX(Sectorwise!F:F,MATCH(F365,Sectorwise!A:A,0))),0)</f>
        <v>0</v>
      </c>
      <c r="W365" s="97">
        <f>POISSON(N365,INDEX(Sectorwise!D:D,MATCH(Travel!F348,Sectorwise!A:A,0)),TRUE)</f>
        <v>0</v>
      </c>
    </row>
    <row r="366" spans="1:24" ht="15.75" hidden="1" customHeight="1" x14ac:dyDescent="0.2">
      <c r="A366" s="60" t="s">
        <v>964</v>
      </c>
      <c r="B366" s="60" t="s">
        <v>975</v>
      </c>
      <c r="C366" s="60"/>
      <c r="E366" s="63" t="s">
        <v>2288</v>
      </c>
      <c r="F366" s="21" t="s">
        <v>2135</v>
      </c>
      <c r="G366" s="69" t="s">
        <v>2308</v>
      </c>
      <c r="H366" s="60" t="s">
        <v>976</v>
      </c>
      <c r="I366" s="60" t="s">
        <v>903</v>
      </c>
      <c r="J366" s="61">
        <v>6306</v>
      </c>
      <c r="K366" s="61">
        <v>1045</v>
      </c>
      <c r="L366" s="26">
        <f t="shared" si="20"/>
        <v>7351</v>
      </c>
      <c r="M366" s="26">
        <f t="array" ref="M366">MEDIAN(IF($F$3:$F$810=F366,$L$3:$L$810))</f>
        <v>7234</v>
      </c>
      <c r="N366" s="61">
        <v>14702</v>
      </c>
      <c r="O366" s="62">
        <v>0</v>
      </c>
      <c r="P366" s="76">
        <f>IF(N366&lt;INDEX(Sectorwise!E:E,MATCH(F366,Sectorwise!A:A,0)),1,0)</f>
        <v>0</v>
      </c>
      <c r="Q366" s="76">
        <f>IF(AND(N366&gt;=INDEX(Sectorwise!E:E,MATCH(F366,Sectorwise!A:A,0)),N366&lt;=INDEX(Sectorwise!F:F,MATCH(F366,Sectorwise!A:A,0))),1,0)</f>
        <v>0</v>
      </c>
      <c r="R366" s="76">
        <f>IF(N366&gt;INDEX(Sectorwise!F:F,MATCH(F366,Sectorwise!A:A,0)),1,0)</f>
        <v>1</v>
      </c>
      <c r="S366" s="27">
        <f t="shared" si="21"/>
        <v>0</v>
      </c>
      <c r="T366" s="27">
        <f t="shared" si="22"/>
        <v>0</v>
      </c>
      <c r="U366" s="27">
        <f t="shared" si="23"/>
        <v>14702</v>
      </c>
      <c r="V366" s="95">
        <f>IF(R366=1,(N366-INDEX(Sectorwise!F:F,MATCH(F366,Sectorwise!A:A,0))),0)</f>
        <v>6702</v>
      </c>
      <c r="W366" s="97">
        <f>POISSON(N366,INDEX(Sectorwise!D:D,MATCH(Travel!F365,Sectorwise!A:A,0)),TRUE)</f>
        <v>1</v>
      </c>
    </row>
    <row r="367" spans="1:24" ht="15.75" hidden="1" customHeight="1" x14ac:dyDescent="0.2">
      <c r="A367" s="60" t="s">
        <v>1049</v>
      </c>
      <c r="B367" s="60" t="s">
        <v>1056</v>
      </c>
      <c r="C367" s="60"/>
      <c r="E367" s="63" t="s">
        <v>2288</v>
      </c>
      <c r="F367" s="21" t="s">
        <v>2135</v>
      </c>
      <c r="G367" s="56" t="s">
        <v>2309</v>
      </c>
      <c r="H367" s="60" t="s">
        <v>1057</v>
      </c>
      <c r="I367" s="60" t="s">
        <v>1052</v>
      </c>
      <c r="J367" s="61">
        <v>5540</v>
      </c>
      <c r="K367" s="61">
        <v>1947</v>
      </c>
      <c r="L367" s="26">
        <f t="shared" si="20"/>
        <v>7487</v>
      </c>
      <c r="M367" s="26">
        <f t="array" ref="M367">MEDIAN(IF($F$3:$F$810=F367,$L$3:$L$810))</f>
        <v>7234</v>
      </c>
      <c r="N367" s="61">
        <v>7487</v>
      </c>
      <c r="O367" s="62">
        <v>0</v>
      </c>
      <c r="P367" s="76">
        <f>IF(N367&lt;INDEX(Sectorwise!E:E,MATCH(F367,Sectorwise!A:A,0)),1,0)</f>
        <v>0</v>
      </c>
      <c r="Q367" s="76">
        <f>IF(AND(N367&gt;=INDEX(Sectorwise!E:E,MATCH(F367,Sectorwise!A:A,0)),N367&lt;=INDEX(Sectorwise!F:F,MATCH(F367,Sectorwise!A:A,0))),1,0)</f>
        <v>1</v>
      </c>
      <c r="R367" s="76">
        <f>IF(N367&gt;INDEX(Sectorwise!F:F,MATCH(F367,Sectorwise!A:A,0)),1,0)</f>
        <v>0</v>
      </c>
      <c r="S367" s="27">
        <f t="shared" si="21"/>
        <v>0</v>
      </c>
      <c r="T367" s="27">
        <f t="shared" si="22"/>
        <v>7487</v>
      </c>
      <c r="U367" s="27">
        <f t="shared" si="23"/>
        <v>0</v>
      </c>
      <c r="V367" s="95">
        <f>IF(R367=1,(N367-INDEX(Sectorwise!F:F,MATCH(F367,Sectorwise!A:A,0))),0)</f>
        <v>0</v>
      </c>
      <c r="W367" s="97">
        <f>POISSON(N367,INDEX(Sectorwise!D:D,MATCH(Travel!F396,Sectorwise!A:A,0)),TRUE)</f>
        <v>0.99848799814603706</v>
      </c>
    </row>
    <row r="368" spans="1:24" ht="15.75" hidden="1" customHeight="1" x14ac:dyDescent="0.2">
      <c r="A368" s="63" t="s">
        <v>1282</v>
      </c>
      <c r="B368" s="63" t="s">
        <v>1283</v>
      </c>
      <c r="C368" s="63"/>
      <c r="E368" s="63" t="s">
        <v>2288</v>
      </c>
      <c r="F368" s="21" t="s">
        <v>2135</v>
      </c>
      <c r="G368" s="69" t="s">
        <v>2308</v>
      </c>
      <c r="H368" s="63" t="s">
        <v>1285</v>
      </c>
      <c r="I368" s="63" t="s">
        <v>1239</v>
      </c>
      <c r="J368" s="65">
        <v>4450</v>
      </c>
      <c r="K368" s="65">
        <v>3567</v>
      </c>
      <c r="L368" s="26">
        <f t="shared" si="20"/>
        <v>8017</v>
      </c>
      <c r="M368" s="26">
        <f t="array" ref="M368">MEDIAN(IF($F$3:$F$810=F368,$L$3:$L$810))</f>
        <v>7234</v>
      </c>
      <c r="N368" s="57">
        <f>J368+K368</f>
        <v>8017</v>
      </c>
      <c r="O368" s="62">
        <v>0</v>
      </c>
      <c r="P368" s="76">
        <f>IF(N368&lt;INDEX(Sectorwise!E:E,MATCH(F368,Sectorwise!A:A,0)),1,0)</f>
        <v>0</v>
      </c>
      <c r="Q368" s="76">
        <f>IF(AND(N368&gt;=INDEX(Sectorwise!E:E,MATCH(F368,Sectorwise!A:A,0)),N368&lt;=INDEX(Sectorwise!F:F,MATCH(F368,Sectorwise!A:A,0))),1,0)</f>
        <v>0</v>
      </c>
      <c r="R368" s="76">
        <f>IF(N368&gt;INDEX(Sectorwise!F:F,MATCH(F368,Sectorwise!A:A,0)),1,0)</f>
        <v>1</v>
      </c>
      <c r="S368" s="27">
        <f t="shared" si="21"/>
        <v>0</v>
      </c>
      <c r="T368" s="27">
        <f t="shared" si="22"/>
        <v>0</v>
      </c>
      <c r="U368" s="27">
        <f t="shared" si="23"/>
        <v>8017</v>
      </c>
      <c r="V368" s="95">
        <f>IF(R368=1,(N368-INDEX(Sectorwise!F:F,MATCH(F368,Sectorwise!A:A,0))),0)</f>
        <v>17</v>
      </c>
      <c r="W368" s="97">
        <f>POISSON(N368,INDEX(Sectorwise!D:D,MATCH(Travel!F483,Sectorwise!A:A,0)),TRUE)</f>
        <v>0</v>
      </c>
    </row>
    <row r="369" spans="1:23" ht="15.75" hidden="1" customHeight="1" x14ac:dyDescent="0.2">
      <c r="A369" s="60" t="s">
        <v>1292</v>
      </c>
      <c r="B369" s="60" t="s">
        <v>1293</v>
      </c>
      <c r="C369" s="60" t="s">
        <v>1294</v>
      </c>
      <c r="E369" s="63" t="s">
        <v>2288</v>
      </c>
      <c r="F369" s="21" t="s">
        <v>2135</v>
      </c>
      <c r="G369" s="56" t="s">
        <v>2309</v>
      </c>
      <c r="H369" s="60" t="s">
        <v>1295</v>
      </c>
      <c r="I369" s="60" t="s">
        <v>1296</v>
      </c>
      <c r="J369" s="61">
        <v>6100</v>
      </c>
      <c r="K369" s="61">
        <v>2004</v>
      </c>
      <c r="L369" s="26">
        <f t="shared" si="20"/>
        <v>8104</v>
      </c>
      <c r="M369" s="26">
        <f t="array" ref="M369">MEDIAN(IF($F$3:$F$810=F369,$L$3:$L$810))</f>
        <v>7234</v>
      </c>
      <c r="N369" s="61">
        <v>8104</v>
      </c>
      <c r="O369" s="62">
        <v>6425</v>
      </c>
      <c r="P369" s="76">
        <f>IF(N369&lt;INDEX(Sectorwise!E:E,MATCH(F369,Sectorwise!A:A,0)),1,0)</f>
        <v>0</v>
      </c>
      <c r="Q369" s="76">
        <f>IF(AND(N369&gt;=INDEX(Sectorwise!E:E,MATCH(F369,Sectorwise!A:A,0)),N369&lt;=INDEX(Sectorwise!F:F,MATCH(F369,Sectorwise!A:A,0))),1,0)</f>
        <v>0</v>
      </c>
      <c r="R369" s="76">
        <f>IF(N369&gt;INDEX(Sectorwise!F:F,MATCH(F369,Sectorwise!A:A,0)),1,0)</f>
        <v>1</v>
      </c>
      <c r="S369" s="27">
        <f t="shared" si="21"/>
        <v>0</v>
      </c>
      <c r="T369" s="27">
        <f t="shared" si="22"/>
        <v>0</v>
      </c>
      <c r="U369" s="27">
        <f t="shared" si="23"/>
        <v>8104</v>
      </c>
      <c r="V369" s="95">
        <f>IF(R369=1,(N369-INDEX(Sectorwise!F:F,MATCH(F369,Sectorwise!A:A,0))),0)</f>
        <v>104</v>
      </c>
      <c r="W369" s="97">
        <f>POISSON(N369,INDEX(Sectorwise!D:D,MATCH(Travel!F486,Sectorwise!A:A,0)),TRUE)</f>
        <v>1</v>
      </c>
    </row>
    <row r="370" spans="1:23" ht="15.75" hidden="1" customHeight="1" x14ac:dyDescent="0.2">
      <c r="A370" s="63" t="s">
        <v>1594</v>
      </c>
      <c r="B370" s="63" t="s">
        <v>1595</v>
      </c>
      <c r="C370" s="63"/>
      <c r="E370" s="63" t="s">
        <v>2288</v>
      </c>
      <c r="F370" s="21" t="s">
        <v>2135</v>
      </c>
      <c r="G370" s="56" t="s">
        <v>2309</v>
      </c>
      <c r="H370" s="63" t="s">
        <v>1599</v>
      </c>
      <c r="I370" s="63" t="s">
        <v>1598</v>
      </c>
      <c r="J370" s="65">
        <v>8200</v>
      </c>
      <c r="K370" s="65">
        <v>2095</v>
      </c>
      <c r="L370" s="26">
        <f t="shared" si="20"/>
        <v>10295</v>
      </c>
      <c r="M370" s="26">
        <f t="array" ref="M370">MEDIAN(IF($F$3:$F$810=F370,$L$3:$L$810))</f>
        <v>7234</v>
      </c>
      <c r="N370" s="57">
        <f>J370+K370</f>
        <v>10295</v>
      </c>
      <c r="O370" s="62">
        <v>0</v>
      </c>
      <c r="P370" s="76">
        <f>IF(N370&lt;INDEX(Sectorwise!E:E,MATCH(F370,Sectorwise!A:A,0)),1,0)</f>
        <v>0</v>
      </c>
      <c r="Q370" s="76">
        <f>IF(AND(N370&gt;=INDEX(Sectorwise!E:E,MATCH(F370,Sectorwise!A:A,0)),N370&lt;=INDEX(Sectorwise!F:F,MATCH(F370,Sectorwise!A:A,0))),1,0)</f>
        <v>0</v>
      </c>
      <c r="R370" s="76">
        <f>IF(N370&gt;INDEX(Sectorwise!F:F,MATCH(F370,Sectorwise!A:A,0)),1,0)</f>
        <v>1</v>
      </c>
      <c r="S370" s="27">
        <f t="shared" si="21"/>
        <v>0</v>
      </c>
      <c r="T370" s="27">
        <f t="shared" si="22"/>
        <v>0</v>
      </c>
      <c r="U370" s="27">
        <f t="shared" si="23"/>
        <v>10295</v>
      </c>
      <c r="V370" s="95">
        <f>IF(R370=1,(N370-INDEX(Sectorwise!F:F,MATCH(F370,Sectorwise!A:A,0))),0)</f>
        <v>2295</v>
      </c>
      <c r="W370" s="97">
        <f>POISSON(N370,INDEX(Sectorwise!D:D,MATCH(Travel!F606,Sectorwise!A:A,0)),TRUE)</f>
        <v>0</v>
      </c>
    </row>
    <row r="371" spans="1:23" ht="15.75" hidden="1" customHeight="1" x14ac:dyDescent="0.2">
      <c r="A371" s="63" t="s">
        <v>1623</v>
      </c>
      <c r="B371" s="63" t="s">
        <v>1624</v>
      </c>
      <c r="C371" s="63"/>
      <c r="E371" s="63" t="s">
        <v>2288</v>
      </c>
      <c r="F371" s="21" t="s">
        <v>2135</v>
      </c>
      <c r="G371" s="56" t="s">
        <v>2309</v>
      </c>
      <c r="H371" s="63" t="s">
        <v>1625</v>
      </c>
      <c r="I371" s="63" t="s">
        <v>1598</v>
      </c>
      <c r="J371" s="65">
        <v>6450</v>
      </c>
      <c r="K371" s="65">
        <v>1998</v>
      </c>
      <c r="L371" s="26">
        <f t="shared" si="20"/>
        <v>8448</v>
      </c>
      <c r="M371" s="26">
        <f t="array" ref="M371">MEDIAN(IF($F$3:$F$810=F371,$L$3:$L$810))</f>
        <v>7234</v>
      </c>
      <c r="N371" s="65">
        <v>8448</v>
      </c>
      <c r="O371" s="62">
        <v>0</v>
      </c>
      <c r="P371" s="76">
        <f>IF(N371&lt;INDEX(Sectorwise!E:E,MATCH(F371,Sectorwise!A:A,0)),1,0)</f>
        <v>0</v>
      </c>
      <c r="Q371" s="76">
        <f>IF(AND(N371&gt;=INDEX(Sectorwise!E:E,MATCH(F371,Sectorwise!A:A,0)),N371&lt;=INDEX(Sectorwise!F:F,MATCH(F371,Sectorwise!A:A,0))),1,0)</f>
        <v>0</v>
      </c>
      <c r="R371" s="76">
        <f>IF(N371&gt;INDEX(Sectorwise!F:F,MATCH(F371,Sectorwise!A:A,0)),1,0)</f>
        <v>1</v>
      </c>
      <c r="S371" s="27">
        <f t="shared" si="21"/>
        <v>0</v>
      </c>
      <c r="T371" s="27">
        <f t="shared" si="22"/>
        <v>0</v>
      </c>
      <c r="U371" s="27">
        <f t="shared" si="23"/>
        <v>8448</v>
      </c>
      <c r="V371" s="95">
        <f>IF(R371=1,(N371-INDEX(Sectorwise!F:F,MATCH(F371,Sectorwise!A:A,0))),0)</f>
        <v>448</v>
      </c>
      <c r="W371" s="97">
        <f>POISSON(N371,INDEX(Sectorwise!D:D,MATCH(Travel!F620,Sectorwise!A:A,0)),TRUE)</f>
        <v>1</v>
      </c>
    </row>
    <row r="372" spans="1:23" ht="15.75" hidden="1" customHeight="1" x14ac:dyDescent="0.2">
      <c r="A372" s="63" t="s">
        <v>1823</v>
      </c>
      <c r="B372" s="63" t="s">
        <v>1835</v>
      </c>
      <c r="C372" s="63"/>
      <c r="E372" s="63" t="s">
        <v>2288</v>
      </c>
      <c r="F372" s="21" t="s">
        <v>2135</v>
      </c>
      <c r="G372" s="56" t="s">
        <v>2309</v>
      </c>
      <c r="H372" s="63" t="s">
        <v>1836</v>
      </c>
      <c r="I372" s="63" t="s">
        <v>1834</v>
      </c>
      <c r="J372" s="65">
        <v>6100</v>
      </c>
      <c r="K372" s="65">
        <v>1979</v>
      </c>
      <c r="L372" s="26">
        <f t="shared" si="20"/>
        <v>8079</v>
      </c>
      <c r="M372" s="26">
        <f t="array" ref="M372">MEDIAN(IF($F$3:$F$810=F372,$L$3:$L$810))</f>
        <v>7234</v>
      </c>
      <c r="N372" s="65">
        <v>8079</v>
      </c>
      <c r="O372" s="62">
        <v>0</v>
      </c>
      <c r="P372" s="76">
        <f>IF(N372&lt;INDEX(Sectorwise!E:E,MATCH(F372,Sectorwise!A:A,0)),1,0)</f>
        <v>0</v>
      </c>
      <c r="Q372" s="76">
        <f>IF(AND(N372&gt;=INDEX(Sectorwise!E:E,MATCH(F372,Sectorwise!A:A,0)),N372&lt;=INDEX(Sectorwise!F:F,MATCH(F372,Sectorwise!A:A,0))),1,0)</f>
        <v>0</v>
      </c>
      <c r="R372" s="76">
        <f>IF(N372&gt;INDEX(Sectorwise!F:F,MATCH(F372,Sectorwise!A:A,0)),1,0)</f>
        <v>1</v>
      </c>
      <c r="S372" s="27">
        <f t="shared" si="21"/>
        <v>0</v>
      </c>
      <c r="T372" s="27">
        <f t="shared" si="22"/>
        <v>0</v>
      </c>
      <c r="U372" s="27">
        <f t="shared" si="23"/>
        <v>8079</v>
      </c>
      <c r="V372" s="95">
        <f>IF(R372=1,(N372-INDEX(Sectorwise!F:F,MATCH(F372,Sectorwise!A:A,0))),0)</f>
        <v>79</v>
      </c>
      <c r="W372" s="97">
        <f>POISSON(N372,INDEX(Sectorwise!D:D,MATCH(Travel!F694,Sectorwise!A:A,0)),TRUE)</f>
        <v>6.3169141688551593E-145</v>
      </c>
    </row>
    <row r="373" spans="1:23" ht="15.75" hidden="1" customHeight="1" x14ac:dyDescent="0.2">
      <c r="A373" s="69" t="s">
        <v>1994</v>
      </c>
      <c r="B373" s="69" t="s">
        <v>2010</v>
      </c>
      <c r="C373" s="69" t="s">
        <v>2011</v>
      </c>
      <c r="E373" s="63" t="s">
        <v>2288</v>
      </c>
      <c r="F373" s="21" t="s">
        <v>2135</v>
      </c>
      <c r="G373" s="69" t="s">
        <v>2308</v>
      </c>
      <c r="H373" s="69" t="s">
        <v>2012</v>
      </c>
      <c r="I373" s="69" t="s">
        <v>1932</v>
      </c>
      <c r="J373" s="70">
        <v>9239</v>
      </c>
      <c r="K373" s="70">
        <v>1207</v>
      </c>
      <c r="L373" s="26">
        <f t="shared" si="20"/>
        <v>10446</v>
      </c>
      <c r="M373" s="26">
        <f t="array" ref="M373">MEDIAN(IF($F$3:$F$810=F373,$L$3:$L$810))</f>
        <v>7234</v>
      </c>
      <c r="N373" s="70">
        <v>10446</v>
      </c>
      <c r="O373" s="71">
        <v>10346</v>
      </c>
      <c r="P373" s="76">
        <f>IF(N373&lt;INDEX(Sectorwise!E:E,MATCH(F373,Sectorwise!A:A,0)),1,0)</f>
        <v>0</v>
      </c>
      <c r="Q373" s="76">
        <f>IF(AND(N373&gt;=INDEX(Sectorwise!E:E,MATCH(F373,Sectorwise!A:A,0)),N373&lt;=INDEX(Sectorwise!F:F,MATCH(F373,Sectorwise!A:A,0))),1,0)</f>
        <v>0</v>
      </c>
      <c r="R373" s="76">
        <f>IF(N373&gt;INDEX(Sectorwise!F:F,MATCH(F373,Sectorwise!A:A,0)),1,0)</f>
        <v>1</v>
      </c>
      <c r="S373" s="27">
        <f t="shared" si="21"/>
        <v>0</v>
      </c>
      <c r="T373" s="27">
        <f t="shared" si="22"/>
        <v>0</v>
      </c>
      <c r="U373" s="27">
        <f t="shared" si="23"/>
        <v>10446</v>
      </c>
      <c r="V373" s="95">
        <f>IF(R373=1,(N373-INDEX(Sectorwise!F:F,MATCH(F373,Sectorwise!A:A,0))),0)</f>
        <v>2446</v>
      </c>
      <c r="W373" s="97">
        <f>POISSON(N373,INDEX(Sectorwise!D:D,MATCH(Travel!F765,Sectorwise!A:A,0)),TRUE)</f>
        <v>1</v>
      </c>
    </row>
    <row r="374" spans="1:23" ht="15.75" hidden="1" customHeight="1" x14ac:dyDescent="0.2">
      <c r="A374" s="69" t="s">
        <v>2017</v>
      </c>
      <c r="B374" s="69" t="s">
        <v>2021</v>
      </c>
      <c r="C374" s="69"/>
      <c r="E374" s="63" t="s">
        <v>2288</v>
      </c>
      <c r="F374" s="21" t="s">
        <v>2135</v>
      </c>
      <c r="G374" s="56" t="s">
        <v>2309</v>
      </c>
      <c r="H374" s="69" t="s">
        <v>2022</v>
      </c>
      <c r="I374" s="69" t="s">
        <v>1977</v>
      </c>
      <c r="J374" s="70">
        <v>5500</v>
      </c>
      <c r="K374" s="70">
        <v>1945</v>
      </c>
      <c r="L374" s="26">
        <f t="shared" si="20"/>
        <v>7445</v>
      </c>
      <c r="M374" s="26">
        <f t="array" ref="M374">MEDIAN(IF($F$3:$F$810=F374,$L$3:$L$810))</f>
        <v>7234</v>
      </c>
      <c r="N374" s="70">
        <v>7445</v>
      </c>
      <c r="O374" s="71">
        <v>0</v>
      </c>
      <c r="P374" s="76">
        <f>IF(N374&lt;INDEX(Sectorwise!E:E,MATCH(F374,Sectorwise!A:A,0)),1,0)</f>
        <v>0</v>
      </c>
      <c r="Q374" s="76">
        <f>IF(AND(N374&gt;=INDEX(Sectorwise!E:E,MATCH(F374,Sectorwise!A:A,0)),N374&lt;=INDEX(Sectorwise!F:F,MATCH(F374,Sectorwise!A:A,0))),1,0)</f>
        <v>1</v>
      </c>
      <c r="R374" s="76">
        <f>IF(N374&gt;INDEX(Sectorwise!F:F,MATCH(F374,Sectorwise!A:A,0)),1,0)</f>
        <v>0</v>
      </c>
      <c r="S374" s="27">
        <f t="shared" si="21"/>
        <v>0</v>
      </c>
      <c r="T374" s="27">
        <f t="shared" si="22"/>
        <v>7445</v>
      </c>
      <c r="U374" s="27">
        <f t="shared" si="23"/>
        <v>0</v>
      </c>
      <c r="V374" s="95">
        <f>IF(R374=1,(N374-INDEX(Sectorwise!F:F,MATCH(F374,Sectorwise!A:A,0))),0)</f>
        <v>0</v>
      </c>
      <c r="W374" s="97">
        <f>POISSON(N374,INDEX(Sectorwise!D:D,MATCH(Travel!F769,Sectorwise!A:A,0)),TRUE)</f>
        <v>0</v>
      </c>
    </row>
    <row r="375" spans="1:23" ht="15.75" hidden="1" customHeight="1" x14ac:dyDescent="0.2">
      <c r="A375" s="69" t="s">
        <v>2026</v>
      </c>
      <c r="B375" s="69" t="s">
        <v>2029</v>
      </c>
      <c r="C375" s="69"/>
      <c r="E375" s="63" t="s">
        <v>2288</v>
      </c>
      <c r="F375" s="21" t="s">
        <v>2135</v>
      </c>
      <c r="G375" s="69" t="s">
        <v>2308</v>
      </c>
      <c r="H375" s="69" t="s">
        <v>2030</v>
      </c>
      <c r="I375" s="69" t="s">
        <v>1932</v>
      </c>
      <c r="J375" s="70">
        <v>9239</v>
      </c>
      <c r="K375" s="70">
        <v>1207</v>
      </c>
      <c r="L375" s="26">
        <f t="shared" si="20"/>
        <v>10446</v>
      </c>
      <c r="M375" s="26">
        <f t="array" ref="M375">MEDIAN(IF($F$3:$F$810=F375,$L$3:$L$810))</f>
        <v>7234</v>
      </c>
      <c r="N375" s="70">
        <v>10446</v>
      </c>
      <c r="O375" s="71">
        <v>0</v>
      </c>
      <c r="P375" s="76">
        <f>IF(N375&lt;INDEX(Sectorwise!E:E,MATCH(F375,Sectorwise!A:A,0)),1,0)</f>
        <v>0</v>
      </c>
      <c r="Q375" s="76">
        <f>IF(AND(N375&gt;=INDEX(Sectorwise!E:E,MATCH(F375,Sectorwise!A:A,0)),N375&lt;=INDEX(Sectorwise!F:F,MATCH(F375,Sectorwise!A:A,0))),1,0)</f>
        <v>0</v>
      </c>
      <c r="R375" s="76">
        <f>IF(N375&gt;INDEX(Sectorwise!F:F,MATCH(F375,Sectorwise!A:A,0)),1,0)</f>
        <v>1</v>
      </c>
      <c r="S375" s="27">
        <f t="shared" si="21"/>
        <v>0</v>
      </c>
      <c r="T375" s="27">
        <f t="shared" si="22"/>
        <v>0</v>
      </c>
      <c r="U375" s="27">
        <f t="shared" si="23"/>
        <v>10446</v>
      </c>
      <c r="V375" s="95">
        <f>IF(R375=1,(N375-INDEX(Sectorwise!F:F,MATCH(F375,Sectorwise!A:A,0))),0)</f>
        <v>2446</v>
      </c>
      <c r="W375" s="97">
        <f>POISSON(N375,INDEX(Sectorwise!D:D,MATCH(Travel!F772,Sectorwise!A:A,0)),TRUE)</f>
        <v>6.1614522852867538E-2</v>
      </c>
    </row>
    <row r="376" spans="1:23" ht="15.75" hidden="1" customHeight="1" x14ac:dyDescent="0.2">
      <c r="A376" s="29" t="s">
        <v>2098</v>
      </c>
      <c r="B376" s="29" t="s">
        <v>2103</v>
      </c>
      <c r="C376" s="29"/>
      <c r="E376" s="63" t="s">
        <v>2288</v>
      </c>
      <c r="F376" s="21" t="s">
        <v>2135</v>
      </c>
      <c r="G376" s="56" t="s">
        <v>2309</v>
      </c>
      <c r="H376" s="29" t="s">
        <v>2104</v>
      </c>
      <c r="I376" s="29" t="s">
        <v>2097</v>
      </c>
      <c r="J376" s="65">
        <v>6650</v>
      </c>
      <c r="K376" s="65">
        <v>2009</v>
      </c>
      <c r="L376" s="26">
        <f t="shared" si="20"/>
        <v>8659</v>
      </c>
      <c r="M376" s="26">
        <f t="array" ref="M376">MEDIAN(IF($F$3:$F$810=F376,$L$3:$L$810))</f>
        <v>7234</v>
      </c>
      <c r="N376" s="65">
        <v>8659</v>
      </c>
      <c r="O376" s="65" t="e">
        <f>N376-#REF!</f>
        <v>#REF!</v>
      </c>
      <c r="P376" s="76">
        <f>IF(N376&lt;INDEX(Sectorwise!E:E,MATCH(F376,Sectorwise!A:A,0)),1,0)</f>
        <v>0</v>
      </c>
      <c r="Q376" s="76">
        <f>IF(AND(N376&gt;=INDEX(Sectorwise!E:E,MATCH(F376,Sectorwise!A:A,0)),N376&lt;=INDEX(Sectorwise!F:F,MATCH(F376,Sectorwise!A:A,0))),1,0)</f>
        <v>0</v>
      </c>
      <c r="R376" s="76">
        <f>IF(N376&gt;INDEX(Sectorwise!F:F,MATCH(F376,Sectorwise!A:A,0)),1,0)</f>
        <v>1</v>
      </c>
      <c r="S376" s="27">
        <f t="shared" si="21"/>
        <v>0</v>
      </c>
      <c r="T376" s="27">
        <f t="shared" si="22"/>
        <v>0</v>
      </c>
      <c r="U376" s="27">
        <f t="shared" si="23"/>
        <v>8659</v>
      </c>
      <c r="V376" s="95">
        <f>IF(R376=1,(N376-INDEX(Sectorwise!F:F,MATCH(F376,Sectorwise!A:A,0))),0)</f>
        <v>659</v>
      </c>
      <c r="W376" s="97">
        <f>POISSON(N376,INDEX(Sectorwise!D:D,MATCH(Travel!F799,Sectorwise!A:A,0)),TRUE)</f>
        <v>1</v>
      </c>
    </row>
    <row r="377" spans="1:23" ht="15.75" hidden="1" customHeight="1" x14ac:dyDescent="0.2">
      <c r="A377" s="21" t="s">
        <v>572</v>
      </c>
      <c r="B377" s="21" t="s">
        <v>579</v>
      </c>
      <c r="C377" s="22"/>
      <c r="E377" s="63" t="s">
        <v>2288</v>
      </c>
      <c r="F377" s="21" t="s">
        <v>2151</v>
      </c>
      <c r="G377" s="56" t="s">
        <v>2309</v>
      </c>
      <c r="H377" s="21" t="s">
        <v>580</v>
      </c>
      <c r="I377" s="21" t="s">
        <v>578</v>
      </c>
      <c r="J377" s="25">
        <v>3072</v>
      </c>
      <c r="K377" s="25">
        <v>3011</v>
      </c>
      <c r="L377" s="26">
        <f t="shared" si="20"/>
        <v>6083</v>
      </c>
      <c r="M377" s="26">
        <f t="array" ref="M377">MEDIAN(IF($F$3:$F$810=F377,$L$3:$L$810))</f>
        <v>10079</v>
      </c>
      <c r="N377" s="47">
        <v>6083</v>
      </c>
      <c r="O377" s="55"/>
      <c r="P377" s="76">
        <f>IF(N377&lt;INDEX(Sectorwise!E:E,MATCH(F377,Sectorwise!A:A,0)),1,0)</f>
        <v>1</v>
      </c>
      <c r="Q377" s="76">
        <f>IF(AND(N377&gt;=INDEX(Sectorwise!E:E,MATCH(F377,Sectorwise!A:A,0)),N377&lt;=INDEX(Sectorwise!F:F,MATCH(F377,Sectorwise!A:A,0))),1,0)</f>
        <v>0</v>
      </c>
      <c r="R377" s="76">
        <f>IF(N377&gt;INDEX(Sectorwise!F:F,MATCH(F377,Sectorwise!A:A,0)),1,0)</f>
        <v>0</v>
      </c>
      <c r="S377" s="27">
        <f t="shared" si="21"/>
        <v>6083</v>
      </c>
      <c r="T377" s="27">
        <f t="shared" si="22"/>
        <v>0</v>
      </c>
      <c r="U377" s="27">
        <f t="shared" si="23"/>
        <v>0</v>
      </c>
      <c r="V377" s="95">
        <f>IF(R377=1,(N377-INDEX(Sectorwise!F:F,MATCH(F377,Sectorwise!A:A,0))),0)</f>
        <v>0</v>
      </c>
      <c r="W377" s="97">
        <f>POISSON(N377,INDEX(Sectorwise!D:D,MATCH(Travel!F218,Sectorwise!A:A,0)),TRUE)</f>
        <v>1.8439936528957663E-57</v>
      </c>
    </row>
    <row r="378" spans="1:23" ht="15.75" hidden="1" customHeight="1" x14ac:dyDescent="0.2">
      <c r="A378" s="63" t="s">
        <v>1916</v>
      </c>
      <c r="B378" s="63" t="s">
        <v>1933</v>
      </c>
      <c r="C378" s="63"/>
      <c r="E378" s="63" t="s">
        <v>2288</v>
      </c>
      <c r="F378" s="63" t="s">
        <v>1934</v>
      </c>
      <c r="G378" s="63" t="s">
        <v>2333</v>
      </c>
      <c r="H378" s="63" t="s">
        <v>1723</v>
      </c>
      <c r="I378" s="63" t="s">
        <v>41</v>
      </c>
      <c r="J378" s="65">
        <v>14565</v>
      </c>
      <c r="K378" s="65">
        <v>435</v>
      </c>
      <c r="L378" s="26">
        <f t="shared" si="20"/>
        <v>15000</v>
      </c>
      <c r="M378" s="26">
        <f t="array" ref="M378">MEDIAN(IF($F$3:$F$810=F378,$L$3:$L$810))</f>
        <v>15000</v>
      </c>
      <c r="N378" s="65">
        <v>15000</v>
      </c>
      <c r="O378" s="62">
        <v>0</v>
      </c>
      <c r="P378" s="76">
        <f>IF(N378&lt;INDEX(Sectorwise!E:E,MATCH(F378,Sectorwise!A:A,0)),1,0)</f>
        <v>0</v>
      </c>
      <c r="Q378" s="76">
        <f>IF(AND(N378&gt;=INDEX(Sectorwise!E:E,MATCH(F378,Sectorwise!A:A,0)),N378&lt;=INDEX(Sectorwise!F:F,MATCH(F378,Sectorwise!A:A,0))),1,0)</f>
        <v>1</v>
      </c>
      <c r="R378" s="76">
        <f>IF(N378&gt;INDEX(Sectorwise!F:F,MATCH(F378,Sectorwise!A:A,0)),1,0)</f>
        <v>0</v>
      </c>
      <c r="S378" s="27">
        <f t="shared" si="21"/>
        <v>0</v>
      </c>
      <c r="T378" s="27">
        <f t="shared" si="22"/>
        <v>15000</v>
      </c>
      <c r="U378" s="27">
        <f t="shared" si="23"/>
        <v>0</v>
      </c>
      <c r="V378" s="95">
        <f>IF(R378=1,(N378-INDEX(Sectorwise!F:F,MATCH(F378,Sectorwise!A:A,0))),0)</f>
        <v>0</v>
      </c>
      <c r="W378" s="97">
        <f>POISSON(N378,INDEX(Sectorwise!D:D,MATCH(Travel!F737,Sectorwise!A:A,0)),TRUE)</f>
        <v>1</v>
      </c>
    </row>
    <row r="379" spans="1:23" ht="15.75" hidden="1" customHeight="1" x14ac:dyDescent="0.2">
      <c r="A379" s="21" t="s">
        <v>567</v>
      </c>
      <c r="B379" s="21" t="s">
        <v>568</v>
      </c>
      <c r="C379" s="22"/>
      <c r="E379" s="63" t="s">
        <v>2288</v>
      </c>
      <c r="F379" s="21" t="s">
        <v>2149</v>
      </c>
      <c r="G379" s="63" t="s">
        <v>2312</v>
      </c>
      <c r="H379" s="21" t="s">
        <v>571</v>
      </c>
      <c r="I379" s="21" t="s">
        <v>570</v>
      </c>
      <c r="J379" s="25">
        <v>2550</v>
      </c>
      <c r="K379" s="25">
        <v>4386</v>
      </c>
      <c r="L379" s="26">
        <f t="shared" si="20"/>
        <v>6936</v>
      </c>
      <c r="M379" s="26">
        <f t="array" ref="M379">MEDIAN(IF($F$3:$F$810=F379,$L$3:$L$810))</f>
        <v>10332</v>
      </c>
      <c r="N379" s="47">
        <v>6936</v>
      </c>
      <c r="O379" s="55"/>
      <c r="P379" s="76">
        <f>IF(N379&lt;INDEX(Sectorwise!E:E,MATCH(F379,Sectorwise!A:A,0)),1,0)</f>
        <v>1</v>
      </c>
      <c r="Q379" s="76">
        <f>IF(AND(N379&gt;=INDEX(Sectorwise!E:E,MATCH(F379,Sectorwise!A:A,0)),N379&lt;=INDEX(Sectorwise!F:F,MATCH(F379,Sectorwise!A:A,0))),1,0)</f>
        <v>0</v>
      </c>
      <c r="R379" s="76">
        <f>IF(N379&gt;INDEX(Sectorwise!F:F,MATCH(F379,Sectorwise!A:A,0)),1,0)</f>
        <v>0</v>
      </c>
      <c r="S379" s="27">
        <f t="shared" si="21"/>
        <v>6936</v>
      </c>
      <c r="T379" s="27">
        <f t="shared" si="22"/>
        <v>0</v>
      </c>
      <c r="U379" s="27">
        <f t="shared" si="23"/>
        <v>0</v>
      </c>
      <c r="V379" s="95">
        <f>IF(R379=1,(N379-INDEX(Sectorwise!F:F,MATCH(F379,Sectorwise!A:A,0))),0)</f>
        <v>0</v>
      </c>
      <c r="W379" s="97">
        <f>POISSON(N379,INDEX(Sectorwise!D:D,MATCH(Travel!F215,Sectorwise!A:A,0)),TRUE)</f>
        <v>1.1513004637350088E-8</v>
      </c>
    </row>
    <row r="380" spans="1:23" ht="15.75" hidden="1" customHeight="1" x14ac:dyDescent="0.2">
      <c r="A380" s="21" t="s">
        <v>669</v>
      </c>
      <c r="B380" s="24" t="s">
        <v>670</v>
      </c>
      <c r="C380" s="22"/>
      <c r="D380" s="32"/>
      <c r="E380" s="63" t="s">
        <v>2288</v>
      </c>
      <c r="F380" s="21" t="s">
        <v>2149</v>
      </c>
      <c r="G380" s="56" t="s">
        <v>2309</v>
      </c>
      <c r="H380" s="21" t="s">
        <v>671</v>
      </c>
      <c r="I380" s="21" t="s">
        <v>672</v>
      </c>
      <c r="J380" s="25">
        <v>3059</v>
      </c>
      <c r="K380" s="25">
        <v>3522</v>
      </c>
      <c r="L380" s="26">
        <f t="shared" si="20"/>
        <v>6581</v>
      </c>
      <c r="M380" s="26">
        <f t="array" ref="M380">MEDIAN(IF($F$3:$F$810=F380,$L$3:$L$810))</f>
        <v>10332</v>
      </c>
      <c r="N380" s="47">
        <v>6581</v>
      </c>
      <c r="O380" s="55"/>
      <c r="P380" s="76">
        <f>IF(N380&lt;INDEX(Sectorwise!E:E,MATCH(F380,Sectorwise!A:A,0)),1,0)</f>
        <v>1</v>
      </c>
      <c r="Q380" s="76">
        <f>IF(AND(N380&gt;=INDEX(Sectorwise!E:E,MATCH(F380,Sectorwise!A:A,0)),N380&lt;=INDEX(Sectorwise!F:F,MATCH(F380,Sectorwise!A:A,0))),1,0)</f>
        <v>0</v>
      </c>
      <c r="R380" s="76">
        <f>IF(N380&gt;INDEX(Sectorwise!F:F,MATCH(F380,Sectorwise!A:A,0)),1,0)</f>
        <v>0</v>
      </c>
      <c r="S380" s="27">
        <f t="shared" si="21"/>
        <v>6581</v>
      </c>
      <c r="T380" s="27">
        <f t="shared" si="22"/>
        <v>0</v>
      </c>
      <c r="U380" s="27">
        <f t="shared" si="23"/>
        <v>0</v>
      </c>
      <c r="V380" s="95">
        <f>IF(R380=1,(N380-INDEX(Sectorwise!F:F,MATCH(F380,Sectorwise!A:A,0))),0)</f>
        <v>0</v>
      </c>
      <c r="W380" s="97">
        <f>POISSON(N380,INDEX(Sectorwise!D:D,MATCH(Travel!F254,Sectorwise!A:A,0)),TRUE)</f>
        <v>1</v>
      </c>
    </row>
    <row r="381" spans="1:23" ht="15.75" hidden="1" customHeight="1" x14ac:dyDescent="0.2">
      <c r="A381" s="21" t="s">
        <v>700</v>
      </c>
      <c r="B381" s="24" t="s">
        <v>704</v>
      </c>
      <c r="C381" s="22"/>
      <c r="D381" s="32"/>
      <c r="E381" s="63" t="s">
        <v>2288</v>
      </c>
      <c r="F381" s="21" t="s">
        <v>2149</v>
      </c>
      <c r="G381" s="56" t="s">
        <v>2309</v>
      </c>
      <c r="H381" s="21" t="s">
        <v>705</v>
      </c>
      <c r="I381" s="21" t="s">
        <v>672</v>
      </c>
      <c r="J381" s="25">
        <v>9950</v>
      </c>
      <c r="K381" s="25">
        <v>4063</v>
      </c>
      <c r="L381" s="26">
        <f t="shared" si="20"/>
        <v>14013</v>
      </c>
      <c r="M381" s="26">
        <f t="array" ref="M381">MEDIAN(IF($F$3:$F$810=F381,$L$3:$L$810))</f>
        <v>10332</v>
      </c>
      <c r="N381" s="47">
        <v>14013</v>
      </c>
      <c r="O381" s="55"/>
      <c r="P381" s="76">
        <f>IF(N381&lt;INDEX(Sectorwise!E:E,MATCH(F381,Sectorwise!A:A,0)),1,0)</f>
        <v>0</v>
      </c>
      <c r="Q381" s="76">
        <f>IF(AND(N381&gt;=INDEX(Sectorwise!E:E,MATCH(F381,Sectorwise!A:A,0)),N381&lt;=INDEX(Sectorwise!F:F,MATCH(F381,Sectorwise!A:A,0))),1,0)</f>
        <v>0</v>
      </c>
      <c r="R381" s="76">
        <f>IF(N381&gt;INDEX(Sectorwise!F:F,MATCH(F381,Sectorwise!A:A,0)),1,0)</f>
        <v>1</v>
      </c>
      <c r="S381" s="27">
        <f t="shared" si="21"/>
        <v>0</v>
      </c>
      <c r="T381" s="27">
        <f t="shared" si="22"/>
        <v>0</v>
      </c>
      <c r="U381" s="27">
        <f t="shared" si="23"/>
        <v>14013</v>
      </c>
      <c r="V381" s="95">
        <f>IF(R381=1,(N381-INDEX(Sectorwise!F:F,MATCH(F381,Sectorwise!A:A,0))),0)</f>
        <v>2613</v>
      </c>
      <c r="W381" s="97">
        <f>POISSON(N381,INDEX(Sectorwise!D:D,MATCH(Travel!F267,Sectorwise!A:A,0)),TRUE)</f>
        <v>1</v>
      </c>
    </row>
    <row r="382" spans="1:23" ht="15.75" hidden="1" customHeight="1" x14ac:dyDescent="0.2">
      <c r="A382" s="63" t="s">
        <v>1217</v>
      </c>
      <c r="B382" s="63" t="s">
        <v>1221</v>
      </c>
      <c r="C382" s="63"/>
      <c r="E382" s="63" t="s">
        <v>2288</v>
      </c>
      <c r="F382" s="21" t="s">
        <v>2149</v>
      </c>
      <c r="G382" s="56" t="s">
        <v>2309</v>
      </c>
      <c r="H382" s="63" t="s">
        <v>1222</v>
      </c>
      <c r="I382" s="63" t="s">
        <v>1223</v>
      </c>
      <c r="J382" s="65">
        <v>6300</v>
      </c>
      <c r="K382" s="65">
        <v>3859</v>
      </c>
      <c r="L382" s="26">
        <f t="shared" si="20"/>
        <v>10159</v>
      </c>
      <c r="M382" s="26">
        <f t="array" ref="M382">MEDIAN(IF($F$3:$F$810=F382,$L$3:$L$810))</f>
        <v>10332</v>
      </c>
      <c r="N382" s="65">
        <v>10159</v>
      </c>
      <c r="O382" s="62">
        <v>0</v>
      </c>
      <c r="P382" s="76">
        <f>IF(N382&lt;INDEX(Sectorwise!E:E,MATCH(F382,Sectorwise!A:A,0)),1,0)</f>
        <v>0</v>
      </c>
      <c r="Q382" s="76">
        <f>IF(AND(N382&gt;=INDEX(Sectorwise!E:E,MATCH(F382,Sectorwise!A:A,0)),N382&lt;=INDEX(Sectorwise!F:F,MATCH(F382,Sectorwise!A:A,0))),1,0)</f>
        <v>1</v>
      </c>
      <c r="R382" s="76">
        <f>IF(N382&gt;INDEX(Sectorwise!F:F,MATCH(F382,Sectorwise!A:A,0)),1,0)</f>
        <v>0</v>
      </c>
      <c r="S382" s="27">
        <f t="shared" si="21"/>
        <v>0</v>
      </c>
      <c r="T382" s="27">
        <f t="shared" si="22"/>
        <v>10159</v>
      </c>
      <c r="U382" s="27">
        <f t="shared" si="23"/>
        <v>0</v>
      </c>
      <c r="V382" s="95">
        <f>IF(R382=1,(N382-INDEX(Sectorwise!F:F,MATCH(F382,Sectorwise!A:A,0))),0)</f>
        <v>0</v>
      </c>
      <c r="W382" s="97">
        <f>POISSON(N382,INDEX(Sectorwise!D:D,MATCH(Travel!F461,Sectorwise!A:A,0)),TRUE)</f>
        <v>0</v>
      </c>
    </row>
    <row r="383" spans="1:23" ht="15.75" hidden="1" customHeight="1" x14ac:dyDescent="0.2">
      <c r="A383" s="60" t="s">
        <v>1301</v>
      </c>
      <c r="B383" s="60" t="s">
        <v>1302</v>
      </c>
      <c r="C383" s="60"/>
      <c r="E383" s="63" t="s">
        <v>2288</v>
      </c>
      <c r="F383" s="21" t="s">
        <v>2149</v>
      </c>
      <c r="G383" s="56" t="s">
        <v>2309</v>
      </c>
      <c r="H383" s="60" t="s">
        <v>1305</v>
      </c>
      <c r="I383" s="60" t="s">
        <v>1304</v>
      </c>
      <c r="J383" s="61">
        <v>9950</v>
      </c>
      <c r="K383" s="61">
        <v>4063</v>
      </c>
      <c r="L383" s="26">
        <f t="shared" si="20"/>
        <v>14013</v>
      </c>
      <c r="M383" s="26">
        <f t="array" ref="M383">MEDIAN(IF($F$3:$F$810=F383,$L$3:$L$810))</f>
        <v>10332</v>
      </c>
      <c r="N383" s="57">
        <f>J383+K383</f>
        <v>14013</v>
      </c>
      <c r="O383" s="62">
        <v>0</v>
      </c>
      <c r="P383" s="76">
        <f>IF(N383&lt;INDEX(Sectorwise!E:E,MATCH(F383,Sectorwise!A:A,0)),1,0)</f>
        <v>0</v>
      </c>
      <c r="Q383" s="76">
        <f>IF(AND(N383&gt;=INDEX(Sectorwise!E:E,MATCH(F383,Sectorwise!A:A,0)),N383&lt;=INDEX(Sectorwise!F:F,MATCH(F383,Sectorwise!A:A,0))),1,0)</f>
        <v>0</v>
      </c>
      <c r="R383" s="76">
        <f>IF(N383&gt;INDEX(Sectorwise!F:F,MATCH(F383,Sectorwise!A:A,0)),1,0)</f>
        <v>1</v>
      </c>
      <c r="S383" s="27">
        <f t="shared" si="21"/>
        <v>0</v>
      </c>
      <c r="T383" s="27">
        <f t="shared" si="22"/>
        <v>0</v>
      </c>
      <c r="U383" s="27">
        <f t="shared" si="23"/>
        <v>14013</v>
      </c>
      <c r="V383" s="95">
        <f>IF(R383=1,(N383-INDEX(Sectorwise!F:F,MATCH(F383,Sectorwise!A:A,0))),0)</f>
        <v>2613</v>
      </c>
      <c r="W383" s="97">
        <f>POISSON(N383,INDEX(Sectorwise!D:D,MATCH(Travel!F489,Sectorwise!A:A,0)),TRUE)</f>
        <v>1</v>
      </c>
    </row>
    <row r="384" spans="1:23" ht="15.75" hidden="1" customHeight="1" x14ac:dyDescent="0.2">
      <c r="A384" s="29" t="s">
        <v>2098</v>
      </c>
      <c r="B384" s="29" t="s">
        <v>2101</v>
      </c>
      <c r="C384" s="29"/>
      <c r="E384" s="63" t="s">
        <v>2288</v>
      </c>
      <c r="F384" s="33" t="s">
        <v>2191</v>
      </c>
      <c r="G384" s="56" t="s">
        <v>2309</v>
      </c>
      <c r="H384" s="29" t="s">
        <v>2102</v>
      </c>
      <c r="I384" s="29" t="s">
        <v>2097</v>
      </c>
      <c r="J384" s="65">
        <v>4300</v>
      </c>
      <c r="K384" s="65">
        <v>1705</v>
      </c>
      <c r="L384" s="26">
        <f t="shared" si="20"/>
        <v>6005</v>
      </c>
      <c r="M384" s="26">
        <f t="array" ref="M384">MEDIAN(IF($F$3:$F$810=F384,$L$3:$L$810))</f>
        <v>5519</v>
      </c>
      <c r="N384" s="65">
        <v>6005</v>
      </c>
      <c r="O384" s="65" t="e">
        <f>N384-#REF!</f>
        <v>#REF!</v>
      </c>
      <c r="P384" s="76">
        <f>IF(N384&lt;INDEX(Sectorwise!E:E,MATCH(F384,Sectorwise!A:A,0)),1,0)</f>
        <v>0</v>
      </c>
      <c r="Q384" s="76">
        <f>IF(AND(N384&gt;=INDEX(Sectorwise!E:E,MATCH(F384,Sectorwise!A:A,0)),N384&lt;=INDEX(Sectorwise!F:F,MATCH(F384,Sectorwise!A:A,0))),1,0)</f>
        <v>1</v>
      </c>
      <c r="R384" s="76">
        <f>IF(N384&gt;INDEX(Sectorwise!F:F,MATCH(F384,Sectorwise!A:A,0)),1,0)</f>
        <v>0</v>
      </c>
      <c r="S384" s="27">
        <f t="shared" si="21"/>
        <v>0</v>
      </c>
      <c r="T384" s="27">
        <f t="shared" si="22"/>
        <v>6005</v>
      </c>
      <c r="U384" s="27">
        <f t="shared" si="23"/>
        <v>0</v>
      </c>
      <c r="V384" s="95">
        <f>IF(R384=1,(N384-INDEX(Sectorwise!F:F,MATCH(F384,Sectorwise!A:A,0))),0)</f>
        <v>0</v>
      </c>
      <c r="W384" s="97">
        <f>POISSON(N384,INDEX(Sectorwise!D:D,MATCH(Travel!F798,Sectorwise!A:A,0)),TRUE)</f>
        <v>0</v>
      </c>
    </row>
    <row r="385" spans="1:24" ht="15.75" hidden="1" customHeight="1" x14ac:dyDescent="0.2">
      <c r="A385" s="29" t="s">
        <v>2036</v>
      </c>
      <c r="B385" s="29" t="s">
        <v>2037</v>
      </c>
      <c r="C385" s="29"/>
      <c r="E385" s="29" t="s">
        <v>2038</v>
      </c>
      <c r="F385" s="21" t="s">
        <v>2135</v>
      </c>
      <c r="G385" s="56" t="s">
        <v>2309</v>
      </c>
      <c r="H385" s="29" t="s">
        <v>2041</v>
      </c>
      <c r="I385" s="29" t="s">
        <v>2042</v>
      </c>
      <c r="J385" s="65">
        <v>6100</v>
      </c>
      <c r="K385" s="65">
        <v>1979</v>
      </c>
      <c r="L385" s="26">
        <f t="shared" si="20"/>
        <v>8079</v>
      </c>
      <c r="M385" s="26">
        <f t="array" ref="M385">MEDIAN(IF($F$3:$F$810=F385,$L$3:$L$810))</f>
        <v>7234</v>
      </c>
      <c r="N385" s="57">
        <f>J385+K385</f>
        <v>8079</v>
      </c>
      <c r="O385" s="65" t="e">
        <f>N385-#REF!</f>
        <v>#REF!</v>
      </c>
      <c r="P385" s="76">
        <f>IF(N385&lt;INDEX(Sectorwise!E:E,MATCH(F385,Sectorwise!A:A,0)),1,0)</f>
        <v>0</v>
      </c>
      <c r="Q385" s="76">
        <f>IF(AND(N385&gt;=INDEX(Sectorwise!E:E,MATCH(F385,Sectorwise!A:A,0)),N385&lt;=INDEX(Sectorwise!F:F,MATCH(F385,Sectorwise!A:A,0))),1,0)</f>
        <v>0</v>
      </c>
      <c r="R385" s="76">
        <f>IF(N385&gt;INDEX(Sectorwise!F:F,MATCH(F385,Sectorwise!A:A,0)),1,0)</f>
        <v>1</v>
      </c>
      <c r="S385" s="27">
        <f t="shared" si="21"/>
        <v>0</v>
      </c>
      <c r="T385" s="27">
        <f t="shared" si="22"/>
        <v>0</v>
      </c>
      <c r="U385" s="27">
        <f t="shared" si="23"/>
        <v>8079</v>
      </c>
      <c r="V385" s="95">
        <f>IF(R385=1,(N385-INDEX(Sectorwise!F:F,MATCH(F385,Sectorwise!A:A,0))),0)</f>
        <v>79</v>
      </c>
      <c r="W385" s="97">
        <f>POISSON(N385,INDEX(Sectorwise!D:D,MATCH(Travel!F778,Sectorwise!A:A,0)),TRUE)</f>
        <v>0.9999999999999889</v>
      </c>
    </row>
    <row r="386" spans="1:24" ht="15.75" hidden="1" customHeight="1" x14ac:dyDescent="0.2">
      <c r="A386" s="63" t="s">
        <v>1093</v>
      </c>
      <c r="B386" s="63" t="s">
        <v>1105</v>
      </c>
      <c r="C386" s="63" t="s">
        <v>1106</v>
      </c>
      <c r="E386" s="63" t="s">
        <v>2289</v>
      </c>
      <c r="F386" s="29" t="s">
        <v>2134</v>
      </c>
      <c r="G386" s="63" t="s">
        <v>2312</v>
      </c>
      <c r="H386" s="63" t="s">
        <v>1107</v>
      </c>
      <c r="I386" s="63" t="s">
        <v>1108</v>
      </c>
      <c r="J386" s="65">
        <v>4620</v>
      </c>
      <c r="K386" s="65">
        <v>3125</v>
      </c>
      <c r="L386" s="26">
        <f t="shared" si="20"/>
        <v>7745</v>
      </c>
      <c r="M386" s="26">
        <f t="array" ref="M386">MEDIAN(IF($F$3:$F$810=F386,$L$3:$L$810))</f>
        <v>7412.5</v>
      </c>
      <c r="N386" s="65">
        <v>15784</v>
      </c>
      <c r="O386" s="62">
        <v>6066</v>
      </c>
      <c r="P386" s="76">
        <f>IF(N386&lt;INDEX(Sectorwise!E:E,MATCH(F386,Sectorwise!A:A,0)),1,0)</f>
        <v>0</v>
      </c>
      <c r="Q386" s="76">
        <f>IF(AND(N386&gt;=INDEX(Sectorwise!E:E,MATCH(F386,Sectorwise!A:A,0)),N386&lt;=INDEX(Sectorwise!F:F,MATCH(F386,Sectorwise!A:A,0))),1,0)</f>
        <v>0</v>
      </c>
      <c r="R386" s="76">
        <f>IF(N386&gt;INDEX(Sectorwise!F:F,MATCH(F386,Sectorwise!A:A,0)),1,0)</f>
        <v>1</v>
      </c>
      <c r="S386" s="27">
        <f t="shared" si="21"/>
        <v>0</v>
      </c>
      <c r="T386" s="27">
        <f t="shared" si="22"/>
        <v>0</v>
      </c>
      <c r="U386" s="27">
        <f t="shared" si="23"/>
        <v>15784</v>
      </c>
      <c r="V386" s="95">
        <f>IF(R386=1,(N386-INDEX(Sectorwise!F:F,MATCH(F386,Sectorwise!A:A,0))),0)</f>
        <v>7584</v>
      </c>
      <c r="W386" s="97">
        <f>POISSON(N386,INDEX(Sectorwise!D:D,MATCH(Travel!F416,Sectorwise!A:A,0)),TRUE)</f>
        <v>1</v>
      </c>
    </row>
    <row r="387" spans="1:24" ht="15.75" hidden="1" customHeight="1" x14ac:dyDescent="0.2">
      <c r="A387" s="63" t="s">
        <v>1172</v>
      </c>
      <c r="B387" s="63" t="s">
        <v>1176</v>
      </c>
      <c r="C387" s="63"/>
      <c r="E387" s="63" t="s">
        <v>2289</v>
      </c>
      <c r="F387" s="29" t="s">
        <v>2134</v>
      </c>
      <c r="G387" s="56" t="s">
        <v>2309</v>
      </c>
      <c r="H387" s="63" t="s">
        <v>1177</v>
      </c>
      <c r="I387" s="63" t="s">
        <v>1175</v>
      </c>
      <c r="J387" s="65">
        <v>6100</v>
      </c>
      <c r="K387" s="65">
        <v>1896</v>
      </c>
      <c r="L387" s="26">
        <f t="shared" ref="L387:L450" si="24">J387+K387</f>
        <v>7996</v>
      </c>
      <c r="M387" s="26">
        <f t="array" ref="M387">MEDIAN(IF($F$3:$F$810=F387,$L$3:$L$810))</f>
        <v>7412.5</v>
      </c>
      <c r="N387" s="65">
        <v>7996</v>
      </c>
      <c r="O387" s="62">
        <v>0</v>
      </c>
      <c r="P387" s="76">
        <f>IF(N387&lt;INDEX(Sectorwise!E:E,MATCH(F387,Sectorwise!A:A,0)),1,0)</f>
        <v>0</v>
      </c>
      <c r="Q387" s="76">
        <f>IF(AND(N387&gt;=INDEX(Sectorwise!E:E,MATCH(F387,Sectorwise!A:A,0)),N387&lt;=INDEX(Sectorwise!F:F,MATCH(F387,Sectorwise!A:A,0))),1,0)</f>
        <v>1</v>
      </c>
      <c r="R387" s="76">
        <f>IF(N387&gt;INDEX(Sectorwise!F:F,MATCH(F387,Sectorwise!A:A,0)),1,0)</f>
        <v>0</v>
      </c>
      <c r="S387" s="27">
        <f t="shared" ref="S387:S450" si="25">IF(P387=0,0,N387)</f>
        <v>0</v>
      </c>
      <c r="T387" s="27">
        <f t="shared" ref="T387:T450" si="26">IF(Q387=0,0,N387)</f>
        <v>7996</v>
      </c>
      <c r="U387" s="27">
        <f t="shared" ref="U387:U450" si="27">IF(R387=0,0,N387)</f>
        <v>0</v>
      </c>
      <c r="V387" s="95">
        <f>IF(R387=1,(N387-INDEX(Sectorwise!F:F,MATCH(F387,Sectorwise!A:A,0))),0)</f>
        <v>0</v>
      </c>
      <c r="W387" s="97">
        <f>POISSON(N387,INDEX(Sectorwise!D:D,MATCH(Travel!F444,Sectorwise!A:A,0)),TRUE)</f>
        <v>1</v>
      </c>
    </row>
    <row r="388" spans="1:24" ht="15.75" hidden="1" customHeight="1" x14ac:dyDescent="0.2">
      <c r="A388" s="29" t="s">
        <v>2036</v>
      </c>
      <c r="B388" s="29" t="s">
        <v>2037</v>
      </c>
      <c r="C388" s="29"/>
      <c r="E388" s="63" t="s">
        <v>2289</v>
      </c>
      <c r="F388" s="29" t="s">
        <v>2134</v>
      </c>
      <c r="G388" s="63" t="s">
        <v>2312</v>
      </c>
      <c r="H388" s="29" t="s">
        <v>2039</v>
      </c>
      <c r="I388" s="29" t="s">
        <v>2040</v>
      </c>
      <c r="J388" s="65">
        <v>3620</v>
      </c>
      <c r="K388" s="65">
        <v>3070</v>
      </c>
      <c r="L388" s="26">
        <f t="shared" si="24"/>
        <v>6690</v>
      </c>
      <c r="M388" s="26">
        <f t="array" ref="M388">MEDIAN(IF($F$3:$F$810=F388,$L$3:$L$810))</f>
        <v>7412.5</v>
      </c>
      <c r="N388" s="65">
        <v>14769</v>
      </c>
      <c r="O388" s="65" t="e">
        <f>N388-#REF!</f>
        <v>#REF!</v>
      </c>
      <c r="P388" s="76">
        <f>IF(N388&lt;INDEX(Sectorwise!E:E,MATCH(F388,Sectorwise!A:A,0)),1,0)</f>
        <v>0</v>
      </c>
      <c r="Q388" s="76">
        <f>IF(AND(N388&gt;=INDEX(Sectorwise!E:E,MATCH(F388,Sectorwise!A:A,0)),N388&lt;=INDEX(Sectorwise!F:F,MATCH(F388,Sectorwise!A:A,0))),1,0)</f>
        <v>0</v>
      </c>
      <c r="R388" s="76">
        <f>IF(N388&gt;INDEX(Sectorwise!F:F,MATCH(F388,Sectorwise!A:A,0)),1,0)</f>
        <v>1</v>
      </c>
      <c r="S388" s="27">
        <f t="shared" si="25"/>
        <v>0</v>
      </c>
      <c r="T388" s="27">
        <f t="shared" si="26"/>
        <v>0</v>
      </c>
      <c r="U388" s="27">
        <f t="shared" si="27"/>
        <v>14769</v>
      </c>
      <c r="V388" s="95">
        <f>IF(R388=1,(N388-INDEX(Sectorwise!F:F,MATCH(F388,Sectorwise!A:A,0))),0)</f>
        <v>6569</v>
      </c>
      <c r="W388" s="97">
        <f>POISSON(N388,INDEX(Sectorwise!D:D,MATCH(Travel!F777,Sectorwise!A:A,0)),TRUE)</f>
        <v>1</v>
      </c>
    </row>
    <row r="389" spans="1:24" ht="15.75" hidden="1" customHeight="1" x14ac:dyDescent="0.2">
      <c r="A389" s="63" t="s">
        <v>1093</v>
      </c>
      <c r="B389" s="63" t="s">
        <v>1105</v>
      </c>
      <c r="C389" s="63"/>
      <c r="E389" s="63" t="s">
        <v>2289</v>
      </c>
      <c r="F389" s="21" t="s">
        <v>2135</v>
      </c>
      <c r="G389" s="63" t="s">
        <v>2312</v>
      </c>
      <c r="H389" s="63" t="s">
        <v>1109</v>
      </c>
      <c r="I389" s="63" t="s">
        <v>1110</v>
      </c>
      <c r="J389" s="65">
        <v>4820</v>
      </c>
      <c r="K389" s="65">
        <v>3219</v>
      </c>
      <c r="L389" s="26">
        <f t="shared" si="24"/>
        <v>8039</v>
      </c>
      <c r="M389" s="26">
        <f t="array" ref="M389">MEDIAN(IF($F$3:$F$810=F389,$L$3:$L$810))</f>
        <v>7234</v>
      </c>
      <c r="N389" s="57">
        <f>J389+K389</f>
        <v>8039</v>
      </c>
      <c r="O389" s="62">
        <v>0</v>
      </c>
      <c r="P389" s="76">
        <f>IF(N389&lt;INDEX(Sectorwise!E:E,MATCH(F389,Sectorwise!A:A,0)),1,0)</f>
        <v>0</v>
      </c>
      <c r="Q389" s="76">
        <f>IF(AND(N389&gt;=INDEX(Sectorwise!E:E,MATCH(F389,Sectorwise!A:A,0)),N389&lt;=INDEX(Sectorwise!F:F,MATCH(F389,Sectorwise!A:A,0))),1,0)</f>
        <v>0</v>
      </c>
      <c r="R389" s="76">
        <f>IF(N389&gt;INDEX(Sectorwise!F:F,MATCH(F389,Sectorwise!A:A,0)),1,0)</f>
        <v>1</v>
      </c>
      <c r="S389" s="27">
        <f t="shared" si="25"/>
        <v>0</v>
      </c>
      <c r="T389" s="27">
        <f t="shared" si="26"/>
        <v>0</v>
      </c>
      <c r="U389" s="27">
        <f t="shared" si="27"/>
        <v>8039</v>
      </c>
      <c r="V389" s="95">
        <f>IF(R389=1,(N389-INDEX(Sectorwise!F:F,MATCH(F389,Sectorwise!A:A,0))),0)</f>
        <v>39</v>
      </c>
      <c r="W389" s="97">
        <f>POISSON(N389,INDEX(Sectorwise!D:D,MATCH(Travel!F417,Sectorwise!A:A,0)),TRUE)</f>
        <v>0.99999999999966471</v>
      </c>
    </row>
    <row r="390" spans="1:24" ht="15.75" hidden="1" customHeight="1" x14ac:dyDescent="0.2">
      <c r="A390" s="21" t="s">
        <v>133</v>
      </c>
      <c r="B390" s="21" t="s">
        <v>137</v>
      </c>
      <c r="C390" s="22"/>
      <c r="D390" s="32"/>
      <c r="E390" s="33" t="s">
        <v>2290</v>
      </c>
      <c r="F390" s="29" t="s">
        <v>2134</v>
      </c>
      <c r="G390" s="56" t="s">
        <v>2309</v>
      </c>
      <c r="H390" s="21" t="s">
        <v>138</v>
      </c>
      <c r="I390" s="21" t="s">
        <v>136</v>
      </c>
      <c r="J390" s="25">
        <v>3900</v>
      </c>
      <c r="K390" s="25">
        <v>3138</v>
      </c>
      <c r="L390" s="26">
        <f t="shared" si="24"/>
        <v>7038</v>
      </c>
      <c r="M390" s="26">
        <f t="array" ref="M390">MEDIAN(IF($F$3:$F$810=F390,$L$3:$L$810))</f>
        <v>7412.5</v>
      </c>
      <c r="N390" s="26">
        <v>7038</v>
      </c>
      <c r="O390" s="27"/>
      <c r="P390" s="76">
        <f>IF(N390&lt;INDEX(Sectorwise!E:E,MATCH(F390,Sectorwise!A:A,0)),1,0)</f>
        <v>0</v>
      </c>
      <c r="Q390" s="76">
        <f>IF(AND(N390&gt;=INDEX(Sectorwise!E:E,MATCH(F390,Sectorwise!A:A,0)),N390&lt;=INDEX(Sectorwise!F:F,MATCH(F390,Sectorwise!A:A,0))),1,0)</f>
        <v>1</v>
      </c>
      <c r="R390" s="76">
        <f>IF(N390&gt;INDEX(Sectorwise!F:F,MATCH(F390,Sectorwise!A:A,0)),1,0)</f>
        <v>0</v>
      </c>
      <c r="S390" s="27">
        <f t="shared" si="25"/>
        <v>0</v>
      </c>
      <c r="T390" s="27">
        <f t="shared" si="26"/>
        <v>7038</v>
      </c>
      <c r="U390" s="27">
        <f t="shared" si="27"/>
        <v>0</v>
      </c>
      <c r="V390" s="95">
        <f>IF(R390=1,(N390-INDEX(Sectorwise!F:F,MATCH(F390,Sectorwise!A:A,0))),0)</f>
        <v>0</v>
      </c>
      <c r="W390" s="97">
        <f>POISSON(N390,INDEX(Sectorwise!D:D,MATCH(Travel!F47,Sectorwise!A:A,0)),TRUE)</f>
        <v>1</v>
      </c>
      <c r="X390" s="28">
        <v>7038</v>
      </c>
    </row>
    <row r="391" spans="1:24" ht="15.75" hidden="1" customHeight="1" x14ac:dyDescent="0.2">
      <c r="A391" s="33" t="s">
        <v>198</v>
      </c>
      <c r="B391" s="33" t="s">
        <v>199</v>
      </c>
      <c r="C391" s="34"/>
      <c r="D391" s="35"/>
      <c r="E391" s="33" t="s">
        <v>2290</v>
      </c>
      <c r="F391" s="29" t="s">
        <v>2134</v>
      </c>
      <c r="G391" s="69" t="s">
        <v>2308</v>
      </c>
      <c r="H391" s="33" t="s">
        <v>200</v>
      </c>
      <c r="I391" s="33" t="s">
        <v>136</v>
      </c>
      <c r="J391" s="36">
        <v>3720</v>
      </c>
      <c r="K391" s="37">
        <v>3336</v>
      </c>
      <c r="L391" s="26">
        <f t="shared" si="24"/>
        <v>7056</v>
      </c>
      <c r="M391" s="26">
        <f t="array" ref="M391">MEDIAN(IF($F$3:$F$810=F391,$L$3:$L$810))</f>
        <v>7412.5</v>
      </c>
      <c r="N391" s="37">
        <v>7056</v>
      </c>
      <c r="O391" s="38"/>
      <c r="P391" s="76">
        <f>IF(N391&lt;INDEX(Sectorwise!E:E,MATCH(F391,Sectorwise!A:A,0)),1,0)</f>
        <v>0</v>
      </c>
      <c r="Q391" s="76">
        <f>IF(AND(N391&gt;=INDEX(Sectorwise!E:E,MATCH(F391,Sectorwise!A:A,0)),N391&lt;=INDEX(Sectorwise!F:F,MATCH(F391,Sectorwise!A:A,0))),1,0)</f>
        <v>1</v>
      </c>
      <c r="R391" s="76">
        <f>IF(N391&gt;INDEX(Sectorwise!F:F,MATCH(F391,Sectorwise!A:A,0)),1,0)</f>
        <v>0</v>
      </c>
      <c r="S391" s="27">
        <f t="shared" si="25"/>
        <v>0</v>
      </c>
      <c r="T391" s="27">
        <f t="shared" si="26"/>
        <v>7056</v>
      </c>
      <c r="U391" s="27">
        <f t="shared" si="27"/>
        <v>0</v>
      </c>
      <c r="V391" s="95">
        <f>IF(R391=1,(N391-INDEX(Sectorwise!F:F,MATCH(F391,Sectorwise!A:A,0))),0)</f>
        <v>0</v>
      </c>
      <c r="W391" s="97">
        <f>POISSON(N391,INDEX(Sectorwise!D:D,MATCH(Travel!F72,Sectorwise!A:A,0)),TRUE)</f>
        <v>1</v>
      </c>
      <c r="X391" s="39">
        <f>+N391-O391</f>
        <v>7056</v>
      </c>
    </row>
    <row r="392" spans="1:24" ht="15.75" hidden="1" customHeight="1" x14ac:dyDescent="0.2">
      <c r="A392" s="33" t="s">
        <v>224</v>
      </c>
      <c r="B392" s="33" t="s">
        <v>227</v>
      </c>
      <c r="C392" s="40"/>
      <c r="D392" s="35"/>
      <c r="E392" s="33" t="s">
        <v>2290</v>
      </c>
      <c r="F392" s="29" t="s">
        <v>2134</v>
      </c>
      <c r="G392" s="63" t="s">
        <v>2312</v>
      </c>
      <c r="H392" s="33" t="s">
        <v>228</v>
      </c>
      <c r="I392" s="33" t="s">
        <v>216</v>
      </c>
      <c r="J392" s="36">
        <v>3940</v>
      </c>
      <c r="K392" s="36">
        <v>3088</v>
      </c>
      <c r="L392" s="26">
        <f t="shared" si="24"/>
        <v>7028</v>
      </c>
      <c r="M392" s="26">
        <f t="array" ref="M392">MEDIAN(IF($F$3:$F$810=F392,$L$3:$L$810))</f>
        <v>7412.5</v>
      </c>
      <c r="N392" s="41">
        <v>7028</v>
      </c>
      <c r="O392" s="38"/>
      <c r="P392" s="76">
        <f>IF(N392&lt;INDEX(Sectorwise!E:E,MATCH(F392,Sectorwise!A:A,0)),1,0)</f>
        <v>0</v>
      </c>
      <c r="Q392" s="76">
        <f>IF(AND(N392&gt;=INDEX(Sectorwise!E:E,MATCH(F392,Sectorwise!A:A,0)),N392&lt;=INDEX(Sectorwise!F:F,MATCH(F392,Sectorwise!A:A,0))),1,0)</f>
        <v>1</v>
      </c>
      <c r="R392" s="76">
        <f>IF(N392&gt;INDEX(Sectorwise!F:F,MATCH(F392,Sectorwise!A:A,0)),1,0)</f>
        <v>0</v>
      </c>
      <c r="S392" s="27">
        <f t="shared" si="25"/>
        <v>0</v>
      </c>
      <c r="T392" s="27">
        <f t="shared" si="26"/>
        <v>7028</v>
      </c>
      <c r="U392" s="27">
        <f t="shared" si="27"/>
        <v>0</v>
      </c>
      <c r="V392" s="95">
        <f>IF(R392=1,(N392-INDEX(Sectorwise!F:F,MATCH(F392,Sectorwise!A:A,0))),0)</f>
        <v>0</v>
      </c>
      <c r="W392" s="97">
        <f>POISSON(N392,INDEX(Sectorwise!D:D,MATCH(Travel!F85,Sectorwise!A:A,0)),TRUE)</f>
        <v>4.027022205587431E-299</v>
      </c>
      <c r="X392" s="39">
        <f>+N392-O392</f>
        <v>7028</v>
      </c>
    </row>
    <row r="393" spans="1:24" ht="15.75" hidden="1" customHeight="1" x14ac:dyDescent="0.2">
      <c r="A393" s="33" t="s">
        <v>333</v>
      </c>
      <c r="B393" s="33" t="s">
        <v>338</v>
      </c>
      <c r="C393" s="14" t="s">
        <v>339</v>
      </c>
      <c r="D393" s="35"/>
      <c r="E393" s="33" t="s">
        <v>2290</v>
      </c>
      <c r="F393" s="29" t="s">
        <v>2134</v>
      </c>
      <c r="G393" s="56" t="s">
        <v>2309</v>
      </c>
      <c r="H393" s="33" t="s">
        <v>340</v>
      </c>
      <c r="I393" s="33" t="s">
        <v>341</v>
      </c>
      <c r="J393" s="42">
        <v>4500</v>
      </c>
      <c r="K393" s="45">
        <v>3171</v>
      </c>
      <c r="L393" s="26">
        <f t="shared" si="24"/>
        <v>7671</v>
      </c>
      <c r="M393" s="26">
        <f t="array" ref="M393">MEDIAN(IF($F$3:$F$810=F393,$L$3:$L$810))</f>
        <v>7412.5</v>
      </c>
      <c r="N393" s="43">
        <f>+J393+K393</f>
        <v>7671</v>
      </c>
      <c r="O393" s="38">
        <v>6312</v>
      </c>
      <c r="P393" s="76">
        <f>IF(N393&lt;INDEX(Sectorwise!E:E,MATCH(F393,Sectorwise!A:A,0)),1,0)</f>
        <v>0</v>
      </c>
      <c r="Q393" s="76">
        <f>IF(AND(N393&gt;=INDEX(Sectorwise!E:E,MATCH(F393,Sectorwise!A:A,0)),N393&lt;=INDEX(Sectorwise!F:F,MATCH(F393,Sectorwise!A:A,0))),1,0)</f>
        <v>1</v>
      </c>
      <c r="R393" s="76">
        <f>IF(N393&gt;INDEX(Sectorwise!F:F,MATCH(F393,Sectorwise!A:A,0)),1,0)</f>
        <v>0</v>
      </c>
      <c r="S393" s="27">
        <f t="shared" si="25"/>
        <v>0</v>
      </c>
      <c r="T393" s="27">
        <f t="shared" si="26"/>
        <v>7671</v>
      </c>
      <c r="U393" s="27">
        <f t="shared" si="27"/>
        <v>0</v>
      </c>
      <c r="V393" s="95">
        <f>IF(R393=1,(N393-INDEX(Sectorwise!F:F,MATCH(F393,Sectorwise!A:A,0))),0)</f>
        <v>0</v>
      </c>
      <c r="W393" s="97">
        <f>POISSON(N393,INDEX(Sectorwise!D:D,MATCH(Travel!F126,Sectorwise!A:A,0)),TRUE)</f>
        <v>9.7486827763195762E-198</v>
      </c>
      <c r="X393" s="44">
        <f>+N393-O393</f>
        <v>1359</v>
      </c>
    </row>
    <row r="394" spans="1:24" ht="15.75" hidden="1" customHeight="1" x14ac:dyDescent="0.2">
      <c r="A394" s="33" t="s">
        <v>349</v>
      </c>
      <c r="B394" s="33" t="s">
        <v>350</v>
      </c>
      <c r="C394" s="40"/>
      <c r="D394" s="35"/>
      <c r="E394" s="33" t="s">
        <v>2290</v>
      </c>
      <c r="F394" s="29" t="s">
        <v>2134</v>
      </c>
      <c r="G394" s="56" t="s">
        <v>2309</v>
      </c>
      <c r="H394" s="33" t="s">
        <v>353</v>
      </c>
      <c r="I394" s="33" t="s">
        <v>354</v>
      </c>
      <c r="J394" s="42">
        <v>3950</v>
      </c>
      <c r="K394" s="45">
        <v>3088</v>
      </c>
      <c r="L394" s="26">
        <f t="shared" si="24"/>
        <v>7038</v>
      </c>
      <c r="M394" s="26">
        <f t="array" ref="M394">MEDIAN(IF($F$3:$F$810=F394,$L$3:$L$810))</f>
        <v>7412.5</v>
      </c>
      <c r="N394" s="43">
        <f>+J394+K394</f>
        <v>7038</v>
      </c>
      <c r="O394" s="38"/>
      <c r="P394" s="76">
        <f>IF(N394&lt;INDEX(Sectorwise!E:E,MATCH(F394,Sectorwise!A:A,0)),1,0)</f>
        <v>0</v>
      </c>
      <c r="Q394" s="76">
        <f>IF(AND(N394&gt;=INDEX(Sectorwise!E:E,MATCH(F394,Sectorwise!A:A,0)),N394&lt;=INDEX(Sectorwise!F:F,MATCH(F394,Sectorwise!A:A,0))),1,0)</f>
        <v>1</v>
      </c>
      <c r="R394" s="76">
        <f>IF(N394&gt;INDEX(Sectorwise!F:F,MATCH(F394,Sectorwise!A:A,0)),1,0)</f>
        <v>0</v>
      </c>
      <c r="S394" s="27">
        <f t="shared" si="25"/>
        <v>0</v>
      </c>
      <c r="T394" s="27">
        <f t="shared" si="26"/>
        <v>7038</v>
      </c>
      <c r="U394" s="27">
        <f t="shared" si="27"/>
        <v>0</v>
      </c>
      <c r="V394" s="95">
        <f>IF(R394=1,(N394-INDEX(Sectorwise!F:F,MATCH(F394,Sectorwise!A:A,0))),0)</f>
        <v>0</v>
      </c>
      <c r="W394" s="97">
        <f>POISSON(N394,INDEX(Sectorwise!D:D,MATCH(Travel!F130,Sectorwise!A:A,0)),TRUE)</f>
        <v>1.2280520545791969E-259</v>
      </c>
      <c r="X394" s="44">
        <f>+N394-O394</f>
        <v>7038</v>
      </c>
    </row>
    <row r="395" spans="1:24" ht="15.75" hidden="1" customHeight="1" x14ac:dyDescent="0.2">
      <c r="A395" s="33" t="s">
        <v>274</v>
      </c>
      <c r="B395" s="33" t="s">
        <v>292</v>
      </c>
      <c r="C395" s="40" t="s">
        <v>293</v>
      </c>
      <c r="D395" s="35"/>
      <c r="E395" s="33" t="s">
        <v>2290</v>
      </c>
      <c r="F395" s="33" t="s">
        <v>2158</v>
      </c>
      <c r="G395" s="69" t="s">
        <v>2308</v>
      </c>
      <c r="H395" s="33" t="s">
        <v>294</v>
      </c>
      <c r="I395" s="33" t="s">
        <v>260</v>
      </c>
      <c r="J395" s="42">
        <v>15310</v>
      </c>
      <c r="K395" s="45">
        <v>2947</v>
      </c>
      <c r="L395" s="26">
        <f t="shared" si="24"/>
        <v>18257</v>
      </c>
      <c r="M395" s="26">
        <f t="array" ref="M395">MEDIAN(IF($F$3:$F$810=F395,$L$3:$L$810))</f>
        <v>20521</v>
      </c>
      <c r="N395" s="43">
        <f>+J395+K395</f>
        <v>18257</v>
      </c>
      <c r="O395" s="38">
        <v>8792</v>
      </c>
      <c r="P395" s="76">
        <f>IF(N395&lt;INDEX(Sectorwise!E:E,MATCH(F395,Sectorwise!A:A,0)),1,0)</f>
        <v>1</v>
      </c>
      <c r="Q395" s="76">
        <f>IF(AND(N395&gt;=INDEX(Sectorwise!E:E,MATCH(F395,Sectorwise!A:A,0)),N395&lt;=INDEX(Sectorwise!F:F,MATCH(F395,Sectorwise!A:A,0))),1,0)</f>
        <v>0</v>
      </c>
      <c r="R395" s="76">
        <f>IF(N395&gt;INDEX(Sectorwise!F:F,MATCH(F395,Sectorwise!A:A,0)),1,0)</f>
        <v>0</v>
      </c>
      <c r="S395" s="27">
        <f t="shared" si="25"/>
        <v>18257</v>
      </c>
      <c r="T395" s="27">
        <f t="shared" si="26"/>
        <v>0</v>
      </c>
      <c r="U395" s="27">
        <f t="shared" si="27"/>
        <v>0</v>
      </c>
      <c r="V395" s="95">
        <f>IF(R395=1,(N395-INDEX(Sectorwise!F:F,MATCH(F395,Sectorwise!A:A,0))),0)</f>
        <v>0</v>
      </c>
      <c r="W395" s="97">
        <f>POISSON(N395,INDEX(Sectorwise!D:D,MATCH(Travel!F110,Sectorwise!A:A,0)),TRUE)</f>
        <v>0</v>
      </c>
      <c r="X395" s="44">
        <f>+N395-O395</f>
        <v>9465</v>
      </c>
    </row>
    <row r="396" spans="1:24" ht="15.75" hidden="1" customHeight="1" x14ac:dyDescent="0.2">
      <c r="A396" s="21" t="s">
        <v>133</v>
      </c>
      <c r="B396" s="21" t="s">
        <v>134</v>
      </c>
      <c r="C396" s="22"/>
      <c r="D396" s="32"/>
      <c r="E396" s="33" t="s">
        <v>2290</v>
      </c>
      <c r="F396" s="21" t="s">
        <v>2135</v>
      </c>
      <c r="G396" s="56" t="s">
        <v>2309</v>
      </c>
      <c r="H396" s="21" t="s">
        <v>135</v>
      </c>
      <c r="I396" s="21" t="s">
        <v>136</v>
      </c>
      <c r="J396" s="25">
        <v>5750</v>
      </c>
      <c r="K396" s="25">
        <v>3324</v>
      </c>
      <c r="L396" s="26">
        <f t="shared" si="24"/>
        <v>9074</v>
      </c>
      <c r="M396" s="26">
        <f t="array" ref="M396">MEDIAN(IF($F$3:$F$810=F396,$L$3:$L$810))</f>
        <v>7234</v>
      </c>
      <c r="N396" s="26">
        <v>9074</v>
      </c>
      <c r="O396" s="27"/>
      <c r="P396" s="76">
        <f>IF(N396&lt;INDEX(Sectorwise!E:E,MATCH(F396,Sectorwise!A:A,0)),1,0)</f>
        <v>0</v>
      </c>
      <c r="Q396" s="76">
        <f>IF(AND(N396&gt;=INDEX(Sectorwise!E:E,MATCH(F396,Sectorwise!A:A,0)),N396&lt;=INDEX(Sectorwise!F:F,MATCH(F396,Sectorwise!A:A,0))),1,0)</f>
        <v>0</v>
      </c>
      <c r="R396" s="76">
        <f>IF(N396&gt;INDEX(Sectorwise!F:F,MATCH(F396,Sectorwise!A:A,0)),1,0)</f>
        <v>1</v>
      </c>
      <c r="S396" s="27">
        <f t="shared" si="25"/>
        <v>0</v>
      </c>
      <c r="T396" s="27">
        <f t="shared" si="26"/>
        <v>0</v>
      </c>
      <c r="U396" s="27">
        <f t="shared" si="27"/>
        <v>9074</v>
      </c>
      <c r="V396" s="95">
        <f>IF(R396=1,(N396-INDEX(Sectorwise!F:F,MATCH(F396,Sectorwise!A:A,0))),0)</f>
        <v>1074</v>
      </c>
      <c r="W396" s="97">
        <f>POISSON(N396,INDEX(Sectorwise!D:D,MATCH(Travel!F46,Sectorwise!A:A,0)),TRUE)</f>
        <v>9.4143201608395258E-53</v>
      </c>
      <c r="X396" s="28">
        <v>9074</v>
      </c>
    </row>
    <row r="397" spans="1:24" ht="15.75" hidden="1" customHeight="1" x14ac:dyDescent="0.2">
      <c r="A397" s="33" t="s">
        <v>198</v>
      </c>
      <c r="B397" s="33" t="s">
        <v>199</v>
      </c>
      <c r="C397" s="40"/>
      <c r="D397" s="35"/>
      <c r="E397" s="33" t="s">
        <v>2290</v>
      </c>
      <c r="F397" s="21" t="s">
        <v>2135</v>
      </c>
      <c r="G397" s="56" t="s">
        <v>2309</v>
      </c>
      <c r="H397" s="33" t="s">
        <v>201</v>
      </c>
      <c r="I397" s="33" t="s">
        <v>164</v>
      </c>
      <c r="J397" s="36">
        <v>4500</v>
      </c>
      <c r="K397" s="36">
        <v>3254</v>
      </c>
      <c r="L397" s="26">
        <f t="shared" si="24"/>
        <v>7754</v>
      </c>
      <c r="M397" s="26">
        <f t="array" ref="M397">MEDIAN(IF($F$3:$F$810=F397,$L$3:$L$810))</f>
        <v>7234</v>
      </c>
      <c r="N397" s="41">
        <v>7754</v>
      </c>
      <c r="O397" s="38"/>
      <c r="P397" s="76">
        <f>IF(N397&lt;INDEX(Sectorwise!E:E,MATCH(F397,Sectorwise!A:A,0)),1,0)</f>
        <v>0</v>
      </c>
      <c r="Q397" s="76">
        <f>IF(AND(N397&gt;=INDEX(Sectorwise!E:E,MATCH(F397,Sectorwise!A:A,0)),N397&lt;=INDEX(Sectorwise!F:F,MATCH(F397,Sectorwise!A:A,0))),1,0)</f>
        <v>1</v>
      </c>
      <c r="R397" s="76">
        <f>IF(N397&gt;INDEX(Sectorwise!F:F,MATCH(F397,Sectorwise!A:A,0)),1,0)</f>
        <v>0</v>
      </c>
      <c r="S397" s="27">
        <f t="shared" si="25"/>
        <v>0</v>
      </c>
      <c r="T397" s="27">
        <f t="shared" si="26"/>
        <v>7754</v>
      </c>
      <c r="U397" s="27">
        <f t="shared" si="27"/>
        <v>0</v>
      </c>
      <c r="V397" s="95">
        <f>IF(R397=1,(N397-INDEX(Sectorwise!F:F,MATCH(F397,Sectorwise!A:A,0))),0)</f>
        <v>0</v>
      </c>
      <c r="W397" s="97">
        <f>POISSON(N397,INDEX(Sectorwise!D:D,MATCH(Travel!F73,Sectorwise!A:A,0)),TRUE)</f>
        <v>2.9024995973962142E-167</v>
      </c>
      <c r="X397" s="39">
        <f>+N397-O397</f>
        <v>7754</v>
      </c>
    </row>
    <row r="398" spans="1:24" ht="15.75" hidden="1" customHeight="1" x14ac:dyDescent="0.2">
      <c r="A398" s="33" t="s">
        <v>224</v>
      </c>
      <c r="B398" s="33" t="s">
        <v>227</v>
      </c>
      <c r="C398" s="40"/>
      <c r="D398" s="35"/>
      <c r="E398" s="33" t="s">
        <v>2290</v>
      </c>
      <c r="F398" s="21" t="s">
        <v>2135</v>
      </c>
      <c r="G398" s="56" t="s">
        <v>2309</v>
      </c>
      <c r="H398" s="33" t="s">
        <v>229</v>
      </c>
      <c r="I398" s="33" t="s">
        <v>204</v>
      </c>
      <c r="J398" s="36">
        <v>3920</v>
      </c>
      <c r="K398" s="36">
        <v>3222</v>
      </c>
      <c r="L398" s="26">
        <f t="shared" si="24"/>
        <v>7142</v>
      </c>
      <c r="M398" s="26">
        <f t="array" ref="M398">MEDIAN(IF($F$3:$F$810=F398,$L$3:$L$810))</f>
        <v>7234</v>
      </c>
      <c r="N398" s="41">
        <v>7142</v>
      </c>
      <c r="O398" s="38"/>
      <c r="P398" s="76">
        <f>IF(N398&lt;INDEX(Sectorwise!E:E,MATCH(F398,Sectorwise!A:A,0)),1,0)</f>
        <v>0</v>
      </c>
      <c r="Q398" s="76">
        <f>IF(AND(N398&gt;=INDEX(Sectorwise!E:E,MATCH(F398,Sectorwise!A:A,0)),N398&lt;=INDEX(Sectorwise!F:F,MATCH(F398,Sectorwise!A:A,0))),1,0)</f>
        <v>1</v>
      </c>
      <c r="R398" s="76">
        <f>IF(N398&gt;INDEX(Sectorwise!F:F,MATCH(F398,Sectorwise!A:A,0)),1,0)</f>
        <v>0</v>
      </c>
      <c r="S398" s="27">
        <f t="shared" si="25"/>
        <v>0</v>
      </c>
      <c r="T398" s="27">
        <f t="shared" si="26"/>
        <v>7142</v>
      </c>
      <c r="U398" s="27">
        <f t="shared" si="27"/>
        <v>0</v>
      </c>
      <c r="V398" s="95">
        <f>IF(R398=1,(N398-INDEX(Sectorwise!F:F,MATCH(F398,Sectorwise!A:A,0))),0)</f>
        <v>0</v>
      </c>
      <c r="W398" s="97">
        <f>POISSON(N398,INDEX(Sectorwise!D:D,MATCH(Travel!F86,Sectorwise!A:A,0)),TRUE)</f>
        <v>8.0683582943369447E-4</v>
      </c>
      <c r="X398" s="39">
        <f>+N398-O398</f>
        <v>7142</v>
      </c>
    </row>
    <row r="399" spans="1:24" ht="15.75" hidden="1" customHeight="1" x14ac:dyDescent="0.2">
      <c r="A399" s="33" t="s">
        <v>333</v>
      </c>
      <c r="B399" s="33" t="s">
        <v>334</v>
      </c>
      <c r="C399" s="40" t="s">
        <v>335</v>
      </c>
      <c r="D399" s="35"/>
      <c r="E399" s="33" t="s">
        <v>2290</v>
      </c>
      <c r="F399" s="21" t="s">
        <v>2135</v>
      </c>
      <c r="G399" s="56" t="s">
        <v>2309</v>
      </c>
      <c r="H399" s="33" t="s">
        <v>336</v>
      </c>
      <c r="I399" s="33" t="s">
        <v>337</v>
      </c>
      <c r="J399" s="42">
        <v>3940</v>
      </c>
      <c r="K399" s="45">
        <v>3223</v>
      </c>
      <c r="L399" s="26">
        <f t="shared" si="24"/>
        <v>7163</v>
      </c>
      <c r="M399" s="26">
        <f t="array" ref="M399">MEDIAN(IF($F$3:$F$810=F399,$L$3:$L$810))</f>
        <v>7234</v>
      </c>
      <c r="N399" s="43">
        <f>+J399+K399</f>
        <v>7163</v>
      </c>
      <c r="O399" s="38">
        <v>5804</v>
      </c>
      <c r="P399" s="76">
        <f>IF(N399&lt;INDEX(Sectorwise!E:E,MATCH(F399,Sectorwise!A:A,0)),1,0)</f>
        <v>0</v>
      </c>
      <c r="Q399" s="76">
        <f>IF(AND(N399&gt;=INDEX(Sectorwise!E:E,MATCH(F399,Sectorwise!A:A,0)),N399&lt;=INDEX(Sectorwise!F:F,MATCH(F399,Sectorwise!A:A,0))),1,0)</f>
        <v>1</v>
      </c>
      <c r="R399" s="76">
        <f>IF(N399&gt;INDEX(Sectorwise!F:F,MATCH(F399,Sectorwise!A:A,0)),1,0)</f>
        <v>0</v>
      </c>
      <c r="S399" s="27">
        <f t="shared" si="25"/>
        <v>0</v>
      </c>
      <c r="T399" s="27">
        <f t="shared" si="26"/>
        <v>7163</v>
      </c>
      <c r="U399" s="27">
        <f t="shared" si="27"/>
        <v>0</v>
      </c>
      <c r="V399" s="95">
        <f>IF(R399=1,(N399-INDEX(Sectorwise!F:F,MATCH(F399,Sectorwise!A:A,0))),0)</f>
        <v>0</v>
      </c>
      <c r="W399" s="97">
        <f>POISSON(N399,INDEX(Sectorwise!D:D,MATCH(Travel!F125,Sectorwise!A:A,0)),TRUE)</f>
        <v>0</v>
      </c>
      <c r="X399" s="44">
        <f>+N399-O399</f>
        <v>1359</v>
      </c>
    </row>
    <row r="400" spans="1:24" ht="15.75" hidden="1" customHeight="1" x14ac:dyDescent="0.2">
      <c r="A400" s="33" t="s">
        <v>349</v>
      </c>
      <c r="B400" s="33" t="s">
        <v>350</v>
      </c>
      <c r="C400" s="40"/>
      <c r="D400" s="35"/>
      <c r="E400" s="33" t="s">
        <v>2290</v>
      </c>
      <c r="F400" s="21" t="s">
        <v>2135</v>
      </c>
      <c r="G400" s="56" t="s">
        <v>2309</v>
      </c>
      <c r="H400" s="33" t="s">
        <v>351</v>
      </c>
      <c r="I400" s="33" t="s">
        <v>352</v>
      </c>
      <c r="J400" s="42">
        <v>3010</v>
      </c>
      <c r="K400" s="45">
        <v>3120</v>
      </c>
      <c r="L400" s="26">
        <f t="shared" si="24"/>
        <v>6130</v>
      </c>
      <c r="M400" s="26">
        <f t="array" ref="M400">MEDIAN(IF($F$3:$F$810=F400,$L$3:$L$810))</f>
        <v>7234</v>
      </c>
      <c r="N400" s="43">
        <f>+J400+K400</f>
        <v>6130</v>
      </c>
      <c r="O400" s="38"/>
      <c r="P400" s="76">
        <f>IF(N400&lt;INDEX(Sectorwise!E:E,MATCH(F400,Sectorwise!A:A,0)),1,0)</f>
        <v>1</v>
      </c>
      <c r="Q400" s="76">
        <f>IF(AND(N400&gt;=INDEX(Sectorwise!E:E,MATCH(F400,Sectorwise!A:A,0)),N400&lt;=INDEX(Sectorwise!F:F,MATCH(F400,Sectorwise!A:A,0))),1,0)</f>
        <v>0</v>
      </c>
      <c r="R400" s="76">
        <f>IF(N400&gt;INDEX(Sectorwise!F:F,MATCH(F400,Sectorwise!A:A,0)),1,0)</f>
        <v>0</v>
      </c>
      <c r="S400" s="27">
        <f t="shared" si="25"/>
        <v>6130</v>
      </c>
      <c r="T400" s="27">
        <f t="shared" si="26"/>
        <v>0</v>
      </c>
      <c r="U400" s="27">
        <f t="shared" si="27"/>
        <v>0</v>
      </c>
      <c r="V400" s="95">
        <f>IF(R400=1,(N400-INDEX(Sectorwise!F:F,MATCH(F400,Sectorwise!A:A,0))),0)</f>
        <v>0</v>
      </c>
      <c r="W400" s="97">
        <f>POISSON(N400,INDEX(Sectorwise!D:D,MATCH(Travel!F129,Sectorwise!A:A,0)),TRUE)</f>
        <v>8.276466798497793E-41</v>
      </c>
      <c r="X400" s="44">
        <f>+N400-O400</f>
        <v>6130</v>
      </c>
    </row>
    <row r="401" spans="1:24" ht="15.75" hidden="1" customHeight="1" x14ac:dyDescent="0.2">
      <c r="A401" s="21" t="s">
        <v>141</v>
      </c>
      <c r="B401" s="21" t="s">
        <v>142</v>
      </c>
      <c r="C401" s="30"/>
      <c r="D401" s="32"/>
      <c r="E401" s="33" t="s">
        <v>2290</v>
      </c>
      <c r="F401" s="21" t="s">
        <v>2151</v>
      </c>
      <c r="G401" s="56" t="s">
        <v>2309</v>
      </c>
      <c r="H401" s="21" t="s">
        <v>143</v>
      </c>
      <c r="I401" s="21" t="s">
        <v>144</v>
      </c>
      <c r="J401" s="25">
        <v>5900</v>
      </c>
      <c r="K401" s="25">
        <v>4638</v>
      </c>
      <c r="L401" s="26">
        <f t="shared" si="24"/>
        <v>10538</v>
      </c>
      <c r="M401" s="26">
        <f t="array" ref="M401">MEDIAN(IF($F$3:$F$810=F401,$L$3:$L$810))</f>
        <v>10079</v>
      </c>
      <c r="N401" s="26">
        <v>10538</v>
      </c>
      <c r="O401" s="27"/>
      <c r="P401" s="76">
        <f>IF(N401&lt;INDEX(Sectorwise!E:E,MATCH(F401,Sectorwise!A:A,0)),1,0)</f>
        <v>0</v>
      </c>
      <c r="Q401" s="76">
        <f>IF(AND(N401&gt;=INDEX(Sectorwise!E:E,MATCH(F401,Sectorwise!A:A,0)),N401&lt;=INDEX(Sectorwise!F:F,MATCH(F401,Sectorwise!A:A,0))),1,0)</f>
        <v>1</v>
      </c>
      <c r="R401" s="76">
        <f>IF(N401&gt;INDEX(Sectorwise!F:F,MATCH(F401,Sectorwise!A:A,0)),1,0)</f>
        <v>0</v>
      </c>
      <c r="S401" s="27">
        <f t="shared" si="25"/>
        <v>0</v>
      </c>
      <c r="T401" s="27">
        <f t="shared" si="26"/>
        <v>10538</v>
      </c>
      <c r="U401" s="27">
        <f t="shared" si="27"/>
        <v>0</v>
      </c>
      <c r="V401" s="95">
        <f>IF(R401=1,(N401-INDEX(Sectorwise!F:F,MATCH(F401,Sectorwise!A:A,0))),0)</f>
        <v>0</v>
      </c>
      <c r="W401" s="97">
        <f>POISSON(N401,INDEX(Sectorwise!D:D,MATCH(Travel!F49,Sectorwise!A:A,0)),TRUE)</f>
        <v>1</v>
      </c>
      <c r="X401" s="28">
        <v>10538</v>
      </c>
    </row>
    <row r="402" spans="1:24" ht="15.75" hidden="1" customHeight="1" x14ac:dyDescent="0.2">
      <c r="A402" s="21" t="s">
        <v>591</v>
      </c>
      <c r="B402" s="21" t="s">
        <v>592</v>
      </c>
      <c r="C402" s="22"/>
      <c r="E402" s="33" t="s">
        <v>2290</v>
      </c>
      <c r="F402" s="21" t="s">
        <v>2151</v>
      </c>
      <c r="G402" s="69" t="s">
        <v>2308</v>
      </c>
      <c r="H402" s="21" t="s">
        <v>593</v>
      </c>
      <c r="I402" s="21" t="s">
        <v>578</v>
      </c>
      <c r="J402" s="25">
        <v>2003</v>
      </c>
      <c r="K402" s="25">
        <v>3215</v>
      </c>
      <c r="L402" s="26">
        <f t="shared" si="24"/>
        <v>5218</v>
      </c>
      <c r="M402" s="26">
        <f t="array" ref="M402">MEDIAN(IF($F$3:$F$810=F402,$L$3:$L$810))</f>
        <v>10079</v>
      </c>
      <c r="N402" s="47">
        <v>5218</v>
      </c>
      <c r="O402" s="55"/>
      <c r="P402" s="76">
        <f>IF(N402&lt;INDEX(Sectorwise!E:E,MATCH(F402,Sectorwise!A:A,0)),1,0)</f>
        <v>1</v>
      </c>
      <c r="Q402" s="76">
        <f>IF(AND(N402&gt;=INDEX(Sectorwise!E:E,MATCH(F402,Sectorwise!A:A,0)),N402&lt;=INDEX(Sectorwise!F:F,MATCH(F402,Sectorwise!A:A,0))),1,0)</f>
        <v>0</v>
      </c>
      <c r="R402" s="76">
        <f>IF(N402&gt;INDEX(Sectorwise!F:F,MATCH(F402,Sectorwise!A:A,0)),1,0)</f>
        <v>0</v>
      </c>
      <c r="S402" s="27">
        <f t="shared" si="25"/>
        <v>5218</v>
      </c>
      <c r="T402" s="27">
        <f t="shared" si="26"/>
        <v>0</v>
      </c>
      <c r="U402" s="27">
        <f t="shared" si="27"/>
        <v>0</v>
      </c>
      <c r="V402" s="95">
        <f>IF(R402=1,(N402-INDEX(Sectorwise!F:F,MATCH(F402,Sectorwise!A:A,0))),0)</f>
        <v>0</v>
      </c>
      <c r="W402" s="97">
        <f>POISSON(N402,INDEX(Sectorwise!D:D,MATCH(Travel!F222,Sectorwise!A:A,0)),TRUE)</f>
        <v>5.631791109745219E-160</v>
      </c>
    </row>
    <row r="403" spans="1:24" ht="15.75" hidden="1" customHeight="1" x14ac:dyDescent="0.2">
      <c r="A403" s="60" t="s">
        <v>861</v>
      </c>
      <c r="B403" s="60" t="s">
        <v>862</v>
      </c>
      <c r="C403" s="60"/>
      <c r="E403" s="33" t="s">
        <v>2290</v>
      </c>
      <c r="F403" s="60" t="s">
        <v>2151</v>
      </c>
      <c r="G403" s="56" t="s">
        <v>2309</v>
      </c>
      <c r="H403" s="60" t="s">
        <v>863</v>
      </c>
      <c r="I403" s="60" t="s">
        <v>801</v>
      </c>
      <c r="J403" s="61">
        <v>6590</v>
      </c>
      <c r="K403" s="61">
        <v>3464</v>
      </c>
      <c r="L403" s="26">
        <f t="shared" si="24"/>
        <v>10054</v>
      </c>
      <c r="M403" s="26">
        <f t="array" ref="M403">MEDIAN(IF($F$3:$F$810=F403,$L$3:$L$810))</f>
        <v>10079</v>
      </c>
      <c r="N403" s="61">
        <v>10054</v>
      </c>
      <c r="O403" s="62">
        <v>0</v>
      </c>
      <c r="P403" s="76">
        <f>IF(N403&lt;INDEX(Sectorwise!E:E,MATCH(F403,Sectorwise!A:A,0)),1,0)</f>
        <v>0</v>
      </c>
      <c r="Q403" s="76">
        <f>IF(AND(N403&gt;=INDEX(Sectorwise!E:E,MATCH(F403,Sectorwise!A:A,0)),N403&lt;=INDEX(Sectorwise!F:F,MATCH(F403,Sectorwise!A:A,0))),1,0)</f>
        <v>1</v>
      </c>
      <c r="R403" s="76">
        <f>IF(N403&gt;INDEX(Sectorwise!F:F,MATCH(F403,Sectorwise!A:A,0)),1,0)</f>
        <v>0</v>
      </c>
      <c r="S403" s="27">
        <f t="shared" si="25"/>
        <v>0</v>
      </c>
      <c r="T403" s="27">
        <f t="shared" si="26"/>
        <v>10054</v>
      </c>
      <c r="U403" s="27">
        <f t="shared" si="27"/>
        <v>0</v>
      </c>
      <c r="V403" s="95">
        <f>IF(R403=1,(N403-INDEX(Sectorwise!F:F,MATCH(F403,Sectorwise!A:A,0))),0)</f>
        <v>0</v>
      </c>
      <c r="W403" s="97">
        <f>POISSON(N403,INDEX(Sectorwise!D:D,MATCH(Travel!F325,Sectorwise!A:A,0)),TRUE)</f>
        <v>1</v>
      </c>
    </row>
    <row r="404" spans="1:24" ht="15.75" hidden="1" customHeight="1" x14ac:dyDescent="0.2">
      <c r="A404" s="21" t="s">
        <v>722</v>
      </c>
      <c r="B404" s="24" t="s">
        <v>734</v>
      </c>
      <c r="C404" s="22"/>
      <c r="D404" s="32"/>
      <c r="E404" s="33" t="s">
        <v>2290</v>
      </c>
      <c r="F404" s="21" t="s">
        <v>2175</v>
      </c>
      <c r="G404" s="56" t="s">
        <v>2309</v>
      </c>
      <c r="H404" s="21" t="s">
        <v>735</v>
      </c>
      <c r="I404" s="21" t="s">
        <v>703</v>
      </c>
      <c r="J404" s="25">
        <v>16000</v>
      </c>
      <c r="K404" s="25">
        <v>2213</v>
      </c>
      <c r="L404" s="26">
        <f t="shared" si="24"/>
        <v>18213</v>
      </c>
      <c r="M404" s="26">
        <f t="array" ref="M404">MEDIAN(IF($F$3:$F$810=F404,$L$3:$L$810))</f>
        <v>5814</v>
      </c>
      <c r="N404" s="47">
        <v>18213</v>
      </c>
      <c r="O404" s="55"/>
      <c r="P404" s="76">
        <f>IF(N404&lt;INDEX(Sectorwise!E:E,MATCH(F404,Sectorwise!A:A,0)),1,0)</f>
        <v>0</v>
      </c>
      <c r="Q404" s="76">
        <f>IF(AND(N404&gt;=INDEX(Sectorwise!E:E,MATCH(F404,Sectorwise!A:A,0)),N404&lt;=INDEX(Sectorwise!F:F,MATCH(F404,Sectorwise!A:A,0))),1,0)</f>
        <v>0</v>
      </c>
      <c r="R404" s="76">
        <f>IF(N404&gt;INDEX(Sectorwise!F:F,MATCH(F404,Sectorwise!A:A,0)),1,0)</f>
        <v>1</v>
      </c>
      <c r="S404" s="27">
        <f t="shared" si="25"/>
        <v>0</v>
      </c>
      <c r="T404" s="27">
        <f t="shared" si="26"/>
        <v>0</v>
      </c>
      <c r="U404" s="27">
        <f t="shared" si="27"/>
        <v>18213</v>
      </c>
      <c r="V404" s="95">
        <f>IF(R404=1,(N404-INDEX(Sectorwise!F:F,MATCH(F404,Sectorwise!A:A,0))),0)</f>
        <v>11813</v>
      </c>
      <c r="W404" s="97">
        <f>POISSON(N404,INDEX(Sectorwise!D:D,MATCH(Travel!F277,Sectorwise!A:A,0)),TRUE)</f>
        <v>1</v>
      </c>
    </row>
    <row r="405" spans="1:24" ht="15.75" hidden="1" customHeight="1" x14ac:dyDescent="0.2">
      <c r="A405" s="21" t="s">
        <v>141</v>
      </c>
      <c r="B405" s="21" t="s">
        <v>145</v>
      </c>
      <c r="C405" s="22"/>
      <c r="D405" s="32"/>
      <c r="E405" s="33" t="s">
        <v>2290</v>
      </c>
      <c r="F405" s="21" t="s">
        <v>2153</v>
      </c>
      <c r="G405" s="56" t="s">
        <v>2309</v>
      </c>
      <c r="H405" s="21" t="s">
        <v>146</v>
      </c>
      <c r="I405" s="21" t="s">
        <v>81</v>
      </c>
      <c r="J405" s="25">
        <v>5900</v>
      </c>
      <c r="K405" s="25">
        <v>4415</v>
      </c>
      <c r="L405" s="26">
        <f t="shared" si="24"/>
        <v>10315</v>
      </c>
      <c r="M405" s="26">
        <f t="array" ref="M405">MEDIAN(IF($F$3:$F$810=F405,$L$3:$L$810))</f>
        <v>9855</v>
      </c>
      <c r="N405" s="26">
        <v>10315</v>
      </c>
      <c r="O405" s="27"/>
      <c r="P405" s="76">
        <f>IF(N405&lt;INDEX(Sectorwise!E:E,MATCH(F405,Sectorwise!A:A,0)),1,0)</f>
        <v>0</v>
      </c>
      <c r="Q405" s="76">
        <f>IF(AND(N405&gt;=INDEX(Sectorwise!E:E,MATCH(F405,Sectorwise!A:A,0)),N405&lt;=INDEX(Sectorwise!F:F,MATCH(F405,Sectorwise!A:A,0))),1,0)</f>
        <v>1</v>
      </c>
      <c r="R405" s="76">
        <f>IF(N405&gt;INDEX(Sectorwise!F:F,MATCH(F405,Sectorwise!A:A,0)),1,0)</f>
        <v>0</v>
      </c>
      <c r="S405" s="27">
        <f t="shared" si="25"/>
        <v>0</v>
      </c>
      <c r="T405" s="27">
        <f t="shared" si="26"/>
        <v>10315</v>
      </c>
      <c r="U405" s="27">
        <f t="shared" si="27"/>
        <v>0</v>
      </c>
      <c r="V405" s="95">
        <f>IF(R405=1,(N405-INDEX(Sectorwise!F:F,MATCH(F405,Sectorwise!A:A,0))),0)</f>
        <v>0</v>
      </c>
      <c r="W405" s="97">
        <f>POISSON(N405,INDEX(Sectorwise!D:D,MATCH(Travel!F50,Sectorwise!A:A,0)),TRUE)</f>
        <v>1</v>
      </c>
      <c r="X405" s="28">
        <v>10315</v>
      </c>
    </row>
    <row r="406" spans="1:24" ht="15.75" hidden="1" customHeight="1" x14ac:dyDescent="0.2">
      <c r="A406" s="33" t="s">
        <v>295</v>
      </c>
      <c r="B406" s="33" t="s">
        <v>302</v>
      </c>
      <c r="C406" s="34"/>
      <c r="D406" s="35"/>
      <c r="E406" s="33" t="s">
        <v>2290</v>
      </c>
      <c r="F406" s="33" t="s">
        <v>2153</v>
      </c>
      <c r="G406" s="63" t="s">
        <v>2312</v>
      </c>
      <c r="H406" s="33" t="s">
        <v>303</v>
      </c>
      <c r="I406" s="33" t="s">
        <v>243</v>
      </c>
      <c r="J406" s="42">
        <v>5060</v>
      </c>
      <c r="K406" s="45">
        <v>4315</v>
      </c>
      <c r="L406" s="26">
        <f t="shared" si="24"/>
        <v>9375</v>
      </c>
      <c r="M406" s="26">
        <f t="array" ref="M406">MEDIAN(IF($F$3:$F$810=F406,$L$3:$L$810))</f>
        <v>9855</v>
      </c>
      <c r="N406" s="43">
        <f>+J406+K406</f>
        <v>9375</v>
      </c>
      <c r="O406" s="38"/>
      <c r="P406" s="76">
        <f>IF(N406&lt;INDEX(Sectorwise!E:E,MATCH(F406,Sectorwise!A:A,0)),1,0)</f>
        <v>0</v>
      </c>
      <c r="Q406" s="76">
        <f>IF(AND(N406&gt;=INDEX(Sectorwise!E:E,MATCH(F406,Sectorwise!A:A,0)),N406&lt;=INDEX(Sectorwise!F:F,MATCH(F406,Sectorwise!A:A,0))),1,0)</f>
        <v>1</v>
      </c>
      <c r="R406" s="76">
        <f>IF(N406&gt;INDEX(Sectorwise!F:F,MATCH(F406,Sectorwise!A:A,0)),1,0)</f>
        <v>0</v>
      </c>
      <c r="S406" s="27">
        <f t="shared" si="25"/>
        <v>0</v>
      </c>
      <c r="T406" s="27">
        <f t="shared" si="26"/>
        <v>9375</v>
      </c>
      <c r="U406" s="27">
        <f t="shared" si="27"/>
        <v>0</v>
      </c>
      <c r="V406" s="95">
        <f>IF(R406=1,(N406-INDEX(Sectorwise!F:F,MATCH(F406,Sectorwise!A:A,0))),0)</f>
        <v>0</v>
      </c>
      <c r="W406" s="97">
        <f>POISSON(N406,INDEX(Sectorwise!D:D,MATCH(Travel!F113,Sectorwise!A:A,0)),TRUE)</f>
        <v>1</v>
      </c>
      <c r="X406" s="44">
        <f>+N406-O406</f>
        <v>9375</v>
      </c>
    </row>
    <row r="407" spans="1:24" ht="15.75" hidden="1" customHeight="1" x14ac:dyDescent="0.2">
      <c r="A407" s="21" t="s">
        <v>591</v>
      </c>
      <c r="B407" s="21" t="s">
        <v>594</v>
      </c>
      <c r="C407" s="30" t="s">
        <v>595</v>
      </c>
      <c r="E407" s="33" t="s">
        <v>2290</v>
      </c>
      <c r="F407" s="21" t="s">
        <v>2153</v>
      </c>
      <c r="G407" s="56" t="s">
        <v>2309</v>
      </c>
      <c r="H407" s="21" t="s">
        <v>596</v>
      </c>
      <c r="I407" s="21" t="s">
        <v>570</v>
      </c>
      <c r="J407" s="25">
        <v>3072</v>
      </c>
      <c r="K407" s="25">
        <v>2787</v>
      </c>
      <c r="L407" s="26">
        <f t="shared" si="24"/>
        <v>5859</v>
      </c>
      <c r="M407" s="26">
        <f t="array" ref="M407">MEDIAN(IF($F$3:$F$810=F407,$L$3:$L$810))</f>
        <v>9855</v>
      </c>
      <c r="N407" s="47">
        <v>5859</v>
      </c>
      <c r="O407" s="55">
        <v>4659</v>
      </c>
      <c r="P407" s="76">
        <f>IF(N407&lt;INDEX(Sectorwise!E:E,MATCH(F407,Sectorwise!A:A,0)),1,0)</f>
        <v>1</v>
      </c>
      <c r="Q407" s="76">
        <f>IF(AND(N407&gt;=INDEX(Sectorwise!E:E,MATCH(F407,Sectorwise!A:A,0)),N407&lt;=INDEX(Sectorwise!F:F,MATCH(F407,Sectorwise!A:A,0))),1,0)</f>
        <v>0</v>
      </c>
      <c r="R407" s="76">
        <f>IF(N407&gt;INDEX(Sectorwise!F:F,MATCH(F407,Sectorwise!A:A,0)),1,0)</f>
        <v>0</v>
      </c>
      <c r="S407" s="27">
        <f t="shared" si="25"/>
        <v>5859</v>
      </c>
      <c r="T407" s="27">
        <f t="shared" si="26"/>
        <v>0</v>
      </c>
      <c r="U407" s="27">
        <f t="shared" si="27"/>
        <v>0</v>
      </c>
      <c r="V407" s="95">
        <f>IF(R407=1,(N407-INDEX(Sectorwise!F:F,MATCH(F407,Sectorwise!A:A,0))),0)</f>
        <v>0</v>
      </c>
      <c r="W407" s="97">
        <f>POISSON(N407,INDEX(Sectorwise!D:D,MATCH(Travel!F223,Sectorwise!A:A,0)),TRUE)</f>
        <v>1.4570050595215895E-78</v>
      </c>
    </row>
    <row r="408" spans="1:24" ht="15.75" hidden="1" customHeight="1" x14ac:dyDescent="0.2">
      <c r="A408" s="60" t="s">
        <v>861</v>
      </c>
      <c r="B408" s="60" t="s">
        <v>864</v>
      </c>
      <c r="C408" s="60"/>
      <c r="E408" s="33" t="s">
        <v>2290</v>
      </c>
      <c r="F408" s="60" t="s">
        <v>2153</v>
      </c>
      <c r="G408" s="56" t="s">
        <v>2309</v>
      </c>
      <c r="H408" s="60" t="s">
        <v>865</v>
      </c>
      <c r="I408" s="60" t="s">
        <v>848</v>
      </c>
      <c r="J408" s="61">
        <v>6860</v>
      </c>
      <c r="K408" s="61">
        <v>3255</v>
      </c>
      <c r="L408" s="26">
        <f t="shared" si="24"/>
        <v>10115</v>
      </c>
      <c r="M408" s="26">
        <f t="array" ref="M408">MEDIAN(IF($F$3:$F$810=F408,$L$3:$L$810))</f>
        <v>9855</v>
      </c>
      <c r="N408" s="61">
        <v>10115</v>
      </c>
      <c r="O408" s="62">
        <v>0</v>
      </c>
      <c r="P408" s="76">
        <f>IF(N408&lt;INDEX(Sectorwise!E:E,MATCH(F408,Sectorwise!A:A,0)),1,0)</f>
        <v>0</v>
      </c>
      <c r="Q408" s="76">
        <f>IF(AND(N408&gt;=INDEX(Sectorwise!E:E,MATCH(F408,Sectorwise!A:A,0)),N408&lt;=INDEX(Sectorwise!F:F,MATCH(F408,Sectorwise!A:A,0))),1,0)</f>
        <v>1</v>
      </c>
      <c r="R408" s="76">
        <f>IF(N408&gt;INDEX(Sectorwise!F:F,MATCH(F408,Sectorwise!A:A,0)),1,0)</f>
        <v>0</v>
      </c>
      <c r="S408" s="27">
        <f t="shared" si="25"/>
        <v>0</v>
      </c>
      <c r="T408" s="27">
        <f t="shared" si="26"/>
        <v>10115</v>
      </c>
      <c r="U408" s="27">
        <f t="shared" si="27"/>
        <v>0</v>
      </c>
      <c r="V408" s="95">
        <f>IF(R408=1,(N408-INDEX(Sectorwise!F:F,MATCH(F408,Sectorwise!A:A,0))),0)</f>
        <v>0</v>
      </c>
      <c r="W408" s="97">
        <f>POISSON(N408,INDEX(Sectorwise!D:D,MATCH(Travel!F326,Sectorwise!A:A,0)),TRUE)</f>
        <v>1</v>
      </c>
    </row>
    <row r="409" spans="1:24" ht="15.75" hidden="1" customHeight="1" x14ac:dyDescent="0.2">
      <c r="A409" s="21" t="s">
        <v>627</v>
      </c>
      <c r="B409" s="21" t="s">
        <v>628</v>
      </c>
      <c r="C409" s="22"/>
      <c r="E409" s="33" t="s">
        <v>2290</v>
      </c>
      <c r="F409" s="21" t="s">
        <v>2213</v>
      </c>
      <c r="G409" s="56" t="s">
        <v>2309</v>
      </c>
      <c r="H409" s="21" t="s">
        <v>629</v>
      </c>
      <c r="I409" s="21" t="s">
        <v>570</v>
      </c>
      <c r="J409" s="25">
        <v>4830</v>
      </c>
      <c r="K409" s="25">
        <v>2885</v>
      </c>
      <c r="L409" s="26">
        <f t="shared" si="24"/>
        <v>7715</v>
      </c>
      <c r="M409" s="26">
        <f t="array" ref="M409">MEDIAN(IF($F$3:$F$810=F409,$L$3:$L$810))</f>
        <v>7715</v>
      </c>
      <c r="N409" s="47">
        <v>7715</v>
      </c>
      <c r="O409" s="55"/>
      <c r="P409" s="76">
        <f>IF(N409&lt;INDEX(Sectorwise!E:E,MATCH(F409,Sectorwise!A:A,0)),1,0)</f>
        <v>0</v>
      </c>
      <c r="Q409" s="76">
        <f>IF(AND(N409&gt;=INDEX(Sectorwise!E:E,MATCH(F409,Sectorwise!A:A,0)),N409&lt;=INDEX(Sectorwise!F:F,MATCH(F409,Sectorwise!A:A,0))),1,0)</f>
        <v>1</v>
      </c>
      <c r="R409" s="76">
        <f>IF(N409&gt;INDEX(Sectorwise!F:F,MATCH(F409,Sectorwise!A:A,0)),1,0)</f>
        <v>0</v>
      </c>
      <c r="S409" s="27">
        <f t="shared" si="25"/>
        <v>0</v>
      </c>
      <c r="T409" s="27">
        <f t="shared" si="26"/>
        <v>7715</v>
      </c>
      <c r="U409" s="27">
        <f t="shared" si="27"/>
        <v>0</v>
      </c>
      <c r="V409" s="95">
        <f>IF(R409=1,(N409-INDEX(Sectorwise!F:F,MATCH(F409,Sectorwise!A:A,0))),0)</f>
        <v>0</v>
      </c>
      <c r="W409" s="97">
        <f>POISSON(N409,INDEX(Sectorwise!D:D,MATCH(Travel!F235,Sectorwise!A:A,0)),TRUE)</f>
        <v>0.99999998940522672</v>
      </c>
    </row>
    <row r="410" spans="1:24" ht="15.75" hidden="1" customHeight="1" x14ac:dyDescent="0.2">
      <c r="A410" s="21" t="s">
        <v>722</v>
      </c>
      <c r="B410" s="24" t="s">
        <v>744</v>
      </c>
      <c r="C410" s="22"/>
      <c r="D410" s="32"/>
      <c r="E410" s="33" t="s">
        <v>2290</v>
      </c>
      <c r="F410" s="33" t="s">
        <v>2191</v>
      </c>
      <c r="G410" s="69" t="s">
        <v>2308</v>
      </c>
      <c r="H410" s="21" t="s">
        <v>745</v>
      </c>
      <c r="I410" s="21" t="s">
        <v>680</v>
      </c>
      <c r="J410" s="25">
        <v>2821</v>
      </c>
      <c r="K410" s="25">
        <v>993</v>
      </c>
      <c r="L410" s="26">
        <f t="shared" si="24"/>
        <v>3814</v>
      </c>
      <c r="M410" s="26">
        <f t="array" ref="M410">MEDIAN(IF($F$3:$F$810=F410,$L$3:$L$810))</f>
        <v>5519</v>
      </c>
      <c r="N410" s="47">
        <v>3814</v>
      </c>
      <c r="O410" s="55"/>
      <c r="P410" s="76">
        <f>IF(N410&lt;INDEX(Sectorwise!E:E,MATCH(F410,Sectorwise!A:A,0)),1,0)</f>
        <v>1</v>
      </c>
      <c r="Q410" s="76">
        <f>IF(AND(N410&gt;=INDEX(Sectorwise!E:E,MATCH(F410,Sectorwise!A:A,0)),N410&lt;=INDEX(Sectorwise!F:F,MATCH(F410,Sectorwise!A:A,0))),1,0)</f>
        <v>0</v>
      </c>
      <c r="R410" s="76">
        <f>IF(N410&gt;INDEX(Sectorwise!F:F,MATCH(F410,Sectorwise!A:A,0)),1,0)</f>
        <v>0</v>
      </c>
      <c r="S410" s="27">
        <f t="shared" si="25"/>
        <v>3814</v>
      </c>
      <c r="T410" s="27">
        <f t="shared" si="26"/>
        <v>0</v>
      </c>
      <c r="U410" s="27">
        <f t="shared" si="27"/>
        <v>0</v>
      </c>
      <c r="V410" s="95">
        <f>IF(R410=1,(N410-INDEX(Sectorwise!F:F,MATCH(F410,Sectorwise!A:A,0))),0)</f>
        <v>0</v>
      </c>
      <c r="W410" s="97">
        <f>POISSON(N410,INDEX(Sectorwise!D:D,MATCH(Travel!F282,Sectorwise!A:A,0)),TRUE)</f>
        <v>1</v>
      </c>
    </row>
    <row r="411" spans="1:24" ht="15.75" hidden="1" customHeight="1" x14ac:dyDescent="0.2">
      <c r="A411" s="21" t="s">
        <v>449</v>
      </c>
      <c r="B411" s="21" t="s">
        <v>463</v>
      </c>
      <c r="C411" s="22"/>
      <c r="D411" s="32"/>
      <c r="E411" s="21" t="s">
        <v>464</v>
      </c>
      <c r="F411" s="21" t="s">
        <v>2176</v>
      </c>
      <c r="G411" s="63" t="s">
        <v>2312</v>
      </c>
      <c r="H411" s="21" t="s">
        <v>465</v>
      </c>
      <c r="I411" s="21" t="s">
        <v>453</v>
      </c>
      <c r="J411" s="25">
        <v>5090</v>
      </c>
      <c r="K411" s="25">
        <v>4726</v>
      </c>
      <c r="L411" s="26">
        <f t="shared" si="24"/>
        <v>9816</v>
      </c>
      <c r="M411" s="26">
        <f t="array" ref="M411">MEDIAN(IF($F$3:$F$810=F411,$L$3:$L$810))</f>
        <v>9753.5</v>
      </c>
      <c r="N411" s="47">
        <f>J411+K411</f>
        <v>9816</v>
      </c>
      <c r="O411" s="27"/>
      <c r="P411" s="76">
        <f>IF(N411&lt;INDEX(Sectorwise!E:E,MATCH(F411,Sectorwise!A:A,0)),1,0)</f>
        <v>0</v>
      </c>
      <c r="Q411" s="76">
        <f>IF(AND(N411&gt;=INDEX(Sectorwise!E:E,MATCH(F411,Sectorwise!A:A,0)),N411&lt;=INDEX(Sectorwise!F:F,MATCH(F411,Sectorwise!A:A,0))),1,0)</f>
        <v>1</v>
      </c>
      <c r="R411" s="76">
        <f>IF(N411&gt;INDEX(Sectorwise!F:F,MATCH(F411,Sectorwise!A:A,0)),1,0)</f>
        <v>0</v>
      </c>
      <c r="S411" s="27">
        <f t="shared" si="25"/>
        <v>0</v>
      </c>
      <c r="T411" s="27">
        <f t="shared" si="26"/>
        <v>9816</v>
      </c>
      <c r="U411" s="27">
        <f t="shared" si="27"/>
        <v>0</v>
      </c>
      <c r="V411" s="95">
        <f>IF(R411=1,(N411-INDEX(Sectorwise!F:F,MATCH(F411,Sectorwise!A:A,0))),0)</f>
        <v>0</v>
      </c>
      <c r="W411" s="97">
        <f>POISSON(N411,INDEX(Sectorwise!D:D,MATCH(Travel!F173,Sectorwise!A:A,0)),TRUE)</f>
        <v>1</v>
      </c>
    </row>
    <row r="412" spans="1:24" ht="15.75" hidden="1" customHeight="1" x14ac:dyDescent="0.2">
      <c r="A412" s="63" t="s">
        <v>1093</v>
      </c>
      <c r="B412" s="63" t="s">
        <v>1111</v>
      </c>
      <c r="C412" s="63" t="s">
        <v>1112</v>
      </c>
      <c r="E412" s="63" t="s">
        <v>281</v>
      </c>
      <c r="F412" s="29" t="s">
        <v>2134</v>
      </c>
      <c r="G412" s="69" t="s">
        <v>2308</v>
      </c>
      <c r="H412" s="63" t="s">
        <v>1113</v>
      </c>
      <c r="I412" s="63" t="s">
        <v>1088</v>
      </c>
      <c r="J412" s="65">
        <v>6256</v>
      </c>
      <c r="K412" s="65">
        <v>960</v>
      </c>
      <c r="L412" s="26">
        <f t="shared" si="24"/>
        <v>7216</v>
      </c>
      <c r="M412" s="26">
        <f t="array" ref="M412">MEDIAN(IF($F$3:$F$810=F412,$L$3:$L$810))</f>
        <v>7412.5</v>
      </c>
      <c r="N412" s="65">
        <v>7216</v>
      </c>
      <c r="O412" s="62">
        <v>7116</v>
      </c>
      <c r="P412" s="76">
        <f>IF(N412&lt;INDEX(Sectorwise!E:E,MATCH(F412,Sectorwise!A:A,0)),1,0)</f>
        <v>0</v>
      </c>
      <c r="Q412" s="76">
        <f>IF(AND(N412&gt;=INDEX(Sectorwise!E:E,MATCH(F412,Sectorwise!A:A,0)),N412&lt;=INDEX(Sectorwise!F:F,MATCH(F412,Sectorwise!A:A,0))),1,0)</f>
        <v>1</v>
      </c>
      <c r="R412" s="76">
        <f>IF(N412&gt;INDEX(Sectorwise!F:F,MATCH(F412,Sectorwise!A:A,0)),1,0)</f>
        <v>0</v>
      </c>
      <c r="S412" s="27">
        <f t="shared" si="25"/>
        <v>0</v>
      </c>
      <c r="T412" s="27">
        <f t="shared" si="26"/>
        <v>7216</v>
      </c>
      <c r="U412" s="27">
        <f t="shared" si="27"/>
        <v>0</v>
      </c>
      <c r="V412" s="95">
        <f>IF(R412=1,(N412-INDEX(Sectorwise!F:F,MATCH(F412,Sectorwise!A:A,0))),0)</f>
        <v>0</v>
      </c>
      <c r="W412" s="97">
        <f>POISSON(N412,INDEX(Sectorwise!D:D,MATCH(Travel!F418,Sectorwise!A:A,0)),TRUE)</f>
        <v>1.1164271169691029E-2</v>
      </c>
    </row>
    <row r="413" spans="1:24" ht="15.75" hidden="1" customHeight="1" x14ac:dyDescent="0.2">
      <c r="A413" s="33" t="s">
        <v>274</v>
      </c>
      <c r="B413" s="33" t="s">
        <v>280</v>
      </c>
      <c r="C413" s="40"/>
      <c r="D413" s="35"/>
      <c r="E413" s="33" t="s">
        <v>281</v>
      </c>
      <c r="F413" s="33" t="s">
        <v>2158</v>
      </c>
      <c r="G413" s="69" t="s">
        <v>2308</v>
      </c>
      <c r="H413" s="33" t="s">
        <v>282</v>
      </c>
      <c r="I413" s="33" t="s">
        <v>243</v>
      </c>
      <c r="J413" s="42">
        <v>16562</v>
      </c>
      <c r="K413" s="45">
        <v>2933</v>
      </c>
      <c r="L413" s="26">
        <f t="shared" si="24"/>
        <v>19495</v>
      </c>
      <c r="M413" s="26">
        <f t="array" ref="M413">MEDIAN(IF($F$3:$F$810=F413,$L$3:$L$810))</f>
        <v>20521</v>
      </c>
      <c r="N413" s="43">
        <f>+J413+K413</f>
        <v>19495</v>
      </c>
      <c r="O413" s="38"/>
      <c r="P413" s="76">
        <f>IF(N413&lt;INDEX(Sectorwise!E:E,MATCH(F413,Sectorwise!A:A,0)),1,0)</f>
        <v>0</v>
      </c>
      <c r="Q413" s="76">
        <f>IF(AND(N413&gt;=INDEX(Sectorwise!E:E,MATCH(F413,Sectorwise!A:A,0)),N413&lt;=INDEX(Sectorwise!F:F,MATCH(F413,Sectorwise!A:A,0))),1,0)</f>
        <v>1</v>
      </c>
      <c r="R413" s="76">
        <f>IF(N413&gt;INDEX(Sectorwise!F:F,MATCH(F413,Sectorwise!A:A,0)),1,0)</f>
        <v>0</v>
      </c>
      <c r="S413" s="27">
        <f t="shared" si="25"/>
        <v>0</v>
      </c>
      <c r="T413" s="27">
        <f t="shared" si="26"/>
        <v>19495</v>
      </c>
      <c r="U413" s="27">
        <f t="shared" si="27"/>
        <v>0</v>
      </c>
      <c r="V413" s="95">
        <f>IF(R413=1,(N413-INDEX(Sectorwise!F:F,MATCH(F413,Sectorwise!A:A,0))),0)</f>
        <v>0</v>
      </c>
      <c r="W413" s="97">
        <f>POISSON(N413,INDEX(Sectorwise!D:D,MATCH(Travel!F105,Sectorwise!A:A,0)),TRUE)</f>
        <v>0</v>
      </c>
      <c r="X413" s="44">
        <f>+N413-O413</f>
        <v>19495</v>
      </c>
    </row>
    <row r="414" spans="1:24" ht="15.75" hidden="1" customHeight="1" x14ac:dyDescent="0.2">
      <c r="A414" s="63" t="s">
        <v>1756</v>
      </c>
      <c r="B414" s="63" t="s">
        <v>1769</v>
      </c>
      <c r="C414" s="63"/>
      <c r="E414" s="33" t="s">
        <v>2291</v>
      </c>
      <c r="F414" s="63" t="s">
        <v>2144</v>
      </c>
      <c r="G414" s="69" t="s">
        <v>2308</v>
      </c>
      <c r="H414" s="63" t="s">
        <v>1770</v>
      </c>
      <c r="I414" s="63" t="s">
        <v>1763</v>
      </c>
      <c r="J414" s="65">
        <v>8449</v>
      </c>
      <c r="K414" s="65">
        <v>1130</v>
      </c>
      <c r="L414" s="26">
        <f t="shared" si="24"/>
        <v>9579</v>
      </c>
      <c r="M414" s="26">
        <f t="array" ref="M414">MEDIAN(IF($F$3:$F$810=F414,$L$3:$L$810))</f>
        <v>9066</v>
      </c>
      <c r="N414" s="65">
        <v>9579</v>
      </c>
      <c r="O414" s="62">
        <v>0</v>
      </c>
      <c r="P414" s="76">
        <f>IF(N414&lt;INDEX(Sectorwise!E:E,MATCH(F414,Sectorwise!A:A,0)),1,0)</f>
        <v>0</v>
      </c>
      <c r="Q414" s="76">
        <f>IF(AND(N414&gt;=INDEX(Sectorwise!E:E,MATCH(F414,Sectorwise!A:A,0)),N414&lt;=INDEX(Sectorwise!F:F,MATCH(F414,Sectorwise!A:A,0))),1,0)</f>
        <v>1</v>
      </c>
      <c r="R414" s="76">
        <f>IF(N414&gt;INDEX(Sectorwise!F:F,MATCH(F414,Sectorwise!A:A,0)),1,0)</f>
        <v>0</v>
      </c>
      <c r="S414" s="27">
        <f t="shared" si="25"/>
        <v>0</v>
      </c>
      <c r="T414" s="27">
        <f t="shared" si="26"/>
        <v>9579</v>
      </c>
      <c r="U414" s="27">
        <f t="shared" si="27"/>
        <v>0</v>
      </c>
      <c r="V414" s="95">
        <f>IF(R414=1,(N414-INDEX(Sectorwise!F:F,MATCH(F414,Sectorwise!A:A,0))),0)</f>
        <v>0</v>
      </c>
      <c r="W414" s="97">
        <f>POISSON(N414,INDEX(Sectorwise!D:D,MATCH(Travel!F672,Sectorwise!A:A,0)),TRUE)</f>
        <v>1</v>
      </c>
    </row>
    <row r="415" spans="1:24" ht="15.75" hidden="1" customHeight="1" x14ac:dyDescent="0.2">
      <c r="A415" s="33" t="s">
        <v>421</v>
      </c>
      <c r="B415" s="33" t="s">
        <v>424</v>
      </c>
      <c r="C415" s="40"/>
      <c r="D415" s="35"/>
      <c r="E415" s="33" t="s">
        <v>2291</v>
      </c>
      <c r="F415" s="29" t="s">
        <v>2134</v>
      </c>
      <c r="G415" s="56" t="s">
        <v>2309</v>
      </c>
      <c r="H415" s="49" t="s">
        <v>425</v>
      </c>
      <c r="I415" s="33" t="s">
        <v>426</v>
      </c>
      <c r="J415" s="36">
        <v>4550</v>
      </c>
      <c r="K415" s="36">
        <v>3122</v>
      </c>
      <c r="L415" s="26">
        <f t="shared" si="24"/>
        <v>7672</v>
      </c>
      <c r="M415" s="26">
        <f t="array" ref="M415">MEDIAN(IF($F$3:$F$810=F415,$L$3:$L$810))</f>
        <v>7412.5</v>
      </c>
      <c r="N415" s="47">
        <f>+J415+K415</f>
        <v>7672</v>
      </c>
      <c r="O415" s="27"/>
      <c r="P415" s="76">
        <f>IF(N415&lt;INDEX(Sectorwise!E:E,MATCH(F415,Sectorwise!A:A,0)),1,0)</f>
        <v>0</v>
      </c>
      <c r="Q415" s="76">
        <f>IF(AND(N415&gt;=INDEX(Sectorwise!E:E,MATCH(F415,Sectorwise!A:A,0)),N415&lt;=INDEX(Sectorwise!F:F,MATCH(F415,Sectorwise!A:A,0))),1,0)</f>
        <v>1</v>
      </c>
      <c r="R415" s="76">
        <f>IF(N415&gt;INDEX(Sectorwise!F:F,MATCH(F415,Sectorwise!A:A,0)),1,0)</f>
        <v>0</v>
      </c>
      <c r="S415" s="27">
        <f t="shared" si="25"/>
        <v>0</v>
      </c>
      <c r="T415" s="27">
        <f t="shared" si="26"/>
        <v>7672</v>
      </c>
      <c r="U415" s="27">
        <f t="shared" si="27"/>
        <v>0</v>
      </c>
      <c r="V415" s="95">
        <f>IF(R415=1,(N415-INDEX(Sectorwise!F:F,MATCH(F415,Sectorwise!A:A,0))),0)</f>
        <v>0</v>
      </c>
      <c r="W415" s="97">
        <f>POISSON(N415,INDEX(Sectorwise!D:D,MATCH(Travel!F160,Sectorwise!A:A,0)),TRUE)</f>
        <v>0.99999983611862975</v>
      </c>
    </row>
    <row r="416" spans="1:24" ht="15.75" hidden="1" customHeight="1" x14ac:dyDescent="0.2">
      <c r="A416" s="33" t="s">
        <v>430</v>
      </c>
      <c r="B416" s="33" t="s">
        <v>438</v>
      </c>
      <c r="C416" s="40"/>
      <c r="D416" s="35"/>
      <c r="E416" s="33" t="s">
        <v>2291</v>
      </c>
      <c r="F416" s="29" t="s">
        <v>2134</v>
      </c>
      <c r="G416" s="56" t="s">
        <v>2309</v>
      </c>
      <c r="H416" s="33" t="s">
        <v>439</v>
      </c>
      <c r="I416" s="33" t="s">
        <v>426</v>
      </c>
      <c r="J416" s="36">
        <v>7750</v>
      </c>
      <c r="K416" s="36">
        <v>3299</v>
      </c>
      <c r="L416" s="26">
        <f t="shared" si="24"/>
        <v>11049</v>
      </c>
      <c r="M416" s="26">
        <f t="array" ref="M416">MEDIAN(IF($F$3:$F$810=F416,$L$3:$L$810))</f>
        <v>7412.5</v>
      </c>
      <c r="N416" s="47">
        <f>+J416+K416</f>
        <v>11049</v>
      </c>
      <c r="O416" s="27"/>
      <c r="P416" s="76">
        <f>IF(N416&lt;INDEX(Sectorwise!E:E,MATCH(F416,Sectorwise!A:A,0)),1,0)</f>
        <v>0</v>
      </c>
      <c r="Q416" s="76">
        <f>IF(AND(N416&gt;=INDEX(Sectorwise!E:E,MATCH(F416,Sectorwise!A:A,0)),N416&lt;=INDEX(Sectorwise!F:F,MATCH(F416,Sectorwise!A:A,0))),1,0)</f>
        <v>0</v>
      </c>
      <c r="R416" s="76">
        <f>IF(N416&gt;INDEX(Sectorwise!F:F,MATCH(F416,Sectorwise!A:A,0)),1,0)</f>
        <v>1</v>
      </c>
      <c r="S416" s="27">
        <f t="shared" si="25"/>
        <v>0</v>
      </c>
      <c r="T416" s="27">
        <f t="shared" si="26"/>
        <v>0</v>
      </c>
      <c r="U416" s="27">
        <f t="shared" si="27"/>
        <v>11049</v>
      </c>
      <c r="V416" s="95">
        <f>IF(R416=1,(N416-INDEX(Sectorwise!F:F,MATCH(F416,Sectorwise!A:A,0))),0)</f>
        <v>2849</v>
      </c>
      <c r="W416" s="97">
        <f>POISSON(N416,INDEX(Sectorwise!D:D,MATCH(Travel!F165,Sectorwise!A:A,0)),TRUE)</f>
        <v>1</v>
      </c>
    </row>
    <row r="417" spans="1:24" ht="15.75" hidden="1" customHeight="1" x14ac:dyDescent="0.2">
      <c r="A417" s="21" t="s">
        <v>597</v>
      </c>
      <c r="B417" s="21" t="s">
        <v>602</v>
      </c>
      <c r="C417" s="22"/>
      <c r="E417" s="33" t="s">
        <v>2291</v>
      </c>
      <c r="F417" s="29" t="s">
        <v>2134</v>
      </c>
      <c r="G417" s="56" t="s">
        <v>2309</v>
      </c>
      <c r="H417" s="21" t="s">
        <v>603</v>
      </c>
      <c r="I417" s="21" t="s">
        <v>604</v>
      </c>
      <c r="J417" s="25">
        <v>1638</v>
      </c>
      <c r="K417" s="25">
        <v>1491</v>
      </c>
      <c r="L417" s="26">
        <f t="shared" si="24"/>
        <v>3129</v>
      </c>
      <c r="M417" s="26">
        <f t="array" ref="M417">MEDIAN(IF($F$3:$F$810=F417,$L$3:$L$810))</f>
        <v>7412.5</v>
      </c>
      <c r="N417" s="47">
        <v>3129</v>
      </c>
      <c r="O417" s="55"/>
      <c r="P417" s="76">
        <f>IF(N417&lt;INDEX(Sectorwise!E:E,MATCH(F417,Sectorwise!A:A,0)),1,0)</f>
        <v>1</v>
      </c>
      <c r="Q417" s="76">
        <f>IF(AND(N417&gt;=INDEX(Sectorwise!E:E,MATCH(F417,Sectorwise!A:A,0)),N417&lt;=INDEX(Sectorwise!F:F,MATCH(F417,Sectorwise!A:A,0))),1,0)</f>
        <v>0</v>
      </c>
      <c r="R417" s="76">
        <f>IF(N417&gt;INDEX(Sectorwise!F:F,MATCH(F417,Sectorwise!A:A,0)),1,0)</f>
        <v>0</v>
      </c>
      <c r="S417" s="27">
        <f t="shared" si="25"/>
        <v>3129</v>
      </c>
      <c r="T417" s="27">
        <f t="shared" si="26"/>
        <v>0</v>
      </c>
      <c r="U417" s="27">
        <f t="shared" si="27"/>
        <v>0</v>
      </c>
      <c r="V417" s="95">
        <f>IF(R417=1,(N417-INDEX(Sectorwise!F:F,MATCH(F417,Sectorwise!A:A,0))),0)</f>
        <v>0</v>
      </c>
      <c r="W417" s="97">
        <f>POISSON(N417,INDEX(Sectorwise!D:D,MATCH(Travel!F226,Sectorwise!A:A,0)),TRUE)</f>
        <v>0</v>
      </c>
    </row>
    <row r="418" spans="1:24" ht="15.75" hidden="1" customHeight="1" x14ac:dyDescent="0.2">
      <c r="A418" s="60" t="s">
        <v>1311</v>
      </c>
      <c r="B418" s="60" t="s">
        <v>1312</v>
      </c>
      <c r="C418" s="60"/>
      <c r="E418" s="33" t="s">
        <v>2291</v>
      </c>
      <c r="F418" s="29" t="s">
        <v>2134</v>
      </c>
      <c r="G418" s="56" t="s">
        <v>2309</v>
      </c>
      <c r="H418" s="60" t="s">
        <v>1313</v>
      </c>
      <c r="I418" s="60" t="s">
        <v>1314</v>
      </c>
      <c r="J418" s="61">
        <v>8200</v>
      </c>
      <c r="K418" s="61">
        <v>2012</v>
      </c>
      <c r="L418" s="26">
        <f t="shared" si="24"/>
        <v>10212</v>
      </c>
      <c r="M418" s="26">
        <f t="array" ref="M418">MEDIAN(IF($F$3:$F$810=F418,$L$3:$L$810))</f>
        <v>7412.5</v>
      </c>
      <c r="N418" s="61">
        <v>15546</v>
      </c>
      <c r="O418" s="62">
        <v>0</v>
      </c>
      <c r="P418" s="76">
        <f>IF(N418&lt;INDEX(Sectorwise!E:E,MATCH(F418,Sectorwise!A:A,0)),1,0)</f>
        <v>0</v>
      </c>
      <c r="Q418" s="76">
        <f>IF(AND(N418&gt;=INDEX(Sectorwise!E:E,MATCH(F418,Sectorwise!A:A,0)),N418&lt;=INDEX(Sectorwise!F:F,MATCH(F418,Sectorwise!A:A,0))),1,0)</f>
        <v>0</v>
      </c>
      <c r="R418" s="76">
        <f>IF(N418&gt;INDEX(Sectorwise!F:F,MATCH(F418,Sectorwise!A:A,0)),1,0)</f>
        <v>1</v>
      </c>
      <c r="S418" s="27">
        <f t="shared" si="25"/>
        <v>0</v>
      </c>
      <c r="T418" s="27">
        <f t="shared" si="26"/>
        <v>0</v>
      </c>
      <c r="U418" s="27">
        <f t="shared" si="27"/>
        <v>15546</v>
      </c>
      <c r="V418" s="95">
        <f>IF(R418=1,(N418-INDEX(Sectorwise!F:F,MATCH(F418,Sectorwise!A:A,0))),0)</f>
        <v>7346</v>
      </c>
      <c r="W418" s="97">
        <f>POISSON(N418,INDEX(Sectorwise!D:D,MATCH(Travel!F491,Sectorwise!A:A,0)),TRUE)</f>
        <v>1</v>
      </c>
    </row>
    <row r="419" spans="1:24" ht="15.75" hidden="1" customHeight="1" x14ac:dyDescent="0.2">
      <c r="A419" s="63" t="s">
        <v>1427</v>
      </c>
      <c r="B419" s="63" t="s">
        <v>1435</v>
      </c>
      <c r="C419" s="63"/>
      <c r="E419" s="33" t="s">
        <v>2291</v>
      </c>
      <c r="F419" s="29" t="s">
        <v>2134</v>
      </c>
      <c r="G419" s="69" t="s">
        <v>2308</v>
      </c>
      <c r="H419" s="63" t="s">
        <v>1436</v>
      </c>
      <c r="I419" s="63" t="s">
        <v>1417</v>
      </c>
      <c r="J419" s="65">
        <v>6256</v>
      </c>
      <c r="K419" s="65">
        <v>960</v>
      </c>
      <c r="L419" s="26">
        <f t="shared" si="24"/>
        <v>7216</v>
      </c>
      <c r="M419" s="26">
        <f t="array" ref="M419">MEDIAN(IF($F$3:$F$810=F419,$L$3:$L$810))</f>
        <v>7412.5</v>
      </c>
      <c r="N419" s="65">
        <v>7216</v>
      </c>
      <c r="O419" s="62">
        <v>0</v>
      </c>
      <c r="P419" s="76">
        <f>IF(N419&lt;INDEX(Sectorwise!E:E,MATCH(F419,Sectorwise!A:A,0)),1,0)</f>
        <v>0</v>
      </c>
      <c r="Q419" s="76">
        <f>IF(AND(N419&gt;=INDEX(Sectorwise!E:E,MATCH(F419,Sectorwise!A:A,0)),N419&lt;=INDEX(Sectorwise!F:F,MATCH(F419,Sectorwise!A:A,0))),1,0)</f>
        <v>1</v>
      </c>
      <c r="R419" s="76">
        <f>IF(N419&gt;INDEX(Sectorwise!F:F,MATCH(F419,Sectorwise!A:A,0)),1,0)</f>
        <v>0</v>
      </c>
      <c r="S419" s="27">
        <f t="shared" si="25"/>
        <v>0</v>
      </c>
      <c r="T419" s="27">
        <f t="shared" si="26"/>
        <v>7216</v>
      </c>
      <c r="U419" s="27">
        <f t="shared" si="27"/>
        <v>0</v>
      </c>
      <c r="V419" s="95">
        <f>IF(R419=1,(N419-INDEX(Sectorwise!F:F,MATCH(F419,Sectorwise!A:A,0))),0)</f>
        <v>0</v>
      </c>
      <c r="W419" s="97">
        <f>POISSON(N419,INDEX(Sectorwise!D:D,MATCH(Travel!F539,Sectorwise!A:A,0)),TRUE)</f>
        <v>0.41922485026225359</v>
      </c>
    </row>
    <row r="420" spans="1:24" ht="15.75" hidden="1" customHeight="1" x14ac:dyDescent="0.2">
      <c r="A420" s="63" t="s">
        <v>1771</v>
      </c>
      <c r="B420" s="63" t="s">
        <v>1775</v>
      </c>
      <c r="C420" s="63"/>
      <c r="E420" s="33" t="s">
        <v>2291</v>
      </c>
      <c r="F420" s="29" t="s">
        <v>2134</v>
      </c>
      <c r="G420" s="56" t="s">
        <v>2309</v>
      </c>
      <c r="H420" s="63" t="s">
        <v>1776</v>
      </c>
      <c r="I420" s="63" t="s">
        <v>1777</v>
      </c>
      <c r="J420" s="65">
        <v>6100</v>
      </c>
      <c r="K420" s="65">
        <v>1896</v>
      </c>
      <c r="L420" s="26">
        <f t="shared" si="24"/>
        <v>7996</v>
      </c>
      <c r="M420" s="26">
        <f t="array" ref="M420">MEDIAN(IF($F$3:$F$810=F420,$L$3:$L$810))</f>
        <v>7412.5</v>
      </c>
      <c r="N420" s="65">
        <v>7996</v>
      </c>
      <c r="O420" s="62">
        <v>0</v>
      </c>
      <c r="P420" s="76">
        <f>IF(N420&lt;INDEX(Sectorwise!E:E,MATCH(F420,Sectorwise!A:A,0)),1,0)</f>
        <v>0</v>
      </c>
      <c r="Q420" s="76">
        <f>IF(AND(N420&gt;=INDEX(Sectorwise!E:E,MATCH(F420,Sectorwise!A:A,0)),N420&lt;=INDEX(Sectorwise!F:F,MATCH(F420,Sectorwise!A:A,0))),1,0)</f>
        <v>1</v>
      </c>
      <c r="R420" s="76">
        <f>IF(N420&gt;INDEX(Sectorwise!F:F,MATCH(F420,Sectorwise!A:A,0)),1,0)</f>
        <v>0</v>
      </c>
      <c r="S420" s="27">
        <f t="shared" si="25"/>
        <v>0</v>
      </c>
      <c r="T420" s="27">
        <f t="shared" si="26"/>
        <v>7996</v>
      </c>
      <c r="U420" s="27">
        <f t="shared" si="27"/>
        <v>0</v>
      </c>
      <c r="V420" s="95">
        <f>IF(R420=1,(N420-INDEX(Sectorwise!F:F,MATCH(F420,Sectorwise!A:A,0))),0)</f>
        <v>0</v>
      </c>
      <c r="W420" s="97">
        <f>POISSON(N420,INDEX(Sectorwise!D:D,MATCH(Travel!F674,Sectorwise!A:A,0)),TRUE)</f>
        <v>1</v>
      </c>
    </row>
    <row r="421" spans="1:24" ht="15.75" hidden="1" customHeight="1" x14ac:dyDescent="0.2">
      <c r="A421" s="69" t="s">
        <v>1971</v>
      </c>
      <c r="B421" s="69" t="s">
        <v>1978</v>
      </c>
      <c r="C421" s="69"/>
      <c r="E421" s="33" t="s">
        <v>2291</v>
      </c>
      <c r="F421" s="29" t="s">
        <v>2134</v>
      </c>
      <c r="G421" s="69" t="s">
        <v>2308</v>
      </c>
      <c r="H421" s="69" t="s">
        <v>1979</v>
      </c>
      <c r="I421" s="69" t="s">
        <v>1811</v>
      </c>
      <c r="J421" s="70">
        <v>4242</v>
      </c>
      <c r="K421" s="70">
        <v>847</v>
      </c>
      <c r="L421" s="26">
        <f t="shared" si="24"/>
        <v>5089</v>
      </c>
      <c r="M421" s="26">
        <f t="array" ref="M421">MEDIAN(IF($F$3:$F$810=F421,$L$3:$L$810))</f>
        <v>7412.5</v>
      </c>
      <c r="N421" s="70">
        <v>5089</v>
      </c>
      <c r="O421" s="71">
        <v>0</v>
      </c>
      <c r="P421" s="76">
        <f>IF(N421&lt;INDEX(Sectorwise!E:E,MATCH(F421,Sectorwise!A:A,0)),1,0)</f>
        <v>1</v>
      </c>
      <c r="Q421" s="76">
        <f>IF(AND(N421&gt;=INDEX(Sectorwise!E:E,MATCH(F421,Sectorwise!A:A,0)),N421&lt;=INDEX(Sectorwise!F:F,MATCH(F421,Sectorwise!A:A,0))),1,0)</f>
        <v>0</v>
      </c>
      <c r="R421" s="76">
        <f>IF(N421&gt;INDEX(Sectorwise!F:F,MATCH(F421,Sectorwise!A:A,0)),1,0)</f>
        <v>0</v>
      </c>
      <c r="S421" s="27">
        <f t="shared" si="25"/>
        <v>5089</v>
      </c>
      <c r="T421" s="27">
        <f t="shared" si="26"/>
        <v>0</v>
      </c>
      <c r="U421" s="27">
        <f t="shared" si="27"/>
        <v>0</v>
      </c>
      <c r="V421" s="95">
        <f>IF(R421=1,(N421-INDEX(Sectorwise!F:F,MATCH(F421,Sectorwise!A:A,0))),0)</f>
        <v>0</v>
      </c>
      <c r="W421" s="97">
        <f>POISSON(N421,INDEX(Sectorwise!D:D,MATCH(Travel!F754,Sectorwise!A:A,0)),TRUE)</f>
        <v>1.0915966418013656E-156</v>
      </c>
    </row>
    <row r="422" spans="1:24" ht="15.75" hidden="1" customHeight="1" x14ac:dyDescent="0.2">
      <c r="A422" s="63" t="s">
        <v>1823</v>
      </c>
      <c r="B422" s="63" t="s">
        <v>1824</v>
      </c>
      <c r="C422" s="63" t="s">
        <v>1825</v>
      </c>
      <c r="E422" s="33" t="s">
        <v>2291</v>
      </c>
      <c r="F422" s="21" t="s">
        <v>2136</v>
      </c>
      <c r="G422" s="60" t="s">
        <v>2316</v>
      </c>
      <c r="H422" s="63" t="s">
        <v>1826</v>
      </c>
      <c r="I422" s="63" t="s">
        <v>1827</v>
      </c>
      <c r="J422" s="65">
        <v>8450</v>
      </c>
      <c r="K422" s="65">
        <v>6979</v>
      </c>
      <c r="L422" s="26">
        <f t="shared" si="24"/>
        <v>15429</v>
      </c>
      <c r="M422" s="26">
        <f t="array" ref="M422">MEDIAN(IF($F$3:$F$810=F422,$L$3:$L$810))</f>
        <v>14406</v>
      </c>
      <c r="N422" s="65">
        <v>46287</v>
      </c>
      <c r="O422" s="62">
        <v>17922</v>
      </c>
      <c r="P422" s="76">
        <f>IF(N422&lt;INDEX(Sectorwise!E:E,MATCH(F422,Sectorwise!A:A,0)),1,0)</f>
        <v>0</v>
      </c>
      <c r="Q422" s="76">
        <f>IF(AND(N422&gt;=INDEX(Sectorwise!E:E,MATCH(F422,Sectorwise!A:A,0)),N422&lt;=INDEX(Sectorwise!F:F,MATCH(F422,Sectorwise!A:A,0))),1,0)</f>
        <v>0</v>
      </c>
      <c r="R422" s="76">
        <f>IF(N422&gt;INDEX(Sectorwise!F:F,MATCH(F422,Sectorwise!A:A,0)),1,0)</f>
        <v>1</v>
      </c>
      <c r="S422" s="27">
        <f t="shared" si="25"/>
        <v>0</v>
      </c>
      <c r="T422" s="27">
        <f t="shared" si="26"/>
        <v>0</v>
      </c>
      <c r="U422" s="27">
        <f t="shared" si="27"/>
        <v>46287</v>
      </c>
      <c r="V422" s="95">
        <f>IF(R422=1,(N422-INDEX(Sectorwise!F:F,MATCH(F422,Sectorwise!A:A,0))),0)</f>
        <v>30387</v>
      </c>
      <c r="W422" s="97">
        <f>POISSON(N422,INDEX(Sectorwise!D:D,MATCH(Travel!F689,Sectorwise!A:A,0)),TRUE)</f>
        <v>1</v>
      </c>
    </row>
    <row r="423" spans="1:24" ht="15.75" hidden="1" customHeight="1" x14ac:dyDescent="0.2">
      <c r="A423" s="63" t="s">
        <v>1837</v>
      </c>
      <c r="B423" s="63" t="s">
        <v>1861</v>
      </c>
      <c r="C423" s="63"/>
      <c r="E423" s="33" t="s">
        <v>2291</v>
      </c>
      <c r="F423" s="21" t="s">
        <v>2136</v>
      </c>
      <c r="G423" s="69" t="s">
        <v>2308</v>
      </c>
      <c r="H423" s="63" t="s">
        <v>1862</v>
      </c>
      <c r="I423" s="63" t="s">
        <v>1807</v>
      </c>
      <c r="J423" s="65">
        <v>11582</v>
      </c>
      <c r="K423" s="65">
        <v>2189</v>
      </c>
      <c r="L423" s="26">
        <f t="shared" si="24"/>
        <v>13771</v>
      </c>
      <c r="M423" s="26">
        <f t="array" ref="M423">MEDIAN(IF($F$3:$F$810=F423,$L$3:$L$810))</f>
        <v>14406</v>
      </c>
      <c r="N423" s="65">
        <v>13771</v>
      </c>
      <c r="O423" s="62">
        <v>0</v>
      </c>
      <c r="P423" s="76">
        <f>IF(N423&lt;INDEX(Sectorwise!E:E,MATCH(F423,Sectorwise!A:A,0)),1,0)</f>
        <v>0</v>
      </c>
      <c r="Q423" s="76">
        <f>IF(AND(N423&gt;=INDEX(Sectorwise!E:E,MATCH(F423,Sectorwise!A:A,0)),N423&lt;=INDEX(Sectorwise!F:F,MATCH(F423,Sectorwise!A:A,0))),1,0)</f>
        <v>1</v>
      </c>
      <c r="R423" s="76">
        <f>IF(N423&gt;INDEX(Sectorwise!F:F,MATCH(F423,Sectorwise!A:A,0)),1,0)</f>
        <v>0</v>
      </c>
      <c r="S423" s="27">
        <f t="shared" si="25"/>
        <v>0</v>
      </c>
      <c r="T423" s="27">
        <f t="shared" si="26"/>
        <v>13771</v>
      </c>
      <c r="U423" s="27">
        <f t="shared" si="27"/>
        <v>0</v>
      </c>
      <c r="V423" s="95">
        <f>IF(R423=1,(N423-INDEX(Sectorwise!F:F,MATCH(F423,Sectorwise!A:A,0))),0)</f>
        <v>0</v>
      </c>
      <c r="W423" s="97">
        <f>POISSON(N423,INDEX(Sectorwise!D:D,MATCH(Travel!F707,Sectorwise!A:A,0)),TRUE)</f>
        <v>0.99999999998976463</v>
      </c>
    </row>
    <row r="424" spans="1:24" ht="15.75" hidden="1" customHeight="1" x14ac:dyDescent="0.2">
      <c r="A424" s="33" t="s">
        <v>257</v>
      </c>
      <c r="B424" s="33" t="s">
        <v>258</v>
      </c>
      <c r="C424" s="40"/>
      <c r="D424" s="35"/>
      <c r="E424" s="33" t="s">
        <v>2291</v>
      </c>
      <c r="F424" s="21" t="s">
        <v>2147</v>
      </c>
      <c r="G424" s="56" t="s">
        <v>2309</v>
      </c>
      <c r="H424" s="33" t="s">
        <v>259</v>
      </c>
      <c r="I424" s="33" t="s">
        <v>260</v>
      </c>
      <c r="J424" s="36">
        <v>5300</v>
      </c>
      <c r="K424" s="36">
        <v>5255</v>
      </c>
      <c r="L424" s="26">
        <f t="shared" si="24"/>
        <v>10555</v>
      </c>
      <c r="M424" s="26">
        <f t="array" ref="M424">MEDIAN(IF($F$3:$F$810=F424,$L$3:$L$810))</f>
        <v>10605</v>
      </c>
      <c r="N424" s="41">
        <v>10555</v>
      </c>
      <c r="O424" s="38"/>
      <c r="P424" s="76">
        <f>IF(N424&lt;INDEX(Sectorwise!E:E,MATCH(F424,Sectorwise!A:A,0)),1,0)</f>
        <v>0</v>
      </c>
      <c r="Q424" s="76">
        <f>IF(AND(N424&gt;=INDEX(Sectorwise!E:E,MATCH(F424,Sectorwise!A:A,0)),N424&lt;=INDEX(Sectorwise!F:F,MATCH(F424,Sectorwise!A:A,0))),1,0)</f>
        <v>1</v>
      </c>
      <c r="R424" s="76">
        <f>IF(N424&gt;INDEX(Sectorwise!F:F,MATCH(F424,Sectorwise!A:A,0)),1,0)</f>
        <v>0</v>
      </c>
      <c r="S424" s="27">
        <f t="shared" si="25"/>
        <v>0</v>
      </c>
      <c r="T424" s="27">
        <f t="shared" si="26"/>
        <v>10555</v>
      </c>
      <c r="U424" s="27">
        <f t="shared" si="27"/>
        <v>0</v>
      </c>
      <c r="V424" s="95">
        <f>IF(R424=1,(N424-INDEX(Sectorwise!F:F,MATCH(F424,Sectorwise!A:A,0))),0)</f>
        <v>0</v>
      </c>
      <c r="W424" s="97">
        <f>POISSON(N424,INDEX(Sectorwise!D:D,MATCH(Travel!F97,Sectorwise!A:A,0)),TRUE)</f>
        <v>3.2944891591270811E-249</v>
      </c>
      <c r="X424" s="39">
        <f>+N424-O424</f>
        <v>10555</v>
      </c>
    </row>
    <row r="425" spans="1:24" ht="15.75" hidden="1" customHeight="1" x14ac:dyDescent="0.2">
      <c r="A425" s="21" t="s">
        <v>581</v>
      </c>
      <c r="B425" s="21" t="s">
        <v>585</v>
      </c>
      <c r="C425" s="22"/>
      <c r="E425" s="33" t="s">
        <v>2291</v>
      </c>
      <c r="F425" s="21" t="s">
        <v>2147</v>
      </c>
      <c r="G425" s="69" t="s">
        <v>2308</v>
      </c>
      <c r="H425" s="21" t="s">
        <v>586</v>
      </c>
      <c r="I425" s="21" t="s">
        <v>570</v>
      </c>
      <c r="J425" s="25">
        <v>6776</v>
      </c>
      <c r="K425" s="25">
        <v>1454</v>
      </c>
      <c r="L425" s="26">
        <f t="shared" si="24"/>
        <v>8230</v>
      </c>
      <c r="M425" s="26">
        <f t="array" ref="M425">MEDIAN(IF($F$3:$F$810=F425,$L$3:$L$810))</f>
        <v>10605</v>
      </c>
      <c r="N425" s="47">
        <v>8230</v>
      </c>
      <c r="O425" s="55"/>
      <c r="P425" s="76">
        <f>IF(N425&lt;INDEX(Sectorwise!E:E,MATCH(F425,Sectorwise!A:A,0)),1,0)</f>
        <v>1</v>
      </c>
      <c r="Q425" s="76">
        <f>IF(AND(N425&gt;=INDEX(Sectorwise!E:E,MATCH(F425,Sectorwise!A:A,0)),N425&lt;=INDEX(Sectorwise!F:F,MATCH(F425,Sectorwise!A:A,0))),1,0)</f>
        <v>0</v>
      </c>
      <c r="R425" s="76">
        <f>IF(N425&gt;INDEX(Sectorwise!F:F,MATCH(F425,Sectorwise!A:A,0)),1,0)</f>
        <v>0</v>
      </c>
      <c r="S425" s="27">
        <f t="shared" si="25"/>
        <v>8230</v>
      </c>
      <c r="T425" s="27">
        <f t="shared" si="26"/>
        <v>0</v>
      </c>
      <c r="U425" s="27">
        <f t="shared" si="27"/>
        <v>0</v>
      </c>
      <c r="V425" s="95">
        <f>IF(R425=1,(N425-INDEX(Sectorwise!F:F,MATCH(F425,Sectorwise!A:A,0))),0)</f>
        <v>0</v>
      </c>
      <c r="W425" s="97">
        <f>POISSON(N425,INDEX(Sectorwise!D:D,MATCH(Travel!F220,Sectorwise!A:A,0)),TRUE)</f>
        <v>1</v>
      </c>
    </row>
    <row r="426" spans="1:24" ht="15.75" hidden="1" customHeight="1" x14ac:dyDescent="0.2">
      <c r="A426" s="60" t="s">
        <v>985</v>
      </c>
      <c r="B426" s="60" t="s">
        <v>988</v>
      </c>
      <c r="C426" s="64" t="s">
        <v>989</v>
      </c>
      <c r="E426" s="33" t="s">
        <v>2291</v>
      </c>
      <c r="F426" s="21" t="s">
        <v>2147</v>
      </c>
      <c r="G426" s="69" t="s">
        <v>2308</v>
      </c>
      <c r="H426" s="60" t="s">
        <v>990</v>
      </c>
      <c r="I426" s="60" t="s">
        <v>991</v>
      </c>
      <c r="J426" s="61">
        <v>9128</v>
      </c>
      <c r="K426" s="61">
        <v>1585</v>
      </c>
      <c r="L426" s="26">
        <f t="shared" si="24"/>
        <v>10713</v>
      </c>
      <c r="M426" s="26">
        <f t="array" ref="M426">MEDIAN(IF($F$3:$F$810=F426,$L$3:$L$810))</f>
        <v>10605</v>
      </c>
      <c r="N426" s="61">
        <v>10713</v>
      </c>
      <c r="O426" s="62">
        <v>10613</v>
      </c>
      <c r="P426" s="76">
        <f>IF(N426&lt;INDEX(Sectorwise!E:E,MATCH(F426,Sectorwise!A:A,0)),1,0)</f>
        <v>0</v>
      </c>
      <c r="Q426" s="76">
        <f>IF(AND(N426&gt;=INDEX(Sectorwise!E:E,MATCH(F426,Sectorwise!A:A,0)),N426&lt;=INDEX(Sectorwise!F:F,MATCH(F426,Sectorwise!A:A,0))),1,0)</f>
        <v>1</v>
      </c>
      <c r="R426" s="76">
        <f>IF(N426&gt;INDEX(Sectorwise!F:F,MATCH(F426,Sectorwise!A:A,0)),1,0)</f>
        <v>0</v>
      </c>
      <c r="S426" s="27">
        <f t="shared" si="25"/>
        <v>0</v>
      </c>
      <c r="T426" s="27">
        <f t="shared" si="26"/>
        <v>10713</v>
      </c>
      <c r="U426" s="27">
        <f t="shared" si="27"/>
        <v>0</v>
      </c>
      <c r="V426" s="95">
        <f>IF(R426=1,(N426-INDEX(Sectorwise!F:F,MATCH(F426,Sectorwise!A:A,0))),0)</f>
        <v>0</v>
      </c>
      <c r="W426" s="97">
        <f>POISSON(N426,INDEX(Sectorwise!D:D,MATCH(Travel!F371,Sectorwise!A:A,0)),TRUE)</f>
        <v>1</v>
      </c>
    </row>
    <row r="427" spans="1:24" ht="15.75" hidden="1" customHeight="1" x14ac:dyDescent="0.2">
      <c r="A427" s="60" t="s">
        <v>1015</v>
      </c>
      <c r="B427" s="60" t="s">
        <v>1023</v>
      </c>
      <c r="C427" s="60"/>
      <c r="E427" s="33" t="s">
        <v>2291</v>
      </c>
      <c r="F427" s="21" t="s">
        <v>2147</v>
      </c>
      <c r="G427" s="69" t="s">
        <v>2308</v>
      </c>
      <c r="H427" s="60" t="s">
        <v>1025</v>
      </c>
      <c r="I427" s="60" t="s">
        <v>1026</v>
      </c>
      <c r="J427" s="61">
        <v>9128</v>
      </c>
      <c r="K427" s="61">
        <v>1585</v>
      </c>
      <c r="L427" s="26">
        <f t="shared" si="24"/>
        <v>10713</v>
      </c>
      <c r="M427" s="26">
        <f t="array" ref="M427">MEDIAN(IF($F$3:$F$810=F427,$L$3:$L$810))</f>
        <v>10605</v>
      </c>
      <c r="N427" s="57">
        <f>J427+K427</f>
        <v>10713</v>
      </c>
      <c r="O427" s="62">
        <v>0</v>
      </c>
      <c r="P427" s="76">
        <f>IF(N427&lt;INDEX(Sectorwise!E:E,MATCH(F427,Sectorwise!A:A,0)),1,0)</f>
        <v>0</v>
      </c>
      <c r="Q427" s="76">
        <f>IF(AND(N427&gt;=INDEX(Sectorwise!E:E,MATCH(F427,Sectorwise!A:A,0)),N427&lt;=INDEX(Sectorwise!F:F,MATCH(F427,Sectorwise!A:A,0))),1,0)</f>
        <v>1</v>
      </c>
      <c r="R427" s="76">
        <f>IF(N427&gt;INDEX(Sectorwise!F:F,MATCH(F427,Sectorwise!A:A,0)),1,0)</f>
        <v>0</v>
      </c>
      <c r="S427" s="27">
        <f t="shared" si="25"/>
        <v>0</v>
      </c>
      <c r="T427" s="27">
        <f t="shared" si="26"/>
        <v>10713</v>
      </c>
      <c r="U427" s="27">
        <f t="shared" si="27"/>
        <v>0</v>
      </c>
      <c r="V427" s="95">
        <f>IF(R427=1,(N427-INDEX(Sectorwise!F:F,MATCH(F427,Sectorwise!A:A,0))),0)</f>
        <v>0</v>
      </c>
      <c r="W427" s="97">
        <f>POISSON(N427,INDEX(Sectorwise!D:D,MATCH(Travel!F385,Sectorwise!A:A,0)),TRUE)</f>
        <v>1</v>
      </c>
    </row>
    <row r="428" spans="1:24" ht="15.75" hidden="1" customHeight="1" x14ac:dyDescent="0.2">
      <c r="A428" s="60" t="s">
        <v>1041</v>
      </c>
      <c r="B428" s="60" t="s">
        <v>1042</v>
      </c>
      <c r="C428" s="60"/>
      <c r="E428" s="33" t="s">
        <v>2291</v>
      </c>
      <c r="F428" s="21" t="s">
        <v>2147</v>
      </c>
      <c r="G428" s="56" t="s">
        <v>2309</v>
      </c>
      <c r="H428" s="60" t="s">
        <v>1043</v>
      </c>
      <c r="I428" s="60" t="s">
        <v>991</v>
      </c>
      <c r="J428" s="61">
        <v>7800</v>
      </c>
      <c r="K428" s="61">
        <v>4082</v>
      </c>
      <c r="L428" s="26">
        <f t="shared" si="24"/>
        <v>11882</v>
      </c>
      <c r="M428" s="26">
        <f t="array" ref="M428">MEDIAN(IF($F$3:$F$810=F428,$L$3:$L$810))</f>
        <v>10605</v>
      </c>
      <c r="N428" s="61">
        <v>11882</v>
      </c>
      <c r="O428" s="62">
        <v>0</v>
      </c>
      <c r="P428" s="76">
        <f>IF(N428&lt;INDEX(Sectorwise!E:E,MATCH(F428,Sectorwise!A:A,0)),1,0)</f>
        <v>0</v>
      </c>
      <c r="Q428" s="76">
        <f>IF(AND(N428&gt;=INDEX(Sectorwise!E:E,MATCH(F428,Sectorwise!A:A,0)),N428&lt;=INDEX(Sectorwise!F:F,MATCH(F428,Sectorwise!A:A,0))),1,0)</f>
        <v>0</v>
      </c>
      <c r="R428" s="76">
        <f>IF(N428&gt;INDEX(Sectorwise!F:F,MATCH(F428,Sectorwise!A:A,0)),1,0)</f>
        <v>1</v>
      </c>
      <c r="S428" s="27">
        <f t="shared" si="25"/>
        <v>0</v>
      </c>
      <c r="T428" s="27">
        <f t="shared" si="26"/>
        <v>0</v>
      </c>
      <c r="U428" s="27">
        <f t="shared" si="27"/>
        <v>11882</v>
      </c>
      <c r="V428" s="95">
        <f>IF(R428=1,(N428-INDEX(Sectorwise!F:F,MATCH(F428,Sectorwise!A:A,0))),0)</f>
        <v>182</v>
      </c>
      <c r="W428" s="97">
        <f>POISSON(N428,INDEX(Sectorwise!D:D,MATCH(Travel!F390,Sectorwise!A:A,0)),TRUE)</f>
        <v>1</v>
      </c>
    </row>
    <row r="429" spans="1:24" ht="15.75" hidden="1" customHeight="1" x14ac:dyDescent="0.2">
      <c r="A429" s="63" t="s">
        <v>1473</v>
      </c>
      <c r="B429" s="63" t="s">
        <v>1487</v>
      </c>
      <c r="C429" s="63"/>
      <c r="E429" s="33" t="s">
        <v>2291</v>
      </c>
      <c r="F429" s="21" t="s">
        <v>2142</v>
      </c>
      <c r="G429" s="69" t="s">
        <v>2308</v>
      </c>
      <c r="H429" s="63" t="s">
        <v>1489</v>
      </c>
      <c r="I429" s="63" t="s">
        <v>1483</v>
      </c>
      <c r="J429" s="65">
        <v>4310</v>
      </c>
      <c r="K429" s="65">
        <v>851</v>
      </c>
      <c r="L429" s="26">
        <f t="shared" si="24"/>
        <v>5161</v>
      </c>
      <c r="M429" s="26">
        <f t="array" ref="M429">MEDIAN(IF($F$3:$F$810=F429,$L$3:$L$810))</f>
        <v>5161</v>
      </c>
      <c r="N429" s="57">
        <f>J429+K429</f>
        <v>5161</v>
      </c>
      <c r="O429" s="62">
        <v>0</v>
      </c>
      <c r="P429" s="76">
        <f>IF(N429&lt;INDEX(Sectorwise!E:E,MATCH(F429,Sectorwise!A:A,0)),1,0)</f>
        <v>0</v>
      </c>
      <c r="Q429" s="76">
        <f>IF(AND(N429&gt;=INDEX(Sectorwise!E:E,MATCH(F429,Sectorwise!A:A,0)),N429&lt;=INDEX(Sectorwise!F:F,MATCH(F429,Sectorwise!A:A,0))),1,0)</f>
        <v>1</v>
      </c>
      <c r="R429" s="76">
        <f>IF(N429&gt;INDEX(Sectorwise!F:F,MATCH(F429,Sectorwise!A:A,0)),1,0)</f>
        <v>0</v>
      </c>
      <c r="S429" s="27">
        <f t="shared" si="25"/>
        <v>0</v>
      </c>
      <c r="T429" s="27">
        <f t="shared" si="26"/>
        <v>5161</v>
      </c>
      <c r="U429" s="27">
        <f t="shared" si="27"/>
        <v>0</v>
      </c>
      <c r="V429" s="95">
        <f>IF(R429=1,(N429-INDEX(Sectorwise!F:F,MATCH(F429,Sectorwise!A:A,0))),0)</f>
        <v>0</v>
      </c>
      <c r="W429" s="97">
        <f>POISSON(N429,INDEX(Sectorwise!D:D,MATCH(Travel!F561,Sectorwise!A:A,0)),TRUE)</f>
        <v>8.240719941437942E-169</v>
      </c>
    </row>
    <row r="430" spans="1:24" ht="15.75" hidden="1" customHeight="1" x14ac:dyDescent="0.2">
      <c r="A430" s="63" t="s">
        <v>1600</v>
      </c>
      <c r="B430" s="63" t="s">
        <v>1604</v>
      </c>
      <c r="C430" s="63"/>
      <c r="E430" s="33" t="s">
        <v>2291</v>
      </c>
      <c r="F430" s="21" t="s">
        <v>2142</v>
      </c>
      <c r="G430" s="69" t="s">
        <v>2308</v>
      </c>
      <c r="H430" s="63" t="s">
        <v>1606</v>
      </c>
      <c r="I430" s="63" t="s">
        <v>1486</v>
      </c>
      <c r="J430" s="65">
        <v>4310</v>
      </c>
      <c r="K430" s="65">
        <v>851</v>
      </c>
      <c r="L430" s="26">
        <f t="shared" si="24"/>
        <v>5161</v>
      </c>
      <c r="M430" s="26">
        <f t="array" ref="M430">MEDIAN(IF($F$3:$F$810=F430,$L$3:$L$810))</f>
        <v>5161</v>
      </c>
      <c r="N430" s="57">
        <f>J430+K430</f>
        <v>5161</v>
      </c>
      <c r="O430" s="62">
        <v>0</v>
      </c>
      <c r="P430" s="76">
        <f>IF(N430&lt;INDEX(Sectorwise!E:E,MATCH(F430,Sectorwise!A:A,0)),1,0)</f>
        <v>0</v>
      </c>
      <c r="Q430" s="76">
        <f>IF(AND(N430&gt;=INDEX(Sectorwise!E:E,MATCH(F430,Sectorwise!A:A,0)),N430&lt;=INDEX(Sectorwise!F:F,MATCH(F430,Sectorwise!A:A,0))),1,0)</f>
        <v>1</v>
      </c>
      <c r="R430" s="76">
        <f>IF(N430&gt;INDEX(Sectorwise!F:F,MATCH(F430,Sectorwise!A:A,0)),1,0)</f>
        <v>0</v>
      </c>
      <c r="S430" s="27">
        <f t="shared" si="25"/>
        <v>0</v>
      </c>
      <c r="T430" s="27">
        <f t="shared" si="26"/>
        <v>5161</v>
      </c>
      <c r="U430" s="27">
        <f t="shared" si="27"/>
        <v>0</v>
      </c>
      <c r="V430" s="95">
        <f>IF(R430=1,(N430-INDEX(Sectorwise!F:F,MATCH(F430,Sectorwise!A:A,0))),0)</f>
        <v>0</v>
      </c>
      <c r="W430" s="97">
        <f>POISSON(N430,INDEX(Sectorwise!D:D,MATCH(Travel!F612,Sectorwise!A:A,0)),TRUE)</f>
        <v>8.240719941437942E-169</v>
      </c>
    </row>
    <row r="431" spans="1:24" ht="15.75" hidden="1" customHeight="1" x14ac:dyDescent="0.2">
      <c r="A431" s="29" t="s">
        <v>2083</v>
      </c>
      <c r="B431" s="29" t="s">
        <v>2086</v>
      </c>
      <c r="C431" s="29"/>
      <c r="E431" s="33" t="s">
        <v>2291</v>
      </c>
      <c r="F431" s="21" t="s">
        <v>2142</v>
      </c>
      <c r="G431" s="69" t="s">
        <v>2308</v>
      </c>
      <c r="H431" s="29" t="s">
        <v>2087</v>
      </c>
      <c r="I431" s="29" t="s">
        <v>2088</v>
      </c>
      <c r="J431" s="65">
        <v>3915</v>
      </c>
      <c r="K431" s="65">
        <v>829</v>
      </c>
      <c r="L431" s="26">
        <f t="shared" si="24"/>
        <v>4744</v>
      </c>
      <c r="M431" s="26">
        <f t="array" ref="M431">MEDIAN(IF($F$3:$F$810=F431,$L$3:$L$810))</f>
        <v>5161</v>
      </c>
      <c r="N431" s="65">
        <v>4744</v>
      </c>
      <c r="O431" s="65" t="e">
        <f>N431-#REF!</f>
        <v>#REF!</v>
      </c>
      <c r="P431" s="76">
        <f>IF(N431&lt;INDEX(Sectorwise!E:E,MATCH(F431,Sectorwise!A:A,0)),1,0)</f>
        <v>0</v>
      </c>
      <c r="Q431" s="76">
        <f>IF(AND(N431&gt;=INDEX(Sectorwise!E:E,MATCH(F431,Sectorwise!A:A,0)),N431&lt;=INDEX(Sectorwise!F:F,MATCH(F431,Sectorwise!A:A,0))),1,0)</f>
        <v>1</v>
      </c>
      <c r="R431" s="76">
        <f>IF(N431&gt;INDEX(Sectorwise!F:F,MATCH(F431,Sectorwise!A:A,0)),1,0)</f>
        <v>0</v>
      </c>
      <c r="S431" s="27">
        <f t="shared" si="25"/>
        <v>0</v>
      </c>
      <c r="T431" s="27">
        <f t="shared" si="26"/>
        <v>4744</v>
      </c>
      <c r="U431" s="27">
        <f t="shared" si="27"/>
        <v>0</v>
      </c>
      <c r="V431" s="95">
        <f>IF(R431=1,(N431-INDEX(Sectorwise!F:F,MATCH(F431,Sectorwise!A:A,0))),0)</f>
        <v>0</v>
      </c>
      <c r="W431" s="97">
        <f>POISSON(N431,INDEX(Sectorwise!D:D,MATCH(Travel!F792,Sectorwise!A:A,0)),TRUE)</f>
        <v>1.2407357566724672E-214</v>
      </c>
    </row>
    <row r="432" spans="1:24" ht="15.75" hidden="1" customHeight="1" x14ac:dyDescent="0.2">
      <c r="A432" s="60" t="s">
        <v>877</v>
      </c>
      <c r="B432" s="60" t="s">
        <v>880</v>
      </c>
      <c r="C432" s="60"/>
      <c r="E432" s="33" t="s">
        <v>2291</v>
      </c>
      <c r="F432" s="33" t="s">
        <v>2208</v>
      </c>
      <c r="G432" s="69" t="s">
        <v>2308</v>
      </c>
      <c r="H432" s="60" t="s">
        <v>881</v>
      </c>
      <c r="I432" s="60" t="s">
        <v>882</v>
      </c>
      <c r="J432" s="61">
        <v>8670</v>
      </c>
      <c r="K432" s="61">
        <v>1927</v>
      </c>
      <c r="L432" s="26">
        <f t="shared" si="24"/>
        <v>10597</v>
      </c>
      <c r="M432" s="26">
        <f t="array" ref="M432">MEDIAN(IF($F$3:$F$810=F432,$L$3:$L$810))</f>
        <v>10597</v>
      </c>
      <c r="N432" s="61">
        <v>10597</v>
      </c>
      <c r="O432" s="62">
        <v>0</v>
      </c>
      <c r="P432" s="76">
        <f>IF(N432&lt;INDEX(Sectorwise!E:E,MATCH(F432,Sectorwise!A:A,0)),1,0)</f>
        <v>0</v>
      </c>
      <c r="Q432" s="76">
        <f>IF(AND(N432&gt;=INDEX(Sectorwise!E:E,MATCH(F432,Sectorwise!A:A,0)),N432&lt;=INDEX(Sectorwise!F:F,MATCH(F432,Sectorwise!A:A,0))),1,0)</f>
        <v>1</v>
      </c>
      <c r="R432" s="76">
        <f>IF(N432&gt;INDEX(Sectorwise!F:F,MATCH(F432,Sectorwise!A:A,0)),1,0)</f>
        <v>0</v>
      </c>
      <c r="S432" s="27">
        <f t="shared" si="25"/>
        <v>0</v>
      </c>
      <c r="T432" s="27">
        <f t="shared" si="26"/>
        <v>10597</v>
      </c>
      <c r="U432" s="27">
        <f t="shared" si="27"/>
        <v>0</v>
      </c>
      <c r="V432" s="95">
        <f>IF(R432=1,(N432-INDEX(Sectorwise!F:F,MATCH(F432,Sectorwise!A:A,0))),0)</f>
        <v>0</v>
      </c>
      <c r="W432" s="97">
        <f>POISSON(N432,INDEX(Sectorwise!D:D,MATCH(Travel!F332,Sectorwise!A:A,0)),TRUE)</f>
        <v>1</v>
      </c>
    </row>
    <row r="433" spans="1:24" ht="15.75" hidden="1" customHeight="1" x14ac:dyDescent="0.2">
      <c r="A433" s="63" t="s">
        <v>1460</v>
      </c>
      <c r="B433" s="63" t="s">
        <v>1461</v>
      </c>
      <c r="C433" s="63"/>
      <c r="E433" s="33" t="s">
        <v>2291</v>
      </c>
      <c r="F433" s="63" t="s">
        <v>2234</v>
      </c>
      <c r="G433" s="69" t="s">
        <v>2308</v>
      </c>
      <c r="H433" s="63" t="s">
        <v>1462</v>
      </c>
      <c r="I433" s="63" t="s">
        <v>1463</v>
      </c>
      <c r="J433" s="65">
        <v>18306</v>
      </c>
      <c r="K433" s="65">
        <v>1987</v>
      </c>
      <c r="L433" s="26">
        <f t="shared" si="24"/>
        <v>20293</v>
      </c>
      <c r="M433" s="26">
        <f t="array" ref="M433">MEDIAN(IF($F$3:$F$810=F433,$L$3:$L$810))</f>
        <v>20677</v>
      </c>
      <c r="N433" s="65">
        <v>20293</v>
      </c>
      <c r="O433" s="62">
        <v>0</v>
      </c>
      <c r="P433" s="76">
        <f>IF(N433&lt;INDEX(Sectorwise!E:E,MATCH(F433,Sectorwise!A:A,0)),1,0)</f>
        <v>0</v>
      </c>
      <c r="Q433" s="76">
        <f>IF(AND(N433&gt;=INDEX(Sectorwise!E:E,MATCH(F433,Sectorwise!A:A,0)),N433&lt;=INDEX(Sectorwise!F:F,MATCH(F433,Sectorwise!A:A,0))),1,0)</f>
        <v>1</v>
      </c>
      <c r="R433" s="76">
        <f>IF(N433&gt;INDEX(Sectorwise!F:F,MATCH(F433,Sectorwise!A:A,0)),1,0)</f>
        <v>0</v>
      </c>
      <c r="S433" s="27">
        <f t="shared" si="25"/>
        <v>0</v>
      </c>
      <c r="T433" s="27">
        <f t="shared" si="26"/>
        <v>20293</v>
      </c>
      <c r="U433" s="27">
        <f t="shared" si="27"/>
        <v>0</v>
      </c>
      <c r="V433" s="95">
        <f>IF(R433=1,(N433-INDEX(Sectorwise!F:F,MATCH(F433,Sectorwise!A:A,0))),0)</f>
        <v>0</v>
      </c>
      <c r="W433" s="97">
        <f>POISSON(N433,INDEX(Sectorwise!D:D,MATCH(Travel!F548,Sectorwise!A:A,0)),TRUE)</f>
        <v>1</v>
      </c>
    </row>
    <row r="434" spans="1:24" ht="15.75" hidden="1" customHeight="1" x14ac:dyDescent="0.2">
      <c r="A434" s="63" t="s">
        <v>1756</v>
      </c>
      <c r="B434" s="63" t="s">
        <v>1761</v>
      </c>
      <c r="C434" s="63"/>
      <c r="E434" s="33" t="s">
        <v>2291</v>
      </c>
      <c r="F434" s="21" t="s">
        <v>2192</v>
      </c>
      <c r="G434" s="69" t="s">
        <v>2308</v>
      </c>
      <c r="H434" s="63" t="s">
        <v>1762</v>
      </c>
      <c r="I434" s="63" t="s">
        <v>1763</v>
      </c>
      <c r="J434" s="65">
        <v>3870</v>
      </c>
      <c r="K434" s="65">
        <v>989</v>
      </c>
      <c r="L434" s="26">
        <f t="shared" si="24"/>
        <v>4859</v>
      </c>
      <c r="M434" s="26">
        <f t="array" ref="M434">MEDIAN(IF($F$3:$F$810=F434,$L$3:$L$810))</f>
        <v>3186</v>
      </c>
      <c r="N434" s="65">
        <v>4859</v>
      </c>
      <c r="O434" s="62">
        <v>0</v>
      </c>
      <c r="P434" s="76">
        <f>IF(N434&lt;INDEX(Sectorwise!E:E,MATCH(F434,Sectorwise!A:A,0)),1,0)</f>
        <v>0</v>
      </c>
      <c r="Q434" s="76">
        <f>IF(AND(N434&gt;=INDEX(Sectorwise!E:E,MATCH(F434,Sectorwise!A:A,0)),N434&lt;=INDEX(Sectorwise!F:F,MATCH(F434,Sectorwise!A:A,0))),1,0)</f>
        <v>0</v>
      </c>
      <c r="R434" s="76">
        <f>IF(N434&gt;INDEX(Sectorwise!F:F,MATCH(F434,Sectorwise!A:A,0)),1,0)</f>
        <v>1</v>
      </c>
      <c r="S434" s="27">
        <f t="shared" si="25"/>
        <v>0</v>
      </c>
      <c r="T434" s="27">
        <f t="shared" si="26"/>
        <v>0</v>
      </c>
      <c r="U434" s="27">
        <f t="shared" si="27"/>
        <v>4859</v>
      </c>
      <c r="V434" s="95">
        <f>IF(R434=1,(N434-INDEX(Sectorwise!F:F,MATCH(F434,Sectorwise!A:A,0))),0)</f>
        <v>1259</v>
      </c>
      <c r="W434" s="97">
        <f>POISSON(N434,INDEX(Sectorwise!D:D,MATCH(Travel!F667,Sectorwise!A:A,0)),TRUE)</f>
        <v>0</v>
      </c>
    </row>
    <row r="435" spans="1:24" ht="15.75" hidden="1" customHeight="1" x14ac:dyDescent="0.2">
      <c r="A435" s="33" t="s">
        <v>421</v>
      </c>
      <c r="B435" s="33" t="s">
        <v>427</v>
      </c>
      <c r="C435" s="34" t="s">
        <v>428</v>
      </c>
      <c r="D435" s="35"/>
      <c r="E435" s="33" t="s">
        <v>2291</v>
      </c>
      <c r="F435" s="21" t="s">
        <v>2135</v>
      </c>
      <c r="G435" s="69" t="s">
        <v>2308</v>
      </c>
      <c r="H435" s="33" t="s">
        <v>429</v>
      </c>
      <c r="I435" s="33" t="s">
        <v>426</v>
      </c>
      <c r="J435" s="36">
        <v>5924</v>
      </c>
      <c r="K435" s="36">
        <v>1024</v>
      </c>
      <c r="L435" s="26">
        <f t="shared" si="24"/>
        <v>6948</v>
      </c>
      <c r="M435" s="26">
        <f t="array" ref="M435">MEDIAN(IF($F$3:$F$810=F435,$L$3:$L$810))</f>
        <v>7234</v>
      </c>
      <c r="N435" s="47">
        <f>+J435+K435</f>
        <v>6948</v>
      </c>
      <c r="O435" s="50">
        <v>6848</v>
      </c>
      <c r="P435" s="76">
        <f>IF(N435&lt;INDEX(Sectorwise!E:E,MATCH(F435,Sectorwise!A:A,0)),1,0)</f>
        <v>0</v>
      </c>
      <c r="Q435" s="76">
        <f>IF(AND(N435&gt;=INDEX(Sectorwise!E:E,MATCH(F435,Sectorwise!A:A,0)),N435&lt;=INDEX(Sectorwise!F:F,MATCH(F435,Sectorwise!A:A,0))),1,0)</f>
        <v>1</v>
      </c>
      <c r="R435" s="76">
        <f>IF(N435&gt;INDEX(Sectorwise!F:F,MATCH(F435,Sectorwise!A:A,0)),1,0)</f>
        <v>0</v>
      </c>
      <c r="S435" s="27">
        <f t="shared" si="25"/>
        <v>0</v>
      </c>
      <c r="T435" s="27">
        <f t="shared" si="26"/>
        <v>6948</v>
      </c>
      <c r="U435" s="27">
        <f t="shared" si="27"/>
        <v>0</v>
      </c>
      <c r="V435" s="95">
        <f>IF(R435=1,(N435-INDEX(Sectorwise!F:F,MATCH(F435,Sectorwise!A:A,0))),0)</f>
        <v>0</v>
      </c>
      <c r="W435" s="97">
        <f>POISSON(N435,INDEX(Sectorwise!D:D,MATCH(Travel!F161,Sectorwise!A:A,0)),TRUE)</f>
        <v>3.6612336284772316E-4</v>
      </c>
    </row>
    <row r="436" spans="1:24" ht="15.75" hidden="1" customHeight="1" x14ac:dyDescent="0.2">
      <c r="A436" s="33" t="s">
        <v>430</v>
      </c>
      <c r="B436" s="33" t="s">
        <v>436</v>
      </c>
      <c r="C436" s="40"/>
      <c r="D436" s="35"/>
      <c r="E436" s="33" t="s">
        <v>2291</v>
      </c>
      <c r="F436" s="21" t="s">
        <v>2135</v>
      </c>
      <c r="G436" s="69" t="s">
        <v>2308</v>
      </c>
      <c r="H436" s="33" t="s">
        <v>437</v>
      </c>
      <c r="I436" s="33" t="s">
        <v>426</v>
      </c>
      <c r="J436" s="36">
        <v>5924</v>
      </c>
      <c r="K436" s="36">
        <v>1024</v>
      </c>
      <c r="L436" s="26">
        <f t="shared" si="24"/>
        <v>6948</v>
      </c>
      <c r="M436" s="26">
        <f t="array" ref="M436">MEDIAN(IF($F$3:$F$810=F436,$L$3:$L$810))</f>
        <v>7234</v>
      </c>
      <c r="N436" s="47">
        <f>+J436+K436</f>
        <v>6948</v>
      </c>
      <c r="O436" s="27"/>
      <c r="P436" s="76">
        <f>IF(N436&lt;INDEX(Sectorwise!E:E,MATCH(F436,Sectorwise!A:A,0)),1,0)</f>
        <v>0</v>
      </c>
      <c r="Q436" s="76">
        <f>IF(AND(N436&gt;=INDEX(Sectorwise!E:E,MATCH(F436,Sectorwise!A:A,0)),N436&lt;=INDEX(Sectorwise!F:F,MATCH(F436,Sectorwise!A:A,0))),1,0)</f>
        <v>1</v>
      </c>
      <c r="R436" s="76">
        <f>IF(N436&gt;INDEX(Sectorwise!F:F,MATCH(F436,Sectorwise!A:A,0)),1,0)</f>
        <v>0</v>
      </c>
      <c r="S436" s="27">
        <f t="shared" si="25"/>
        <v>0</v>
      </c>
      <c r="T436" s="27">
        <f t="shared" si="26"/>
        <v>6948</v>
      </c>
      <c r="U436" s="27">
        <f t="shared" si="27"/>
        <v>0</v>
      </c>
      <c r="V436" s="95">
        <f>IF(R436=1,(N436-INDEX(Sectorwise!F:F,MATCH(F436,Sectorwise!A:A,0))),0)</f>
        <v>0</v>
      </c>
      <c r="W436" s="97">
        <f>POISSON(N436,INDEX(Sectorwise!D:D,MATCH(Travel!F164,Sectorwise!A:A,0)),TRUE)</f>
        <v>0</v>
      </c>
    </row>
    <row r="437" spans="1:24" ht="15.75" hidden="1" customHeight="1" x14ac:dyDescent="0.2">
      <c r="A437" s="60" t="s">
        <v>1311</v>
      </c>
      <c r="B437" s="60" t="s">
        <v>1312</v>
      </c>
      <c r="C437" s="60"/>
      <c r="E437" s="33" t="s">
        <v>2291</v>
      </c>
      <c r="F437" s="21" t="s">
        <v>2135</v>
      </c>
      <c r="G437" s="56" t="s">
        <v>2309</v>
      </c>
      <c r="H437" s="60" t="s">
        <v>1315</v>
      </c>
      <c r="I437" s="60" t="s">
        <v>1316</v>
      </c>
      <c r="J437" s="61">
        <v>3500</v>
      </c>
      <c r="K437" s="61">
        <v>1834</v>
      </c>
      <c r="L437" s="26">
        <f t="shared" si="24"/>
        <v>5334</v>
      </c>
      <c r="M437" s="26">
        <f t="array" ref="M437">MEDIAN(IF($F$3:$F$810=F437,$L$3:$L$810))</f>
        <v>7234</v>
      </c>
      <c r="N437" s="57">
        <f>J437+K437</f>
        <v>5334</v>
      </c>
      <c r="O437" s="62">
        <v>0</v>
      </c>
      <c r="P437" s="76">
        <f>IF(N437&lt;INDEX(Sectorwise!E:E,MATCH(F437,Sectorwise!A:A,0)),1,0)</f>
        <v>1</v>
      </c>
      <c r="Q437" s="76">
        <f>IF(AND(N437&gt;=INDEX(Sectorwise!E:E,MATCH(F437,Sectorwise!A:A,0)),N437&lt;=INDEX(Sectorwise!F:F,MATCH(F437,Sectorwise!A:A,0))),1,0)</f>
        <v>0</v>
      </c>
      <c r="R437" s="76">
        <f>IF(N437&gt;INDEX(Sectorwise!F:F,MATCH(F437,Sectorwise!A:A,0)),1,0)</f>
        <v>0</v>
      </c>
      <c r="S437" s="27">
        <f t="shared" si="25"/>
        <v>5334</v>
      </c>
      <c r="T437" s="27">
        <f t="shared" si="26"/>
        <v>0</v>
      </c>
      <c r="U437" s="27">
        <f t="shared" si="27"/>
        <v>0</v>
      </c>
      <c r="V437" s="95">
        <f>IF(R437=1,(N437-INDEX(Sectorwise!F:F,MATCH(F437,Sectorwise!A:A,0))),0)</f>
        <v>0</v>
      </c>
      <c r="W437" s="97">
        <f>POISSON(N437,INDEX(Sectorwise!D:D,MATCH(Travel!F492,Sectorwise!A:A,0)),TRUE)</f>
        <v>1</v>
      </c>
    </row>
    <row r="438" spans="1:24" ht="15.75" hidden="1" customHeight="1" x14ac:dyDescent="0.2">
      <c r="A438" s="63" t="s">
        <v>1837</v>
      </c>
      <c r="B438" s="63" t="s">
        <v>1843</v>
      </c>
      <c r="C438" s="63"/>
      <c r="E438" s="33" t="s">
        <v>2291</v>
      </c>
      <c r="F438" s="21" t="s">
        <v>2135</v>
      </c>
      <c r="G438" s="69" t="s">
        <v>2308</v>
      </c>
      <c r="H438" s="63" t="s">
        <v>1844</v>
      </c>
      <c r="I438" s="63" t="s">
        <v>1827</v>
      </c>
      <c r="J438" s="65">
        <v>5816</v>
      </c>
      <c r="K438" s="65">
        <v>1139</v>
      </c>
      <c r="L438" s="26">
        <f t="shared" si="24"/>
        <v>6955</v>
      </c>
      <c r="M438" s="26">
        <f t="array" ref="M438">MEDIAN(IF($F$3:$F$810=F438,$L$3:$L$810))</f>
        <v>7234</v>
      </c>
      <c r="N438" s="57">
        <f>J438+K438</f>
        <v>6955</v>
      </c>
      <c r="O438" s="62">
        <v>0</v>
      </c>
      <c r="P438" s="76">
        <f>IF(N438&lt;INDEX(Sectorwise!E:E,MATCH(F438,Sectorwise!A:A,0)),1,0)</f>
        <v>0</v>
      </c>
      <c r="Q438" s="76">
        <f>IF(AND(N438&gt;=INDEX(Sectorwise!E:E,MATCH(F438,Sectorwise!A:A,0)),N438&lt;=INDEX(Sectorwise!F:F,MATCH(F438,Sectorwise!A:A,0))),1,0)</f>
        <v>1</v>
      </c>
      <c r="R438" s="76">
        <f>IF(N438&gt;INDEX(Sectorwise!F:F,MATCH(F438,Sectorwise!A:A,0)),1,0)</f>
        <v>0</v>
      </c>
      <c r="S438" s="27">
        <f t="shared" si="25"/>
        <v>0</v>
      </c>
      <c r="T438" s="27">
        <f t="shared" si="26"/>
        <v>6955</v>
      </c>
      <c r="U438" s="27">
        <f t="shared" si="27"/>
        <v>0</v>
      </c>
      <c r="V438" s="95">
        <f>IF(R438=1,(N438-INDEX(Sectorwise!F:F,MATCH(F438,Sectorwise!A:A,0))),0)</f>
        <v>0</v>
      </c>
      <c r="W438" s="97">
        <f>POISSON(N438,INDEX(Sectorwise!D:D,MATCH(Travel!F699,Sectorwise!A:A,0)),TRUE)</f>
        <v>0</v>
      </c>
    </row>
    <row r="439" spans="1:24" ht="15.75" hidden="1" customHeight="1" x14ac:dyDescent="0.2">
      <c r="A439" s="29" t="s">
        <v>2083</v>
      </c>
      <c r="B439" s="29" t="s">
        <v>2095</v>
      </c>
      <c r="C439" s="29"/>
      <c r="E439" s="33" t="s">
        <v>2291</v>
      </c>
      <c r="F439" s="21" t="s">
        <v>2135</v>
      </c>
      <c r="G439" s="56" t="s">
        <v>2309</v>
      </c>
      <c r="H439" s="29" t="s">
        <v>2096</v>
      </c>
      <c r="I439" s="29" t="s">
        <v>2097</v>
      </c>
      <c r="J439" s="65">
        <v>6950</v>
      </c>
      <c r="K439" s="65">
        <v>2026</v>
      </c>
      <c r="L439" s="26">
        <f t="shared" si="24"/>
        <v>8976</v>
      </c>
      <c r="M439" s="26">
        <f t="array" ref="M439">MEDIAN(IF($F$3:$F$810=F439,$L$3:$L$810))</f>
        <v>7234</v>
      </c>
      <c r="N439" s="65">
        <v>8976</v>
      </c>
      <c r="O439" s="65" t="e">
        <f>N439-#REF!</f>
        <v>#REF!</v>
      </c>
      <c r="P439" s="76">
        <f>IF(N439&lt;INDEX(Sectorwise!E:E,MATCH(F439,Sectorwise!A:A,0)),1,0)</f>
        <v>0</v>
      </c>
      <c r="Q439" s="76">
        <f>IF(AND(N439&gt;=INDEX(Sectorwise!E:E,MATCH(F439,Sectorwise!A:A,0)),N439&lt;=INDEX(Sectorwise!F:F,MATCH(F439,Sectorwise!A:A,0))),1,0)</f>
        <v>0</v>
      </c>
      <c r="R439" s="76">
        <f>IF(N439&gt;INDEX(Sectorwise!F:F,MATCH(F439,Sectorwise!A:A,0)),1,0)</f>
        <v>1</v>
      </c>
      <c r="S439" s="27">
        <f t="shared" si="25"/>
        <v>0</v>
      </c>
      <c r="T439" s="27">
        <f t="shared" si="26"/>
        <v>0</v>
      </c>
      <c r="U439" s="27">
        <f t="shared" si="27"/>
        <v>8976</v>
      </c>
      <c r="V439" s="95">
        <f>IF(R439=1,(N439-INDEX(Sectorwise!F:F,MATCH(F439,Sectorwise!A:A,0))),0)</f>
        <v>976</v>
      </c>
      <c r="W439" s="97">
        <f>POISSON(N439,INDEX(Sectorwise!D:D,MATCH(Travel!F796,Sectorwise!A:A,0)),TRUE)</f>
        <v>0</v>
      </c>
    </row>
    <row r="440" spans="1:24" ht="15.75" hidden="1" customHeight="1" x14ac:dyDescent="0.2">
      <c r="A440" s="60" t="s">
        <v>1041</v>
      </c>
      <c r="B440" s="60" t="s">
        <v>1047</v>
      </c>
      <c r="C440" s="60"/>
      <c r="E440" s="33" t="s">
        <v>2291</v>
      </c>
      <c r="F440" s="21" t="s">
        <v>2151</v>
      </c>
      <c r="G440" s="69" t="s">
        <v>2308</v>
      </c>
      <c r="H440" s="60" t="s">
        <v>1048</v>
      </c>
      <c r="I440" s="60" t="s">
        <v>1038</v>
      </c>
      <c r="J440" s="61">
        <v>8449</v>
      </c>
      <c r="K440" s="61">
        <v>1630</v>
      </c>
      <c r="L440" s="26">
        <f t="shared" si="24"/>
        <v>10079</v>
      </c>
      <c r="M440" s="26">
        <f t="array" ref="M440">MEDIAN(IF($F$3:$F$810=F440,$L$3:$L$810))</f>
        <v>10079</v>
      </c>
      <c r="N440" s="61">
        <v>10079</v>
      </c>
      <c r="O440" s="62">
        <v>0</v>
      </c>
      <c r="P440" s="76">
        <f>IF(N440&lt;INDEX(Sectorwise!E:E,MATCH(F440,Sectorwise!A:A,0)),1,0)</f>
        <v>0</v>
      </c>
      <c r="Q440" s="76">
        <f>IF(AND(N440&gt;=INDEX(Sectorwise!E:E,MATCH(F440,Sectorwise!A:A,0)),N440&lt;=INDEX(Sectorwise!F:F,MATCH(F440,Sectorwise!A:A,0))),1,0)</f>
        <v>1</v>
      </c>
      <c r="R440" s="76">
        <f>IF(N440&gt;INDEX(Sectorwise!F:F,MATCH(F440,Sectorwise!A:A,0)),1,0)</f>
        <v>0</v>
      </c>
      <c r="S440" s="27">
        <f t="shared" si="25"/>
        <v>0</v>
      </c>
      <c r="T440" s="27">
        <f t="shared" si="26"/>
        <v>10079</v>
      </c>
      <c r="U440" s="27">
        <f t="shared" si="27"/>
        <v>0</v>
      </c>
      <c r="V440" s="95">
        <f>IF(R440=1,(N440-INDEX(Sectorwise!F:F,MATCH(F440,Sectorwise!A:A,0))),0)</f>
        <v>0</v>
      </c>
      <c r="W440" s="97">
        <f>POISSON(N440,INDEX(Sectorwise!D:D,MATCH(Travel!F393,Sectorwise!A:A,0)),TRUE)</f>
        <v>1</v>
      </c>
    </row>
    <row r="441" spans="1:24" ht="15.75" hidden="1" customHeight="1" x14ac:dyDescent="0.2">
      <c r="A441" s="33" t="s">
        <v>257</v>
      </c>
      <c r="B441" s="33" t="s">
        <v>261</v>
      </c>
      <c r="C441" s="40"/>
      <c r="D441" s="35"/>
      <c r="E441" s="33" t="s">
        <v>2291</v>
      </c>
      <c r="F441" s="21" t="s">
        <v>2149</v>
      </c>
      <c r="G441" s="69" t="s">
        <v>2308</v>
      </c>
      <c r="H441" s="33" t="s">
        <v>262</v>
      </c>
      <c r="I441" s="33" t="s">
        <v>243</v>
      </c>
      <c r="J441" s="36">
        <v>8306</v>
      </c>
      <c r="K441" s="36">
        <v>1398</v>
      </c>
      <c r="L441" s="26">
        <f t="shared" si="24"/>
        <v>9704</v>
      </c>
      <c r="M441" s="26">
        <f t="array" ref="M441">MEDIAN(IF($F$3:$F$810=F441,$L$3:$L$810))</f>
        <v>10332</v>
      </c>
      <c r="N441" s="41">
        <v>9704</v>
      </c>
      <c r="O441" s="38"/>
      <c r="P441" s="76">
        <f>IF(N441&lt;INDEX(Sectorwise!E:E,MATCH(F441,Sectorwise!A:A,0)),1,0)</f>
        <v>0</v>
      </c>
      <c r="Q441" s="76">
        <f>IF(AND(N441&gt;=INDEX(Sectorwise!E:E,MATCH(F441,Sectorwise!A:A,0)),N441&lt;=INDEX(Sectorwise!F:F,MATCH(F441,Sectorwise!A:A,0))),1,0)</f>
        <v>1</v>
      </c>
      <c r="R441" s="76">
        <f>IF(N441&gt;INDEX(Sectorwise!F:F,MATCH(F441,Sectorwise!A:A,0)),1,0)</f>
        <v>0</v>
      </c>
      <c r="S441" s="27">
        <f t="shared" si="25"/>
        <v>0</v>
      </c>
      <c r="T441" s="27">
        <f t="shared" si="26"/>
        <v>9704</v>
      </c>
      <c r="U441" s="27">
        <f t="shared" si="27"/>
        <v>0</v>
      </c>
      <c r="V441" s="95">
        <f>IF(R441=1,(N441-INDEX(Sectorwise!F:F,MATCH(F441,Sectorwise!A:A,0))),0)</f>
        <v>0</v>
      </c>
      <c r="W441" s="97">
        <f>POISSON(N441,INDEX(Sectorwise!D:D,MATCH(Travel!F98,Sectorwise!A:A,0)),TRUE)</f>
        <v>0</v>
      </c>
      <c r="X441" s="39">
        <f>+N441-O441</f>
        <v>9704</v>
      </c>
    </row>
    <row r="442" spans="1:24" ht="15.75" hidden="1" customHeight="1" x14ac:dyDescent="0.2">
      <c r="A442" s="21" t="s">
        <v>567</v>
      </c>
      <c r="B442" s="21" t="s">
        <v>568</v>
      </c>
      <c r="C442" s="22"/>
      <c r="E442" s="33" t="s">
        <v>2291</v>
      </c>
      <c r="F442" s="21" t="s">
        <v>2149</v>
      </c>
      <c r="G442" s="63" t="s">
        <v>2312</v>
      </c>
      <c r="H442" s="21" t="s">
        <v>569</v>
      </c>
      <c r="I442" s="21" t="s">
        <v>570</v>
      </c>
      <c r="J442" s="25">
        <v>2550</v>
      </c>
      <c r="K442" s="25">
        <v>4386</v>
      </c>
      <c r="L442" s="26">
        <f t="shared" si="24"/>
        <v>6936</v>
      </c>
      <c r="M442" s="26">
        <f t="array" ref="M442">MEDIAN(IF($F$3:$F$810=F442,$L$3:$L$810))</f>
        <v>10332</v>
      </c>
      <c r="N442" s="47">
        <v>6936</v>
      </c>
      <c r="O442" s="55"/>
      <c r="P442" s="76">
        <f>IF(N442&lt;INDEX(Sectorwise!E:E,MATCH(F442,Sectorwise!A:A,0)),1,0)</f>
        <v>1</v>
      </c>
      <c r="Q442" s="76">
        <f>IF(AND(N442&gt;=INDEX(Sectorwise!E:E,MATCH(F442,Sectorwise!A:A,0)),N442&lt;=INDEX(Sectorwise!F:F,MATCH(F442,Sectorwise!A:A,0))),1,0)</f>
        <v>0</v>
      </c>
      <c r="R442" s="76">
        <f>IF(N442&gt;INDEX(Sectorwise!F:F,MATCH(F442,Sectorwise!A:A,0)),1,0)</f>
        <v>0</v>
      </c>
      <c r="S442" s="27">
        <f t="shared" si="25"/>
        <v>6936</v>
      </c>
      <c r="T442" s="27">
        <f t="shared" si="26"/>
        <v>0</v>
      </c>
      <c r="U442" s="27">
        <f t="shared" si="27"/>
        <v>0</v>
      </c>
      <c r="V442" s="95">
        <f>IF(R442=1,(N442-INDEX(Sectorwise!F:F,MATCH(F442,Sectorwise!A:A,0))),0)</f>
        <v>0</v>
      </c>
      <c r="W442" s="97">
        <f>POISSON(N442,INDEX(Sectorwise!D:D,MATCH(Travel!F214,Sectorwise!A:A,0)),TRUE)</f>
        <v>1.1513004637350088E-8</v>
      </c>
    </row>
    <row r="443" spans="1:24" ht="15.75" hidden="1" customHeight="1" x14ac:dyDescent="0.2">
      <c r="A443" s="60" t="s">
        <v>1041</v>
      </c>
      <c r="B443" s="60" t="s">
        <v>1045</v>
      </c>
      <c r="C443" s="60"/>
      <c r="E443" s="33" t="s">
        <v>2291</v>
      </c>
      <c r="F443" s="21" t="s">
        <v>2153</v>
      </c>
      <c r="G443" s="56" t="s">
        <v>2309</v>
      </c>
      <c r="H443" s="60" t="s">
        <v>1046</v>
      </c>
      <c r="I443" s="60" t="s">
        <v>1038</v>
      </c>
      <c r="J443" s="61">
        <v>7600</v>
      </c>
      <c r="K443" s="61">
        <v>3197</v>
      </c>
      <c r="L443" s="26">
        <f t="shared" si="24"/>
        <v>10797</v>
      </c>
      <c r="M443" s="26">
        <f t="array" ref="M443">MEDIAN(IF($F$3:$F$810=F443,$L$3:$L$810))</f>
        <v>9855</v>
      </c>
      <c r="N443" s="61">
        <v>10797</v>
      </c>
      <c r="O443" s="62">
        <v>0</v>
      </c>
      <c r="P443" s="76">
        <f>IF(N443&lt;INDEX(Sectorwise!E:E,MATCH(F443,Sectorwise!A:A,0)),1,0)</f>
        <v>0</v>
      </c>
      <c r="Q443" s="76">
        <f>IF(AND(N443&gt;=INDEX(Sectorwise!E:E,MATCH(F443,Sectorwise!A:A,0)),N443&lt;=INDEX(Sectorwise!F:F,MATCH(F443,Sectorwise!A:A,0))),1,0)</f>
        <v>1</v>
      </c>
      <c r="R443" s="76">
        <f>IF(N443&gt;INDEX(Sectorwise!F:F,MATCH(F443,Sectorwise!A:A,0)),1,0)</f>
        <v>0</v>
      </c>
      <c r="S443" s="27">
        <f t="shared" si="25"/>
        <v>0</v>
      </c>
      <c r="T443" s="27">
        <f t="shared" si="26"/>
        <v>10797</v>
      </c>
      <c r="U443" s="27">
        <f t="shared" si="27"/>
        <v>0</v>
      </c>
      <c r="V443" s="95">
        <f>IF(R443=1,(N443-INDEX(Sectorwise!F:F,MATCH(F443,Sectorwise!A:A,0))),0)</f>
        <v>0</v>
      </c>
      <c r="W443" s="97">
        <f>POISSON(N443,INDEX(Sectorwise!D:D,MATCH(Travel!F392,Sectorwise!A:A,0)),TRUE)</f>
        <v>1</v>
      </c>
    </row>
    <row r="444" spans="1:24" ht="15.75" hidden="1" customHeight="1" x14ac:dyDescent="0.2">
      <c r="A444" s="63" t="s">
        <v>1473</v>
      </c>
      <c r="B444" s="63" t="s">
        <v>1480</v>
      </c>
      <c r="C444" s="63"/>
      <c r="E444" s="33" t="s">
        <v>2291</v>
      </c>
      <c r="F444" s="21" t="s">
        <v>2152</v>
      </c>
      <c r="G444" s="69" t="s">
        <v>2308</v>
      </c>
      <c r="H444" s="63" t="s">
        <v>1482</v>
      </c>
      <c r="I444" s="63" t="s">
        <v>1483</v>
      </c>
      <c r="J444" s="65">
        <v>4360</v>
      </c>
      <c r="K444" s="65">
        <v>1078</v>
      </c>
      <c r="L444" s="26">
        <f t="shared" si="24"/>
        <v>5438</v>
      </c>
      <c r="M444" s="26">
        <f t="array" ref="M444">MEDIAN(IF($F$3:$F$810=F444,$L$3:$L$810))</f>
        <v>5438</v>
      </c>
      <c r="N444" s="57">
        <f>J444+K444</f>
        <v>5438</v>
      </c>
      <c r="O444" s="62">
        <v>0</v>
      </c>
      <c r="P444" s="76">
        <f>IF(N444&lt;INDEX(Sectorwise!E:E,MATCH(F444,Sectorwise!A:A,0)),1,0)</f>
        <v>0</v>
      </c>
      <c r="Q444" s="76">
        <f>IF(AND(N444&gt;=INDEX(Sectorwise!E:E,MATCH(F444,Sectorwise!A:A,0)),N444&lt;=INDEX(Sectorwise!F:F,MATCH(F444,Sectorwise!A:A,0))),1,0)</f>
        <v>1</v>
      </c>
      <c r="R444" s="76">
        <f>IF(N444&gt;INDEX(Sectorwise!F:F,MATCH(F444,Sectorwise!A:A,0)),1,0)</f>
        <v>0</v>
      </c>
      <c r="S444" s="27">
        <f t="shared" si="25"/>
        <v>0</v>
      </c>
      <c r="T444" s="27">
        <f t="shared" si="26"/>
        <v>5438</v>
      </c>
      <c r="U444" s="27">
        <f t="shared" si="27"/>
        <v>0</v>
      </c>
      <c r="V444" s="95">
        <f>IF(R444=1,(N444-INDEX(Sectorwise!F:F,MATCH(F444,Sectorwise!A:A,0))),0)</f>
        <v>0</v>
      </c>
      <c r="W444" s="97">
        <f>POISSON(N444,INDEX(Sectorwise!D:D,MATCH(Travel!F556,Sectorwise!A:A,0)),TRUE)</f>
        <v>0</v>
      </c>
    </row>
    <row r="445" spans="1:24" ht="15.75" hidden="1" customHeight="1" x14ac:dyDescent="0.2">
      <c r="A445" s="63" t="s">
        <v>1600</v>
      </c>
      <c r="B445" s="63" t="s">
        <v>1601</v>
      </c>
      <c r="C445" s="63"/>
      <c r="E445" s="33" t="s">
        <v>2291</v>
      </c>
      <c r="F445" s="21" t="s">
        <v>2152</v>
      </c>
      <c r="G445" s="69" t="s">
        <v>2308</v>
      </c>
      <c r="H445" s="63" t="s">
        <v>1603</v>
      </c>
      <c r="I445" s="63" t="s">
        <v>1483</v>
      </c>
      <c r="J445" s="65">
        <v>4360</v>
      </c>
      <c r="K445" s="65">
        <v>1078</v>
      </c>
      <c r="L445" s="26">
        <f t="shared" si="24"/>
        <v>5438</v>
      </c>
      <c r="M445" s="26">
        <f t="array" ref="M445">MEDIAN(IF($F$3:$F$810=F445,$L$3:$L$810))</f>
        <v>5438</v>
      </c>
      <c r="N445" s="57">
        <f>J445+K445</f>
        <v>5438</v>
      </c>
      <c r="O445" s="62">
        <v>0</v>
      </c>
      <c r="P445" s="76">
        <f>IF(N445&lt;INDEX(Sectorwise!E:E,MATCH(F445,Sectorwise!A:A,0)),1,0)</f>
        <v>0</v>
      </c>
      <c r="Q445" s="76">
        <f>IF(AND(N445&gt;=INDEX(Sectorwise!E:E,MATCH(F445,Sectorwise!A:A,0)),N445&lt;=INDEX(Sectorwise!F:F,MATCH(F445,Sectorwise!A:A,0))),1,0)</f>
        <v>1</v>
      </c>
      <c r="R445" s="76">
        <f>IF(N445&gt;INDEX(Sectorwise!F:F,MATCH(F445,Sectorwise!A:A,0)),1,0)</f>
        <v>0</v>
      </c>
      <c r="S445" s="27">
        <f t="shared" si="25"/>
        <v>0</v>
      </c>
      <c r="T445" s="27">
        <f t="shared" si="26"/>
        <v>5438</v>
      </c>
      <c r="U445" s="27">
        <f t="shared" si="27"/>
        <v>0</v>
      </c>
      <c r="V445" s="95">
        <f>IF(R445=1,(N445-INDEX(Sectorwise!F:F,MATCH(F445,Sectorwise!A:A,0))),0)</f>
        <v>0</v>
      </c>
      <c r="W445" s="97">
        <f>POISSON(N445,INDEX(Sectorwise!D:D,MATCH(Travel!F609,Sectorwise!A:A,0)),TRUE)</f>
        <v>0</v>
      </c>
    </row>
    <row r="446" spans="1:24" ht="15.75" hidden="1" customHeight="1" x14ac:dyDescent="0.2">
      <c r="A446" s="29" t="s">
        <v>2098</v>
      </c>
      <c r="B446" s="29" t="s">
        <v>2099</v>
      </c>
      <c r="C446" s="29"/>
      <c r="E446" s="33" t="s">
        <v>2291</v>
      </c>
      <c r="F446" s="33" t="s">
        <v>2191</v>
      </c>
      <c r="G446" s="56" t="s">
        <v>2309</v>
      </c>
      <c r="H446" s="29" t="s">
        <v>2100</v>
      </c>
      <c r="I446" s="29" t="s">
        <v>2097</v>
      </c>
      <c r="J446" s="65">
        <v>4300</v>
      </c>
      <c r="K446" s="65">
        <v>1705</v>
      </c>
      <c r="L446" s="26">
        <f t="shared" si="24"/>
        <v>6005</v>
      </c>
      <c r="M446" s="26">
        <f t="array" ref="M446">MEDIAN(IF($F$3:$F$810=F446,$L$3:$L$810))</f>
        <v>5519</v>
      </c>
      <c r="N446" s="65">
        <v>6005</v>
      </c>
      <c r="O446" s="65" t="e">
        <f>N446-#REF!</f>
        <v>#REF!</v>
      </c>
      <c r="P446" s="76">
        <f>IF(N446&lt;INDEX(Sectorwise!E:E,MATCH(F446,Sectorwise!A:A,0)),1,0)</f>
        <v>0</v>
      </c>
      <c r="Q446" s="76">
        <f>IF(AND(N446&gt;=INDEX(Sectorwise!E:E,MATCH(F446,Sectorwise!A:A,0)),N446&lt;=INDEX(Sectorwise!F:F,MATCH(F446,Sectorwise!A:A,0))),1,0)</f>
        <v>1</v>
      </c>
      <c r="R446" s="76">
        <f>IF(N446&gt;INDEX(Sectorwise!F:F,MATCH(F446,Sectorwise!A:A,0)),1,0)</f>
        <v>0</v>
      </c>
      <c r="S446" s="27">
        <f t="shared" si="25"/>
        <v>0</v>
      </c>
      <c r="T446" s="27">
        <f t="shared" si="26"/>
        <v>6005</v>
      </c>
      <c r="U446" s="27">
        <f t="shared" si="27"/>
        <v>0</v>
      </c>
      <c r="V446" s="95">
        <f>IF(R446=1,(N446-INDEX(Sectorwise!F:F,MATCH(F446,Sectorwise!A:A,0))),0)</f>
        <v>0</v>
      </c>
      <c r="W446" s="97">
        <f>POISSON(N446,INDEX(Sectorwise!D:D,MATCH(Travel!F797,Sectorwise!A:A,0)),TRUE)</f>
        <v>0</v>
      </c>
    </row>
    <row r="447" spans="1:24" ht="15.75" hidden="1" customHeight="1" x14ac:dyDescent="0.2">
      <c r="A447" s="63" t="s">
        <v>1713</v>
      </c>
      <c r="B447" s="63" t="s">
        <v>1714</v>
      </c>
      <c r="C447" s="63"/>
      <c r="E447" s="63" t="s">
        <v>1745</v>
      </c>
      <c r="F447" s="63" t="s">
        <v>2139</v>
      </c>
      <c r="G447" s="63" t="s">
        <v>2315</v>
      </c>
      <c r="H447" s="63" t="s">
        <v>1715</v>
      </c>
      <c r="I447" s="63" t="s">
        <v>1716</v>
      </c>
      <c r="J447" s="65">
        <v>21845</v>
      </c>
      <c r="K447" s="65">
        <v>25990</v>
      </c>
      <c r="L447" s="26">
        <f t="shared" si="24"/>
        <v>47835</v>
      </c>
      <c r="M447" s="26">
        <f t="array" ref="M447">MEDIAN(IF($F$3:$F$810=F447,$L$3:$L$810))</f>
        <v>45000</v>
      </c>
      <c r="N447" s="65">
        <v>47835</v>
      </c>
      <c r="O447" s="62">
        <v>0</v>
      </c>
      <c r="P447" s="76">
        <f>IF(N447&lt;INDEX(Sectorwise!E:E,MATCH(F447,Sectorwise!A:A,0)),1,0)</f>
        <v>0</v>
      </c>
      <c r="Q447" s="76">
        <f>IF(AND(N447&gt;=INDEX(Sectorwise!E:E,MATCH(F447,Sectorwise!A:A,0)),N447&lt;=INDEX(Sectorwise!F:F,MATCH(F447,Sectorwise!A:A,0))),1,0)</f>
        <v>1</v>
      </c>
      <c r="R447" s="76">
        <f>IF(N447&gt;INDEX(Sectorwise!F:F,MATCH(F447,Sectorwise!A:A,0)),1,0)</f>
        <v>0</v>
      </c>
      <c r="S447" s="27">
        <f t="shared" si="25"/>
        <v>0</v>
      </c>
      <c r="T447" s="27">
        <f t="shared" si="26"/>
        <v>47835</v>
      </c>
      <c r="U447" s="27">
        <f t="shared" si="27"/>
        <v>0</v>
      </c>
      <c r="V447" s="95">
        <f>IF(R447=1,(N447-INDEX(Sectorwise!F:F,MATCH(F447,Sectorwise!A:A,0))),0)</f>
        <v>0</v>
      </c>
      <c r="W447" s="97">
        <f>POISSON(N447,INDEX(Sectorwise!D:D,MATCH(Travel!F649,Sectorwise!A:A,0)),TRUE)</f>
        <v>1</v>
      </c>
    </row>
    <row r="448" spans="1:24" ht="15.75" hidden="1" customHeight="1" x14ac:dyDescent="0.2">
      <c r="A448" s="63" t="s">
        <v>1737</v>
      </c>
      <c r="B448" s="63" t="s">
        <v>1744</v>
      </c>
      <c r="C448" s="63"/>
      <c r="E448" s="63" t="s">
        <v>1745</v>
      </c>
      <c r="F448" s="63" t="s">
        <v>1722</v>
      </c>
      <c r="G448" s="63" t="s">
        <v>2333</v>
      </c>
      <c r="H448" s="63" t="s">
        <v>1723</v>
      </c>
      <c r="I448" s="63" t="s">
        <v>41</v>
      </c>
      <c r="J448" s="65">
        <v>7047</v>
      </c>
      <c r="K448" s="65">
        <v>500</v>
      </c>
      <c r="L448" s="26">
        <f t="shared" si="24"/>
        <v>7547</v>
      </c>
      <c r="M448" s="26">
        <f t="array" ref="M448">MEDIAN(IF($F$3:$F$810=F448,$L$3:$L$810))</f>
        <v>6580.5</v>
      </c>
      <c r="N448" s="65">
        <v>7547</v>
      </c>
      <c r="O448" s="62">
        <v>0</v>
      </c>
      <c r="P448" s="76">
        <f>IF(N448&lt;INDEX(Sectorwise!E:E,MATCH(F448,Sectorwise!A:A,0)),1,0)</f>
        <v>0</v>
      </c>
      <c r="Q448" s="76">
        <f>IF(AND(N448&gt;=INDEX(Sectorwise!E:E,MATCH(F448,Sectorwise!A:A,0)),N448&lt;=INDEX(Sectorwise!F:F,MATCH(F448,Sectorwise!A:A,0))),1,0)</f>
        <v>0</v>
      </c>
      <c r="R448" s="76">
        <f>IF(N448&gt;INDEX(Sectorwise!F:F,MATCH(F448,Sectorwise!A:A,0)),1,0)</f>
        <v>1</v>
      </c>
      <c r="S448" s="27">
        <f t="shared" si="25"/>
        <v>0</v>
      </c>
      <c r="T448" s="27">
        <f t="shared" si="26"/>
        <v>0</v>
      </c>
      <c r="U448" s="27">
        <f t="shared" si="27"/>
        <v>7547</v>
      </c>
      <c r="V448" s="95">
        <f>IF(R448=1,(N448-INDEX(Sectorwise!F:F,MATCH(F448,Sectorwise!A:A,0))),0)</f>
        <v>247</v>
      </c>
      <c r="W448" s="97">
        <f>POISSON(N448,INDEX(Sectorwise!D:D,MATCH(Travel!F660,Sectorwise!A:A,0)),TRUE)</f>
        <v>0</v>
      </c>
    </row>
    <row r="449" spans="1:24" ht="15.75" hidden="1" customHeight="1" x14ac:dyDescent="0.2">
      <c r="A449" s="29" t="s">
        <v>2067</v>
      </c>
      <c r="B449" s="29" t="s">
        <v>2068</v>
      </c>
      <c r="C449" s="29"/>
      <c r="E449" s="29" t="s">
        <v>2069</v>
      </c>
      <c r="F449" s="60" t="s">
        <v>2237</v>
      </c>
      <c r="G449" s="69" t="s">
        <v>2308</v>
      </c>
      <c r="H449" s="29" t="s">
        <v>2070</v>
      </c>
      <c r="I449" s="29" t="s">
        <v>2045</v>
      </c>
      <c r="J449" s="65">
        <v>17136</v>
      </c>
      <c r="K449" s="65">
        <v>2046</v>
      </c>
      <c r="L449" s="26">
        <f t="shared" si="24"/>
        <v>19182</v>
      </c>
      <c r="M449" s="26">
        <f t="array" ref="M449">MEDIAN(IF($F$3:$F$810=F449,$L$3:$L$810))</f>
        <v>19030</v>
      </c>
      <c r="N449" s="65">
        <v>19182</v>
      </c>
      <c r="O449" s="65" t="e">
        <f>N449-#REF!</f>
        <v>#REF!</v>
      </c>
      <c r="P449" s="76">
        <f>IF(N449&lt;INDEX(Sectorwise!E:E,MATCH(F449,Sectorwise!A:A,0)),1,0)</f>
        <v>0</v>
      </c>
      <c r="Q449" s="76">
        <f>IF(AND(N449&gt;=INDEX(Sectorwise!E:E,MATCH(F449,Sectorwise!A:A,0)),N449&lt;=INDEX(Sectorwise!F:F,MATCH(F449,Sectorwise!A:A,0))),1,0)</f>
        <v>1</v>
      </c>
      <c r="R449" s="76">
        <f>IF(N449&gt;INDEX(Sectorwise!F:F,MATCH(F449,Sectorwise!A:A,0)),1,0)</f>
        <v>0</v>
      </c>
      <c r="S449" s="27">
        <f t="shared" si="25"/>
        <v>0</v>
      </c>
      <c r="T449" s="27">
        <f t="shared" si="26"/>
        <v>19182</v>
      </c>
      <c r="U449" s="27">
        <f t="shared" si="27"/>
        <v>0</v>
      </c>
      <c r="V449" s="95">
        <f>IF(R449=1,(N449-INDEX(Sectorwise!F:F,MATCH(F449,Sectorwise!A:A,0))),0)</f>
        <v>0</v>
      </c>
      <c r="W449" s="97">
        <f>POISSON(N449,INDEX(Sectorwise!D:D,MATCH(Travel!F787,Sectorwise!A:A,0)),TRUE)</f>
        <v>1</v>
      </c>
    </row>
    <row r="450" spans="1:24" ht="15.75" hidden="1" customHeight="1" x14ac:dyDescent="0.2">
      <c r="A450" s="29" t="s">
        <v>2053</v>
      </c>
      <c r="B450" s="29" t="s">
        <v>2063</v>
      </c>
      <c r="C450" s="29"/>
      <c r="E450" s="29" t="s">
        <v>2064</v>
      </c>
      <c r="F450" s="33" t="s">
        <v>2156</v>
      </c>
      <c r="G450" s="69" t="s">
        <v>2308</v>
      </c>
      <c r="H450" s="29" t="s">
        <v>2065</v>
      </c>
      <c r="I450" s="29" t="s">
        <v>2066</v>
      </c>
      <c r="J450" s="65">
        <v>8742</v>
      </c>
      <c r="K450" s="65">
        <v>1209</v>
      </c>
      <c r="L450" s="26">
        <f t="shared" si="24"/>
        <v>9951</v>
      </c>
      <c r="M450" s="26">
        <f t="array" ref="M450">MEDIAN(IF($F$3:$F$810=F450,$L$3:$L$810))</f>
        <v>9425</v>
      </c>
      <c r="N450" s="65">
        <v>9951</v>
      </c>
      <c r="O450" s="65" t="e">
        <f>N450-#REF!</f>
        <v>#REF!</v>
      </c>
      <c r="P450" s="76">
        <f>IF(N450&lt;INDEX(Sectorwise!E:E,MATCH(F450,Sectorwise!A:A,0)),1,0)</f>
        <v>0</v>
      </c>
      <c r="Q450" s="76">
        <f>IF(AND(N450&gt;=INDEX(Sectorwise!E:E,MATCH(F450,Sectorwise!A:A,0)),N450&lt;=INDEX(Sectorwise!F:F,MATCH(F450,Sectorwise!A:A,0))),1,0)</f>
        <v>1</v>
      </c>
      <c r="R450" s="76">
        <f>IF(N450&gt;INDEX(Sectorwise!F:F,MATCH(F450,Sectorwise!A:A,0)),1,0)</f>
        <v>0</v>
      </c>
      <c r="S450" s="27">
        <f t="shared" si="25"/>
        <v>0</v>
      </c>
      <c r="T450" s="27">
        <f t="shared" si="26"/>
        <v>9951</v>
      </c>
      <c r="U450" s="27">
        <f t="shared" si="27"/>
        <v>0</v>
      </c>
      <c r="V450" s="95">
        <f>IF(R450=1,(N450-INDEX(Sectorwise!F:F,MATCH(F450,Sectorwise!A:A,0))),0)</f>
        <v>0</v>
      </c>
      <c r="W450" s="97">
        <f>POISSON(N450,INDEX(Sectorwise!D:D,MATCH(Travel!F786,Sectorwise!A:A,0)),TRUE)</f>
        <v>1</v>
      </c>
    </row>
    <row r="451" spans="1:24" ht="15.75" hidden="1" customHeight="1" x14ac:dyDescent="0.2">
      <c r="A451" s="60" t="s">
        <v>948</v>
      </c>
      <c r="B451" s="60" t="s">
        <v>956</v>
      </c>
      <c r="C451" s="60"/>
      <c r="E451" s="60" t="s">
        <v>2296</v>
      </c>
      <c r="F451" s="29" t="s">
        <v>2134</v>
      </c>
      <c r="G451" s="56" t="s">
        <v>2309</v>
      </c>
      <c r="H451" s="60" t="s">
        <v>957</v>
      </c>
      <c r="I451" s="60" t="s">
        <v>903</v>
      </c>
      <c r="J451" s="61">
        <v>5200</v>
      </c>
      <c r="K451" s="61">
        <v>1945</v>
      </c>
      <c r="L451" s="26">
        <f t="shared" ref="L451:L514" si="28">J451+K451</f>
        <v>7145</v>
      </c>
      <c r="M451" s="26">
        <f t="array" ref="M451">MEDIAN(IF($F$3:$F$810=F451,$L$3:$L$810))</f>
        <v>7412.5</v>
      </c>
      <c r="N451" s="61">
        <v>7145</v>
      </c>
      <c r="O451" s="62">
        <v>0</v>
      </c>
      <c r="P451" s="76">
        <f>IF(N451&lt;INDEX(Sectorwise!E:E,MATCH(F451,Sectorwise!A:A,0)),1,0)</f>
        <v>0</v>
      </c>
      <c r="Q451" s="76">
        <f>IF(AND(N451&gt;=INDEX(Sectorwise!E:E,MATCH(F451,Sectorwise!A:A,0)),N451&lt;=INDEX(Sectorwise!F:F,MATCH(F451,Sectorwise!A:A,0))),1,0)</f>
        <v>1</v>
      </c>
      <c r="R451" s="76">
        <f>IF(N451&gt;INDEX(Sectorwise!F:F,MATCH(F451,Sectorwise!A:A,0)),1,0)</f>
        <v>0</v>
      </c>
      <c r="S451" s="27">
        <f t="shared" ref="S451:S514" si="29">IF(P451=0,0,N451)</f>
        <v>0</v>
      </c>
      <c r="T451" s="27">
        <f t="shared" ref="T451:T514" si="30">IF(Q451=0,0,N451)</f>
        <v>7145</v>
      </c>
      <c r="U451" s="27">
        <f t="shared" ref="U451:U514" si="31">IF(R451=0,0,N451)</f>
        <v>0</v>
      </c>
      <c r="V451" s="95">
        <f>IF(R451=1,(N451-INDEX(Sectorwise!F:F,MATCH(F451,Sectorwise!A:A,0))),0)</f>
        <v>0</v>
      </c>
      <c r="W451" s="97">
        <f>POISSON(N451,INDEX(Sectorwise!D:D,MATCH(Travel!F356,Sectorwise!A:A,0)),TRUE)</f>
        <v>0.14900798504917898</v>
      </c>
    </row>
    <row r="452" spans="1:24" ht="15.75" hidden="1" customHeight="1" x14ac:dyDescent="0.2">
      <c r="A452" s="63" t="s">
        <v>1209</v>
      </c>
      <c r="B452" s="63" t="s">
        <v>1210</v>
      </c>
      <c r="C452" s="63"/>
      <c r="E452" s="60" t="s">
        <v>2296</v>
      </c>
      <c r="F452" s="21" t="s">
        <v>2149</v>
      </c>
      <c r="G452" s="56" t="s">
        <v>2309</v>
      </c>
      <c r="H452" s="63" t="s">
        <v>1211</v>
      </c>
      <c r="I452" s="63" t="s">
        <v>1181</v>
      </c>
      <c r="J452" s="65">
        <v>6400</v>
      </c>
      <c r="K452" s="65">
        <v>3989</v>
      </c>
      <c r="L452" s="26">
        <f t="shared" si="28"/>
        <v>10389</v>
      </c>
      <c r="M452" s="26">
        <f t="array" ref="M452">MEDIAN(IF($F$3:$F$810=F452,$L$3:$L$810))</f>
        <v>10332</v>
      </c>
      <c r="N452" s="65">
        <v>10389</v>
      </c>
      <c r="O452" s="62">
        <v>0</v>
      </c>
      <c r="P452" s="76">
        <f>IF(N452&lt;INDEX(Sectorwise!E:E,MATCH(F452,Sectorwise!A:A,0)),1,0)</f>
        <v>0</v>
      </c>
      <c r="Q452" s="76">
        <f>IF(AND(N452&gt;=INDEX(Sectorwise!E:E,MATCH(F452,Sectorwise!A:A,0)),N452&lt;=INDEX(Sectorwise!F:F,MATCH(F452,Sectorwise!A:A,0))),1,0)</f>
        <v>1</v>
      </c>
      <c r="R452" s="76">
        <f>IF(N452&gt;INDEX(Sectorwise!F:F,MATCH(F452,Sectorwise!A:A,0)),1,0)</f>
        <v>0</v>
      </c>
      <c r="S452" s="27">
        <f t="shared" si="29"/>
        <v>0</v>
      </c>
      <c r="T452" s="27">
        <f t="shared" si="30"/>
        <v>10389</v>
      </c>
      <c r="U452" s="27">
        <f t="shared" si="31"/>
        <v>0</v>
      </c>
      <c r="V452" s="95">
        <f>IF(R452=1,(N452-INDEX(Sectorwise!F:F,MATCH(F452,Sectorwise!A:A,0))),0)</f>
        <v>0</v>
      </c>
      <c r="W452" s="97">
        <f>POISSON(N452,INDEX(Sectorwise!D:D,MATCH(Travel!F457,Sectorwise!A:A,0)),TRUE)</f>
        <v>2.1654816730902384E-2</v>
      </c>
    </row>
    <row r="453" spans="1:24" ht="15.75" hidden="1" customHeight="1" x14ac:dyDescent="0.2">
      <c r="A453" s="29" t="s">
        <v>1626</v>
      </c>
      <c r="B453" s="29" t="s">
        <v>1627</v>
      </c>
      <c r="C453" s="29" t="s">
        <v>1628</v>
      </c>
      <c r="E453" s="60" t="s">
        <v>2296</v>
      </c>
      <c r="F453" s="21" t="s">
        <v>2149</v>
      </c>
      <c r="G453" s="63" t="s">
        <v>2312</v>
      </c>
      <c r="H453" s="29" t="s">
        <v>1629</v>
      </c>
      <c r="I453" s="29" t="s">
        <v>1510</v>
      </c>
      <c r="J453" s="65">
        <v>3330</v>
      </c>
      <c r="K453" s="65">
        <v>4954</v>
      </c>
      <c r="L453" s="26">
        <f t="shared" si="28"/>
        <v>8284</v>
      </c>
      <c r="M453" s="26">
        <f t="array" ref="M453">MEDIAN(IF($F$3:$F$810=F453,$L$3:$L$810))</f>
        <v>10332</v>
      </c>
      <c r="N453" s="65">
        <v>8284</v>
      </c>
      <c r="O453" s="62" t="e">
        <f>N453-#REF!</f>
        <v>#REF!</v>
      </c>
      <c r="P453" s="76">
        <f>IF(N453&lt;INDEX(Sectorwise!E:E,MATCH(F453,Sectorwise!A:A,0)),1,0)</f>
        <v>1</v>
      </c>
      <c r="Q453" s="76">
        <f>IF(AND(N453&gt;=INDEX(Sectorwise!E:E,MATCH(F453,Sectorwise!A:A,0)),N453&lt;=INDEX(Sectorwise!F:F,MATCH(F453,Sectorwise!A:A,0))),1,0)</f>
        <v>0</v>
      </c>
      <c r="R453" s="76">
        <f>IF(N453&gt;INDEX(Sectorwise!F:F,MATCH(F453,Sectorwise!A:A,0)),1,0)</f>
        <v>0</v>
      </c>
      <c r="S453" s="27">
        <f t="shared" si="29"/>
        <v>8284</v>
      </c>
      <c r="T453" s="27">
        <f t="shared" si="30"/>
        <v>0</v>
      </c>
      <c r="U453" s="27">
        <f t="shared" si="31"/>
        <v>0</v>
      </c>
      <c r="V453" s="95">
        <f>IF(R453=1,(N453-INDEX(Sectorwise!F:F,MATCH(F453,Sectorwise!A:A,0))),0)</f>
        <v>0</v>
      </c>
      <c r="W453" s="97">
        <f>POISSON(N453,INDEX(Sectorwise!D:D,MATCH(Travel!F621,Sectorwise!A:A,0)),TRUE)</f>
        <v>1</v>
      </c>
    </row>
    <row r="454" spans="1:24" ht="15.75" hidden="1" customHeight="1" x14ac:dyDescent="0.2">
      <c r="A454" s="21" t="s">
        <v>176</v>
      </c>
      <c r="B454" s="21" t="s">
        <v>187</v>
      </c>
      <c r="C454" s="22"/>
      <c r="D454" s="32"/>
      <c r="E454" s="60" t="s">
        <v>2296</v>
      </c>
      <c r="F454" s="29" t="s">
        <v>2134</v>
      </c>
      <c r="G454" s="56" t="s">
        <v>2309</v>
      </c>
      <c r="H454" s="21" t="s">
        <v>188</v>
      </c>
      <c r="I454" s="21" t="s">
        <v>164</v>
      </c>
      <c r="J454" s="25">
        <v>4500</v>
      </c>
      <c r="K454" s="25">
        <v>3171</v>
      </c>
      <c r="L454" s="26">
        <f t="shared" si="28"/>
        <v>7671</v>
      </c>
      <c r="M454" s="26">
        <f t="array" ref="M454">MEDIAN(IF($F$3:$F$810=F454,$L$3:$L$810))</f>
        <v>7412.5</v>
      </c>
      <c r="N454" s="26">
        <v>7671</v>
      </c>
      <c r="O454" s="27"/>
      <c r="P454" s="76">
        <f>IF(N454&lt;INDEX(Sectorwise!E:E,MATCH(F454,Sectorwise!A:A,0)),1,0)</f>
        <v>0</v>
      </c>
      <c r="Q454" s="76">
        <f>IF(AND(N454&gt;=INDEX(Sectorwise!E:E,MATCH(F454,Sectorwise!A:A,0)),N454&lt;=INDEX(Sectorwise!F:F,MATCH(F454,Sectorwise!A:A,0))),1,0)</f>
        <v>1</v>
      </c>
      <c r="R454" s="76">
        <f>IF(N454&gt;INDEX(Sectorwise!F:F,MATCH(F454,Sectorwise!A:A,0)),1,0)</f>
        <v>0</v>
      </c>
      <c r="S454" s="27">
        <f t="shared" si="29"/>
        <v>0</v>
      </c>
      <c r="T454" s="27">
        <f t="shared" si="30"/>
        <v>7671</v>
      </c>
      <c r="U454" s="27">
        <f t="shared" si="31"/>
        <v>0</v>
      </c>
      <c r="V454" s="95">
        <f>IF(R454=1,(N454-INDEX(Sectorwise!F:F,MATCH(F454,Sectorwise!A:A,0))),0)</f>
        <v>0</v>
      </c>
      <c r="W454" s="97">
        <f>POISSON(N454,INDEX(Sectorwise!D:D,MATCH(Travel!F67,Sectorwise!A:A,0)),TRUE)</f>
        <v>1.8416774968889199E-51</v>
      </c>
      <c r="X454" s="28">
        <v>7671</v>
      </c>
    </row>
    <row r="455" spans="1:24" ht="15.75" hidden="1" customHeight="1" x14ac:dyDescent="0.2">
      <c r="A455" s="33" t="s">
        <v>198</v>
      </c>
      <c r="B455" s="33" t="s">
        <v>206</v>
      </c>
      <c r="C455" s="40"/>
      <c r="D455" s="35"/>
      <c r="E455" s="60" t="s">
        <v>2296</v>
      </c>
      <c r="F455" s="29" t="s">
        <v>2134</v>
      </c>
      <c r="G455" s="56" t="s">
        <v>2309</v>
      </c>
      <c r="H455" s="33" t="s">
        <v>207</v>
      </c>
      <c r="I455" s="33" t="s">
        <v>164</v>
      </c>
      <c r="J455" s="36">
        <v>4500</v>
      </c>
      <c r="K455" s="36">
        <v>3171</v>
      </c>
      <c r="L455" s="26">
        <f t="shared" si="28"/>
        <v>7671</v>
      </c>
      <c r="M455" s="26">
        <f t="array" ref="M455">MEDIAN(IF($F$3:$F$810=F455,$L$3:$L$810))</f>
        <v>7412.5</v>
      </c>
      <c r="N455" s="41">
        <v>7671</v>
      </c>
      <c r="O455" s="38"/>
      <c r="P455" s="76">
        <f>IF(N455&lt;INDEX(Sectorwise!E:E,MATCH(F455,Sectorwise!A:A,0)),1,0)</f>
        <v>0</v>
      </c>
      <c r="Q455" s="76">
        <f>IF(AND(N455&gt;=INDEX(Sectorwise!E:E,MATCH(F455,Sectorwise!A:A,0)),N455&lt;=INDEX(Sectorwise!F:F,MATCH(F455,Sectorwise!A:A,0))),1,0)</f>
        <v>1</v>
      </c>
      <c r="R455" s="76">
        <f>IF(N455&gt;INDEX(Sectorwise!F:F,MATCH(F455,Sectorwise!A:A,0)),1,0)</f>
        <v>0</v>
      </c>
      <c r="S455" s="27">
        <f t="shared" si="29"/>
        <v>0</v>
      </c>
      <c r="T455" s="27">
        <f t="shared" si="30"/>
        <v>7671</v>
      </c>
      <c r="U455" s="27">
        <f t="shared" si="31"/>
        <v>0</v>
      </c>
      <c r="V455" s="95">
        <f>IF(R455=1,(N455-INDEX(Sectorwise!F:F,MATCH(F455,Sectorwise!A:A,0))),0)</f>
        <v>0</v>
      </c>
      <c r="W455" s="97">
        <f>POISSON(N455,INDEX(Sectorwise!D:D,MATCH(Travel!F76,Sectorwise!A:A,0)),TRUE)</f>
        <v>0.99999982582459435</v>
      </c>
      <c r="X455" s="39">
        <f>+N455-O455</f>
        <v>7671</v>
      </c>
    </row>
    <row r="456" spans="1:24" ht="15.75" hidden="1" customHeight="1" x14ac:dyDescent="0.2">
      <c r="A456" s="53" t="s">
        <v>542</v>
      </c>
      <c r="B456" s="54" t="s">
        <v>549</v>
      </c>
      <c r="C456" s="22"/>
      <c r="D456" s="32"/>
      <c r="E456" s="60" t="s">
        <v>2296</v>
      </c>
      <c r="F456" s="29" t="s">
        <v>2134</v>
      </c>
      <c r="G456" s="69" t="s">
        <v>2308</v>
      </c>
      <c r="H456" s="21" t="s">
        <v>552</v>
      </c>
      <c r="I456" s="21" t="s">
        <v>542</v>
      </c>
      <c r="J456" s="25">
        <v>744</v>
      </c>
      <c r="K456" s="25">
        <v>2427</v>
      </c>
      <c r="L456" s="26">
        <f t="shared" si="28"/>
        <v>3171</v>
      </c>
      <c r="M456" s="26">
        <f t="array" ref="M456">MEDIAN(IF($F$3:$F$810=F456,$L$3:$L$810))</f>
        <v>7412.5</v>
      </c>
      <c r="N456" s="47">
        <v>3171</v>
      </c>
      <c r="O456" s="27"/>
      <c r="P456" s="76">
        <f>IF(N456&lt;INDEX(Sectorwise!E:E,MATCH(F456,Sectorwise!A:A,0)),1,0)</f>
        <v>1</v>
      </c>
      <c r="Q456" s="76">
        <f>IF(AND(N456&gt;=INDEX(Sectorwise!E:E,MATCH(F456,Sectorwise!A:A,0)),N456&lt;=INDEX(Sectorwise!F:F,MATCH(F456,Sectorwise!A:A,0))),1,0)</f>
        <v>0</v>
      </c>
      <c r="R456" s="76">
        <f>IF(N456&gt;INDEX(Sectorwise!F:F,MATCH(F456,Sectorwise!A:A,0)),1,0)</f>
        <v>0</v>
      </c>
      <c r="S456" s="27">
        <f t="shared" si="29"/>
        <v>3171</v>
      </c>
      <c r="T456" s="27">
        <f t="shared" si="30"/>
        <v>0</v>
      </c>
      <c r="U456" s="27">
        <f t="shared" si="31"/>
        <v>0</v>
      </c>
      <c r="V456" s="95">
        <f>IF(R456=1,(N456-INDEX(Sectorwise!F:F,MATCH(F456,Sectorwise!A:A,0))),0)</f>
        <v>0</v>
      </c>
      <c r="W456" s="97">
        <f>POISSON(N456,INDEX(Sectorwise!D:D,MATCH(Travel!F206,Sectorwise!A:A,0)),TRUE)</f>
        <v>0</v>
      </c>
    </row>
    <row r="457" spans="1:24" ht="15.75" hidden="1" customHeight="1" x14ac:dyDescent="0.2">
      <c r="A457" s="69" t="s">
        <v>1937</v>
      </c>
      <c r="B457" s="69" t="s">
        <v>1938</v>
      </c>
      <c r="C457" s="69"/>
      <c r="E457" s="60" t="s">
        <v>2296</v>
      </c>
      <c r="F457" s="33" t="s">
        <v>2208</v>
      </c>
      <c r="G457" s="63" t="s">
        <v>2312</v>
      </c>
      <c r="H457" s="69" t="s">
        <v>1939</v>
      </c>
      <c r="I457" s="69" t="s">
        <v>1807</v>
      </c>
      <c r="J457" s="70">
        <v>4796</v>
      </c>
      <c r="K457" s="70">
        <v>5471</v>
      </c>
      <c r="L457" s="26">
        <f t="shared" si="28"/>
        <v>10267</v>
      </c>
      <c r="M457" s="26">
        <f t="array" ref="M457">MEDIAN(IF($F$3:$F$810=F457,$L$3:$L$810))</f>
        <v>10597</v>
      </c>
      <c r="N457" s="70">
        <v>10267</v>
      </c>
      <c r="O457" s="71">
        <v>0</v>
      </c>
      <c r="P457" s="76">
        <f>IF(N457&lt;INDEX(Sectorwise!E:E,MATCH(F457,Sectorwise!A:A,0)),1,0)</f>
        <v>0</v>
      </c>
      <c r="Q457" s="76">
        <f>IF(AND(N457&gt;=INDEX(Sectorwise!E:E,MATCH(F457,Sectorwise!A:A,0)),N457&lt;=INDEX(Sectorwise!F:F,MATCH(F457,Sectorwise!A:A,0))),1,0)</f>
        <v>1</v>
      </c>
      <c r="R457" s="76">
        <f>IF(N457&gt;INDEX(Sectorwise!F:F,MATCH(F457,Sectorwise!A:A,0)),1,0)</f>
        <v>0</v>
      </c>
      <c r="S457" s="27">
        <f t="shared" si="29"/>
        <v>0</v>
      </c>
      <c r="T457" s="27">
        <f t="shared" si="30"/>
        <v>10267</v>
      </c>
      <c r="U457" s="27">
        <f t="shared" si="31"/>
        <v>0</v>
      </c>
      <c r="V457" s="95">
        <f>IF(R457=1,(N457-INDEX(Sectorwise!F:F,MATCH(F457,Sectorwise!A:A,0))),0)</f>
        <v>0</v>
      </c>
      <c r="W457" s="97">
        <f>POISSON(N457,INDEX(Sectorwise!D:D,MATCH(Travel!F740,Sectorwise!A:A,0)),TRUE)</f>
        <v>1</v>
      </c>
    </row>
    <row r="458" spans="1:24" ht="15.75" hidden="1" customHeight="1" x14ac:dyDescent="0.2">
      <c r="A458" s="21" t="s">
        <v>176</v>
      </c>
      <c r="B458" s="21" t="s">
        <v>187</v>
      </c>
      <c r="C458" s="22"/>
      <c r="D458" s="32"/>
      <c r="E458" s="60" t="s">
        <v>2296</v>
      </c>
      <c r="F458" s="21" t="s">
        <v>2135</v>
      </c>
      <c r="G458" s="56" t="s">
        <v>2309</v>
      </c>
      <c r="H458" s="21" t="s">
        <v>189</v>
      </c>
      <c r="I458" s="21" t="s">
        <v>164</v>
      </c>
      <c r="J458" s="25">
        <v>5750</v>
      </c>
      <c r="K458" s="25">
        <v>3324</v>
      </c>
      <c r="L458" s="26">
        <f t="shared" si="28"/>
        <v>9074</v>
      </c>
      <c r="M458" s="26">
        <f t="array" ref="M458">MEDIAN(IF($F$3:$F$810=F458,$L$3:$L$810))</f>
        <v>7234</v>
      </c>
      <c r="N458" s="26">
        <v>9074</v>
      </c>
      <c r="O458" s="27"/>
      <c r="P458" s="76">
        <f>IF(N458&lt;INDEX(Sectorwise!E:E,MATCH(F458,Sectorwise!A:A,0)),1,0)</f>
        <v>0</v>
      </c>
      <c r="Q458" s="76">
        <f>IF(AND(N458&gt;=INDEX(Sectorwise!E:E,MATCH(F458,Sectorwise!A:A,0)),N458&lt;=INDEX(Sectorwise!F:F,MATCH(F458,Sectorwise!A:A,0))),1,0)</f>
        <v>0</v>
      </c>
      <c r="R458" s="76">
        <f>IF(N458&gt;INDEX(Sectorwise!F:F,MATCH(F458,Sectorwise!A:A,0)),1,0)</f>
        <v>1</v>
      </c>
      <c r="S458" s="27">
        <f t="shared" si="29"/>
        <v>0</v>
      </c>
      <c r="T458" s="27">
        <f t="shared" si="30"/>
        <v>0</v>
      </c>
      <c r="U458" s="27">
        <f t="shared" si="31"/>
        <v>9074</v>
      </c>
      <c r="V458" s="95">
        <f>IF(R458=1,(N458-INDEX(Sectorwise!F:F,MATCH(F458,Sectorwise!A:A,0))),0)</f>
        <v>1074</v>
      </c>
      <c r="W458" s="97">
        <f>POISSON(N458,INDEX(Sectorwise!D:D,MATCH(Travel!F68,Sectorwise!A:A,0)),TRUE)</f>
        <v>0</v>
      </c>
      <c r="X458" s="28">
        <v>9074</v>
      </c>
    </row>
    <row r="459" spans="1:24" ht="15.75" hidden="1" customHeight="1" x14ac:dyDescent="0.2">
      <c r="A459" s="29" t="s">
        <v>1668</v>
      </c>
      <c r="B459" s="29" t="s">
        <v>1669</v>
      </c>
      <c r="C459" s="29"/>
      <c r="E459" s="60" t="s">
        <v>2296</v>
      </c>
      <c r="F459" s="21" t="s">
        <v>2149</v>
      </c>
      <c r="G459" s="63" t="s">
        <v>2312</v>
      </c>
      <c r="H459" s="29" t="s">
        <v>1670</v>
      </c>
      <c r="I459" s="29" t="s">
        <v>1671</v>
      </c>
      <c r="J459" s="65">
        <v>5240</v>
      </c>
      <c r="K459" s="65">
        <v>5159</v>
      </c>
      <c r="L459" s="26">
        <f t="shared" si="28"/>
        <v>10399</v>
      </c>
      <c r="M459" s="26">
        <f t="array" ref="M459">MEDIAN(IF($F$3:$F$810=F459,$L$3:$L$810))</f>
        <v>10332</v>
      </c>
      <c r="N459" s="65">
        <v>10399</v>
      </c>
      <c r="O459" s="62"/>
      <c r="P459" s="76">
        <f>IF(N459&lt;INDEX(Sectorwise!E:E,MATCH(F459,Sectorwise!A:A,0)),1,0)</f>
        <v>0</v>
      </c>
      <c r="Q459" s="76">
        <f>IF(AND(N459&gt;=INDEX(Sectorwise!E:E,MATCH(F459,Sectorwise!A:A,0)),N459&lt;=INDEX(Sectorwise!F:F,MATCH(F459,Sectorwise!A:A,0))),1,0)</f>
        <v>1</v>
      </c>
      <c r="R459" s="76">
        <f>IF(N459&gt;INDEX(Sectorwise!F:F,MATCH(F459,Sectorwise!A:A,0)),1,0)</f>
        <v>0</v>
      </c>
      <c r="S459" s="27">
        <f t="shared" si="29"/>
        <v>0</v>
      </c>
      <c r="T459" s="27">
        <f t="shared" si="30"/>
        <v>10399</v>
      </c>
      <c r="U459" s="27">
        <f t="shared" si="31"/>
        <v>0</v>
      </c>
      <c r="V459" s="95">
        <f>IF(R459=1,(N459-INDEX(Sectorwise!F:F,MATCH(F459,Sectorwise!A:A,0))),0)</f>
        <v>0</v>
      </c>
      <c r="W459" s="97">
        <f>POISSON(N459,INDEX(Sectorwise!D:D,MATCH(Travel!F634,Sectorwise!A:A,0)),TRUE)</f>
        <v>2.2728787130800877E-2</v>
      </c>
    </row>
    <row r="460" spans="1:24" ht="15.75" hidden="1" customHeight="1" x14ac:dyDescent="0.2">
      <c r="A460" s="63" t="s">
        <v>1549</v>
      </c>
      <c r="B460" s="63" t="s">
        <v>1550</v>
      </c>
      <c r="C460" s="63"/>
      <c r="E460" s="60" t="s">
        <v>2296</v>
      </c>
      <c r="F460" s="63" t="s">
        <v>2179</v>
      </c>
      <c r="G460" s="63" t="s">
        <v>2314</v>
      </c>
      <c r="H460" s="63" t="s">
        <v>1551</v>
      </c>
      <c r="I460" s="63" t="s">
        <v>1540</v>
      </c>
      <c r="J460" s="65">
        <v>13710</v>
      </c>
      <c r="K460" s="65">
        <v>3490</v>
      </c>
      <c r="L460" s="26">
        <f t="shared" si="28"/>
        <v>17200</v>
      </c>
      <c r="M460" s="26">
        <f t="array" ref="M460">MEDIAN(IF($F$3:$F$810=F460,$L$3:$L$810))</f>
        <v>17200</v>
      </c>
      <c r="N460" s="65">
        <v>17200</v>
      </c>
      <c r="O460" s="62">
        <v>0</v>
      </c>
      <c r="P460" s="76">
        <f>IF(N460&lt;INDEX(Sectorwise!E:E,MATCH(F460,Sectorwise!A:A,0)),1,0)</f>
        <v>0</v>
      </c>
      <c r="Q460" s="76">
        <f>IF(AND(N460&gt;=INDEX(Sectorwise!E:E,MATCH(F460,Sectorwise!A:A,0)),N460&lt;=INDEX(Sectorwise!F:F,MATCH(F460,Sectorwise!A:A,0))),1,0)</f>
        <v>1</v>
      </c>
      <c r="R460" s="76">
        <f>IF(N460&gt;INDEX(Sectorwise!F:F,MATCH(F460,Sectorwise!A:A,0)),1,0)</f>
        <v>0</v>
      </c>
      <c r="S460" s="27">
        <f t="shared" si="29"/>
        <v>0</v>
      </c>
      <c r="T460" s="27">
        <f t="shared" si="30"/>
        <v>17200</v>
      </c>
      <c r="U460" s="27">
        <f t="shared" si="31"/>
        <v>0</v>
      </c>
      <c r="V460" s="95">
        <f>IF(R460=1,(N460-INDEX(Sectorwise!F:F,MATCH(F460,Sectorwise!A:A,0))),0)</f>
        <v>0</v>
      </c>
      <c r="W460" s="97">
        <f>POISSON(N460,INDEX(Sectorwise!D:D,MATCH(Travel!F586,Sectorwise!A:A,0)),TRUE)</f>
        <v>1</v>
      </c>
    </row>
    <row r="461" spans="1:24" ht="15.75" hidden="1" customHeight="1" x14ac:dyDescent="0.2">
      <c r="A461" s="63" t="s">
        <v>1541</v>
      </c>
      <c r="B461" s="63" t="s">
        <v>1542</v>
      </c>
      <c r="C461" s="63"/>
      <c r="E461" s="60" t="s">
        <v>2296</v>
      </c>
      <c r="F461" s="63" t="s">
        <v>2211</v>
      </c>
      <c r="G461" s="63" t="s">
        <v>2312</v>
      </c>
      <c r="H461" s="63" t="s">
        <v>1543</v>
      </c>
      <c r="I461" s="63" t="s">
        <v>1544</v>
      </c>
      <c r="J461" s="65">
        <v>18825</v>
      </c>
      <c r="K461" s="65">
        <v>8975</v>
      </c>
      <c r="L461" s="26">
        <f t="shared" si="28"/>
        <v>27800</v>
      </c>
      <c r="M461" s="26">
        <f t="array" ref="M461">MEDIAN(IF($F$3:$F$810=F461,$L$3:$L$810))</f>
        <v>27800</v>
      </c>
      <c r="N461" s="65">
        <v>27800</v>
      </c>
      <c r="O461" s="62">
        <v>0</v>
      </c>
      <c r="P461" s="76">
        <f>IF(N461&lt;INDEX(Sectorwise!E:E,MATCH(F461,Sectorwise!A:A,0)),1,0)</f>
        <v>0</v>
      </c>
      <c r="Q461" s="76">
        <f>IF(AND(N461&gt;=INDEX(Sectorwise!E:E,MATCH(F461,Sectorwise!A:A,0)),N461&lt;=INDEX(Sectorwise!F:F,MATCH(F461,Sectorwise!A:A,0))),1,0)</f>
        <v>1</v>
      </c>
      <c r="R461" s="76">
        <f>IF(N461&gt;INDEX(Sectorwise!F:F,MATCH(F461,Sectorwise!A:A,0)),1,0)</f>
        <v>0</v>
      </c>
      <c r="S461" s="27">
        <f t="shared" si="29"/>
        <v>0</v>
      </c>
      <c r="T461" s="27">
        <f t="shared" si="30"/>
        <v>27800</v>
      </c>
      <c r="U461" s="27">
        <f t="shared" si="31"/>
        <v>0</v>
      </c>
      <c r="V461" s="95">
        <f>IF(R461=1,(N461-INDEX(Sectorwise!F:F,MATCH(F461,Sectorwise!A:A,0))),0)</f>
        <v>0</v>
      </c>
      <c r="W461" s="97">
        <f>POISSON(N461,INDEX(Sectorwise!D:D,MATCH(Travel!F584,Sectorwise!A:A,0)),TRUE)</f>
        <v>1</v>
      </c>
    </row>
    <row r="462" spans="1:24" ht="15.75" hidden="1" customHeight="1" x14ac:dyDescent="0.2">
      <c r="A462" s="60" t="s">
        <v>877</v>
      </c>
      <c r="B462" s="60" t="s">
        <v>883</v>
      </c>
      <c r="C462" s="60"/>
      <c r="E462" s="60" t="s">
        <v>884</v>
      </c>
      <c r="F462" s="33" t="s">
        <v>2208</v>
      </c>
      <c r="G462" s="69" t="s">
        <v>2308</v>
      </c>
      <c r="H462" s="60" t="s">
        <v>885</v>
      </c>
      <c r="I462" s="60" t="s">
        <v>882</v>
      </c>
      <c r="J462" s="61">
        <v>8670</v>
      </c>
      <c r="K462" s="61">
        <v>1927</v>
      </c>
      <c r="L462" s="26">
        <f t="shared" si="28"/>
        <v>10597</v>
      </c>
      <c r="M462" s="26">
        <f t="array" ref="M462">MEDIAN(IF($F$3:$F$810=F462,$L$3:$L$810))</f>
        <v>10597</v>
      </c>
      <c r="N462" s="61">
        <v>10597</v>
      </c>
      <c r="O462" s="62">
        <v>0</v>
      </c>
      <c r="P462" s="76">
        <f>IF(N462&lt;INDEX(Sectorwise!E:E,MATCH(F462,Sectorwise!A:A,0)),1,0)</f>
        <v>0</v>
      </c>
      <c r="Q462" s="76">
        <f>IF(AND(N462&gt;=INDEX(Sectorwise!E:E,MATCH(F462,Sectorwise!A:A,0)),N462&lt;=INDEX(Sectorwise!F:F,MATCH(F462,Sectorwise!A:A,0))),1,0)</f>
        <v>1</v>
      </c>
      <c r="R462" s="76">
        <f>IF(N462&gt;INDEX(Sectorwise!F:F,MATCH(F462,Sectorwise!A:A,0)),1,0)</f>
        <v>0</v>
      </c>
      <c r="S462" s="27">
        <f t="shared" si="29"/>
        <v>0</v>
      </c>
      <c r="T462" s="27">
        <f t="shared" si="30"/>
        <v>10597</v>
      </c>
      <c r="U462" s="27">
        <f t="shared" si="31"/>
        <v>0</v>
      </c>
      <c r="V462" s="95">
        <f>IF(R462=1,(N462-INDEX(Sectorwise!F:F,MATCH(F462,Sectorwise!A:A,0))),0)</f>
        <v>0</v>
      </c>
      <c r="W462" s="97">
        <f>POISSON(N462,INDEX(Sectorwise!D:D,MATCH(Travel!F333,Sectorwise!A:A,0)),TRUE)</f>
        <v>1</v>
      </c>
    </row>
    <row r="463" spans="1:24" ht="15.75" hidden="1" customHeight="1" x14ac:dyDescent="0.2">
      <c r="A463" s="33" t="s">
        <v>404</v>
      </c>
      <c r="B463" s="33" t="s">
        <v>405</v>
      </c>
      <c r="C463" s="34"/>
      <c r="D463" s="35"/>
      <c r="E463" s="33" t="s">
        <v>406</v>
      </c>
      <c r="F463" s="29" t="s">
        <v>2134</v>
      </c>
      <c r="G463" s="56" t="s">
        <v>2309</v>
      </c>
      <c r="H463" s="33" t="s">
        <v>407</v>
      </c>
      <c r="I463" s="33" t="s">
        <v>400</v>
      </c>
      <c r="J463" s="36">
        <v>4550</v>
      </c>
      <c r="K463" s="36">
        <v>3122</v>
      </c>
      <c r="L463" s="26">
        <f t="shared" si="28"/>
        <v>7672</v>
      </c>
      <c r="M463" s="26">
        <f t="array" ref="M463">MEDIAN(IF($F$3:$F$810=F463,$L$3:$L$810))</f>
        <v>7412.5</v>
      </c>
      <c r="N463" s="47">
        <f>+J463+K463</f>
        <v>7672</v>
      </c>
      <c r="O463" s="27"/>
      <c r="P463" s="76">
        <f>IF(N463&lt;INDEX(Sectorwise!E:E,MATCH(F463,Sectorwise!A:A,0)),1,0)</f>
        <v>0</v>
      </c>
      <c r="Q463" s="76">
        <f>IF(AND(N463&gt;=INDEX(Sectorwise!E:E,MATCH(F463,Sectorwise!A:A,0)),N463&lt;=INDEX(Sectorwise!F:F,MATCH(F463,Sectorwise!A:A,0))),1,0)</f>
        <v>1</v>
      </c>
      <c r="R463" s="76">
        <f>IF(N463&gt;INDEX(Sectorwise!F:F,MATCH(F463,Sectorwise!A:A,0)),1,0)</f>
        <v>0</v>
      </c>
      <c r="S463" s="27">
        <f t="shared" si="29"/>
        <v>0</v>
      </c>
      <c r="T463" s="27">
        <f t="shared" si="30"/>
        <v>7672</v>
      </c>
      <c r="U463" s="27">
        <f t="shared" si="31"/>
        <v>0</v>
      </c>
      <c r="V463" s="95">
        <f>IF(R463=1,(N463-INDEX(Sectorwise!F:F,MATCH(F463,Sectorwise!A:A,0))),0)</f>
        <v>0</v>
      </c>
      <c r="W463" s="97">
        <f>POISSON(N463,INDEX(Sectorwise!D:D,MATCH(Travel!F153,Sectorwise!A:A,0)),TRUE)</f>
        <v>0.99866952951150978</v>
      </c>
    </row>
    <row r="464" spans="1:24" ht="15.75" hidden="1" customHeight="1" x14ac:dyDescent="0.2">
      <c r="A464" s="33" t="s">
        <v>404</v>
      </c>
      <c r="B464" s="33" t="s">
        <v>405</v>
      </c>
      <c r="C464" s="40"/>
      <c r="D464" s="35"/>
      <c r="E464" s="33" t="s">
        <v>406</v>
      </c>
      <c r="F464" s="21" t="s">
        <v>2135</v>
      </c>
      <c r="G464" s="56" t="s">
        <v>2309</v>
      </c>
      <c r="H464" s="33" t="s">
        <v>408</v>
      </c>
      <c r="I464" s="33" t="s">
        <v>400</v>
      </c>
      <c r="J464" s="36">
        <v>4550</v>
      </c>
      <c r="K464" s="36">
        <v>3205</v>
      </c>
      <c r="L464" s="26">
        <f t="shared" si="28"/>
        <v>7755</v>
      </c>
      <c r="M464" s="26">
        <f t="array" ref="M464">MEDIAN(IF($F$3:$F$810=F464,$L$3:$L$810))</f>
        <v>7234</v>
      </c>
      <c r="N464" s="47">
        <f>+J464+K464</f>
        <v>7755</v>
      </c>
      <c r="O464" s="27"/>
      <c r="P464" s="76">
        <f>IF(N464&lt;INDEX(Sectorwise!E:E,MATCH(F464,Sectorwise!A:A,0)),1,0)</f>
        <v>0</v>
      </c>
      <c r="Q464" s="76">
        <f>IF(AND(N464&gt;=INDEX(Sectorwise!E:E,MATCH(F464,Sectorwise!A:A,0)),N464&lt;=INDEX(Sectorwise!F:F,MATCH(F464,Sectorwise!A:A,0))),1,0)</f>
        <v>1</v>
      </c>
      <c r="R464" s="76">
        <f>IF(N464&gt;INDEX(Sectorwise!F:F,MATCH(F464,Sectorwise!A:A,0)),1,0)</f>
        <v>0</v>
      </c>
      <c r="S464" s="27">
        <f t="shared" si="29"/>
        <v>0</v>
      </c>
      <c r="T464" s="27">
        <f t="shared" si="30"/>
        <v>7755</v>
      </c>
      <c r="U464" s="27">
        <f t="shared" si="31"/>
        <v>0</v>
      </c>
      <c r="V464" s="95">
        <f>IF(R464=1,(N464-INDEX(Sectorwise!F:F,MATCH(F464,Sectorwise!A:A,0))),0)</f>
        <v>0</v>
      </c>
      <c r="W464" s="97">
        <f>POISSON(N464,INDEX(Sectorwise!D:D,MATCH(Travel!F154,Sectorwise!A:A,0)),TRUE)</f>
        <v>0.99999999932726769</v>
      </c>
    </row>
    <row r="465" spans="1:24" ht="15.75" hidden="1" customHeight="1" x14ac:dyDescent="0.2">
      <c r="A465" s="63" t="s">
        <v>1893</v>
      </c>
      <c r="B465" s="63" t="s">
        <v>1904</v>
      </c>
      <c r="C465" s="63"/>
      <c r="E465" s="63" t="s">
        <v>1905</v>
      </c>
      <c r="F465" s="29" t="s">
        <v>2134</v>
      </c>
      <c r="G465" s="69" t="s">
        <v>2308</v>
      </c>
      <c r="H465" s="63" t="s">
        <v>1906</v>
      </c>
      <c r="I465" s="63" t="s">
        <v>1807</v>
      </c>
      <c r="J465" s="65">
        <v>5766</v>
      </c>
      <c r="K465" s="65">
        <v>1053</v>
      </c>
      <c r="L465" s="26">
        <f t="shared" si="28"/>
        <v>6819</v>
      </c>
      <c r="M465" s="26">
        <f t="array" ref="M465">MEDIAN(IF($F$3:$F$810=F465,$L$3:$L$810))</f>
        <v>7412.5</v>
      </c>
      <c r="N465" s="65">
        <v>6819</v>
      </c>
      <c r="O465" s="62">
        <v>0</v>
      </c>
      <c r="P465" s="76">
        <f>IF(N465&lt;INDEX(Sectorwise!E:E,MATCH(F465,Sectorwise!A:A,0)),1,0)</f>
        <v>0</v>
      </c>
      <c r="Q465" s="76">
        <f>IF(AND(N465&gt;=INDEX(Sectorwise!E:E,MATCH(F465,Sectorwise!A:A,0)),N465&lt;=INDEX(Sectorwise!F:F,MATCH(F465,Sectorwise!A:A,0))),1,0)</f>
        <v>1</v>
      </c>
      <c r="R465" s="76">
        <f>IF(N465&gt;INDEX(Sectorwise!F:F,MATCH(F465,Sectorwise!A:A,0)),1,0)</f>
        <v>0</v>
      </c>
      <c r="S465" s="27">
        <f t="shared" si="29"/>
        <v>0</v>
      </c>
      <c r="T465" s="27">
        <f t="shared" si="30"/>
        <v>6819</v>
      </c>
      <c r="U465" s="27">
        <f t="shared" si="31"/>
        <v>0</v>
      </c>
      <c r="V465" s="95">
        <f>IF(R465=1,(N465-INDEX(Sectorwise!F:F,MATCH(F465,Sectorwise!A:A,0))),0)</f>
        <v>0</v>
      </c>
      <c r="W465" s="97">
        <f>POISSON(N465,INDEX(Sectorwise!D:D,MATCH(Travel!F726,Sectorwise!A:A,0)),TRUE)</f>
        <v>1.9063125726481558E-230</v>
      </c>
    </row>
    <row r="466" spans="1:24" ht="15.75" hidden="1" customHeight="1" x14ac:dyDescent="0.2">
      <c r="A466" s="63" t="s">
        <v>1713</v>
      </c>
      <c r="B466" s="63" t="s">
        <v>1724</v>
      </c>
      <c r="C466" s="63"/>
      <c r="E466" s="63" t="s">
        <v>1905</v>
      </c>
      <c r="F466" s="63" t="s">
        <v>1725</v>
      </c>
      <c r="G466" s="63" t="s">
        <v>2333</v>
      </c>
      <c r="H466" s="63" t="s">
        <v>715</v>
      </c>
      <c r="I466" s="63" t="s">
        <v>41</v>
      </c>
      <c r="J466" s="65">
        <v>6710</v>
      </c>
      <c r="K466" s="65">
        <v>290</v>
      </c>
      <c r="L466" s="26">
        <f t="shared" si="28"/>
        <v>7000</v>
      </c>
      <c r="M466" s="26">
        <f t="array" ref="M466">MEDIAN(IF($F$3:$F$810=F466,$L$3:$L$810))</f>
        <v>7000</v>
      </c>
      <c r="N466" s="65">
        <v>7000</v>
      </c>
      <c r="O466" s="62">
        <v>0</v>
      </c>
      <c r="P466" s="76">
        <f>IF(N466&lt;INDEX(Sectorwise!E:E,MATCH(F466,Sectorwise!A:A,0)),1,0)</f>
        <v>0</v>
      </c>
      <c r="Q466" s="76">
        <f>IF(AND(N466&gt;=INDEX(Sectorwise!E:E,MATCH(F466,Sectorwise!A:A,0)),N466&lt;=INDEX(Sectorwise!F:F,MATCH(F466,Sectorwise!A:A,0))),1,0)</f>
        <v>1</v>
      </c>
      <c r="R466" s="76">
        <f>IF(N466&gt;INDEX(Sectorwise!F:F,MATCH(F466,Sectorwise!A:A,0)),1,0)</f>
        <v>0</v>
      </c>
      <c r="S466" s="27">
        <f t="shared" si="29"/>
        <v>0</v>
      </c>
      <c r="T466" s="27">
        <f t="shared" si="30"/>
        <v>7000</v>
      </c>
      <c r="U466" s="27">
        <f t="shared" si="31"/>
        <v>0</v>
      </c>
      <c r="V466" s="95">
        <f>IF(R466=1,(N466-INDEX(Sectorwise!F:F,MATCH(F466,Sectorwise!A:A,0))),0)</f>
        <v>0</v>
      </c>
      <c r="W466" s="97">
        <f>POISSON(N466,INDEX(Sectorwise!D:D,MATCH(Travel!F652,Sectorwise!A:A,0)),TRUE)</f>
        <v>5.0681651349041519E-266</v>
      </c>
    </row>
    <row r="467" spans="1:24" ht="15.75" hidden="1" customHeight="1" x14ac:dyDescent="0.2">
      <c r="A467" s="21" t="s">
        <v>700</v>
      </c>
      <c r="B467" s="24" t="s">
        <v>706</v>
      </c>
      <c r="C467" s="22"/>
      <c r="D467" s="32"/>
      <c r="E467" s="21" t="s">
        <v>707</v>
      </c>
      <c r="F467" s="21" t="s">
        <v>2215</v>
      </c>
      <c r="G467" s="63" t="s">
        <v>2324</v>
      </c>
      <c r="H467" s="21" t="s">
        <v>708</v>
      </c>
      <c r="I467" s="21" t="s">
        <v>709</v>
      </c>
      <c r="J467" s="25">
        <v>29000</v>
      </c>
      <c r="K467" s="25">
        <v>41500</v>
      </c>
      <c r="L467" s="26">
        <f t="shared" si="28"/>
        <v>70500</v>
      </c>
      <c r="M467" s="26">
        <f t="array" ref="M467">MEDIAN(IF($F$3:$F$810=F467,$L$3:$L$810))</f>
        <v>70500</v>
      </c>
      <c r="N467" s="47">
        <v>70500</v>
      </c>
      <c r="O467" s="55"/>
      <c r="P467" s="76">
        <f>IF(N467&lt;INDEX(Sectorwise!E:E,MATCH(F467,Sectorwise!A:A,0)),1,0)</f>
        <v>0</v>
      </c>
      <c r="Q467" s="76">
        <f>IF(AND(N467&gt;=INDEX(Sectorwise!E:E,MATCH(F467,Sectorwise!A:A,0)),N467&lt;=INDEX(Sectorwise!F:F,MATCH(F467,Sectorwise!A:A,0))),1,0)</f>
        <v>1</v>
      </c>
      <c r="R467" s="76">
        <f>IF(N467&gt;INDEX(Sectorwise!F:F,MATCH(F467,Sectorwise!A:A,0)),1,0)</f>
        <v>0</v>
      </c>
      <c r="S467" s="27">
        <f t="shared" si="29"/>
        <v>0</v>
      </c>
      <c r="T467" s="27">
        <f t="shared" si="30"/>
        <v>70500</v>
      </c>
      <c r="U467" s="27">
        <f t="shared" si="31"/>
        <v>0</v>
      </c>
      <c r="V467" s="95">
        <f>IF(R467=1,(N467-INDEX(Sectorwise!F:F,MATCH(F467,Sectorwise!A:A,0))),0)</f>
        <v>0</v>
      </c>
      <c r="W467" s="97">
        <f>POISSON(N467,INDEX(Sectorwise!D:D,MATCH(Travel!F268,Sectorwise!A:A,0)),TRUE)</f>
        <v>1</v>
      </c>
    </row>
    <row r="468" spans="1:24" ht="15.75" hidden="1" customHeight="1" x14ac:dyDescent="0.2">
      <c r="A468" s="63" t="s">
        <v>1134</v>
      </c>
      <c r="B468" s="63" t="s">
        <v>1137</v>
      </c>
      <c r="C468" s="63"/>
      <c r="E468" s="63" t="s">
        <v>1140</v>
      </c>
      <c r="F468" s="63" t="s">
        <v>2238</v>
      </c>
      <c r="G468" s="56" t="s">
        <v>2309</v>
      </c>
      <c r="H468" s="63" t="s">
        <v>1143</v>
      </c>
      <c r="I468" s="63" t="s">
        <v>1139</v>
      </c>
      <c r="J468" s="65">
        <v>6400</v>
      </c>
      <c r="K468" s="65">
        <v>3539</v>
      </c>
      <c r="L468" s="26">
        <f t="shared" si="28"/>
        <v>9939</v>
      </c>
      <c r="M468" s="26">
        <f t="array" ref="M468">MEDIAN(IF($F$3:$F$810=F468,$L$3:$L$810))</f>
        <v>9939</v>
      </c>
      <c r="N468" s="57">
        <f>J468+K468</f>
        <v>9939</v>
      </c>
      <c r="O468" s="62">
        <v>0</v>
      </c>
      <c r="P468" s="76">
        <f>IF(N468&lt;INDEX(Sectorwise!E:E,MATCH(F468,Sectorwise!A:A,0)),1,0)</f>
        <v>0</v>
      </c>
      <c r="Q468" s="76">
        <f>IF(AND(N468&gt;=INDEX(Sectorwise!E:E,MATCH(F468,Sectorwise!A:A,0)),N468&lt;=INDEX(Sectorwise!F:F,MATCH(F468,Sectorwise!A:A,0))),1,0)</f>
        <v>1</v>
      </c>
      <c r="R468" s="76">
        <f>IF(N468&gt;INDEX(Sectorwise!F:F,MATCH(F468,Sectorwise!A:A,0)),1,0)</f>
        <v>0</v>
      </c>
      <c r="S468" s="27">
        <f t="shared" si="29"/>
        <v>0</v>
      </c>
      <c r="T468" s="27">
        <f t="shared" si="30"/>
        <v>9939</v>
      </c>
      <c r="U468" s="27">
        <f t="shared" si="31"/>
        <v>0</v>
      </c>
      <c r="V468" s="95">
        <f>IF(R468=1,(N468-INDEX(Sectorwise!F:F,MATCH(F468,Sectorwise!A:A,0))),0)</f>
        <v>0</v>
      </c>
      <c r="W468" s="97">
        <f>POISSON(N468,INDEX(Sectorwise!D:D,MATCH(Travel!F431,Sectorwise!A:A,0)),TRUE)</f>
        <v>1</v>
      </c>
    </row>
    <row r="469" spans="1:24" ht="15.75" hidden="1" customHeight="1" x14ac:dyDescent="0.2">
      <c r="A469" s="63" t="s">
        <v>1134</v>
      </c>
      <c r="B469" s="63" t="s">
        <v>1137</v>
      </c>
      <c r="C469" s="63"/>
      <c r="E469" s="63" t="s">
        <v>1140</v>
      </c>
      <c r="F469" s="63" t="s">
        <v>2165</v>
      </c>
      <c r="G469" s="60" t="s">
        <v>2316</v>
      </c>
      <c r="H469" s="63" t="s">
        <v>1141</v>
      </c>
      <c r="I469" s="63" t="s">
        <v>1142</v>
      </c>
      <c r="J469" s="65">
        <v>3050</v>
      </c>
      <c r="K469" s="65">
        <v>4658</v>
      </c>
      <c r="L469" s="26">
        <f t="shared" si="28"/>
        <v>7708</v>
      </c>
      <c r="M469" s="26">
        <f t="array" ref="M469">MEDIAN(IF($F$3:$F$810=F469,$L$3:$L$810))</f>
        <v>7708</v>
      </c>
      <c r="N469" s="57">
        <f>J469+K469</f>
        <v>7708</v>
      </c>
      <c r="O469" s="62">
        <v>0</v>
      </c>
      <c r="P469" s="76">
        <f>IF(N469&lt;INDEX(Sectorwise!E:E,MATCH(F469,Sectorwise!A:A,0)),1,0)</f>
        <v>0</v>
      </c>
      <c r="Q469" s="76">
        <f>IF(AND(N469&gt;=INDEX(Sectorwise!E:E,MATCH(F469,Sectorwise!A:A,0)),N469&lt;=INDEX(Sectorwise!F:F,MATCH(F469,Sectorwise!A:A,0))),1,0)</f>
        <v>1</v>
      </c>
      <c r="R469" s="76">
        <f>IF(N469&gt;INDEX(Sectorwise!F:F,MATCH(F469,Sectorwise!A:A,0)),1,0)</f>
        <v>0</v>
      </c>
      <c r="S469" s="27">
        <f t="shared" si="29"/>
        <v>0</v>
      </c>
      <c r="T469" s="27">
        <f t="shared" si="30"/>
        <v>7708</v>
      </c>
      <c r="U469" s="27">
        <f t="shared" si="31"/>
        <v>0</v>
      </c>
      <c r="V469" s="95">
        <f>IF(R469=1,(N469-INDEX(Sectorwise!F:F,MATCH(F469,Sectorwise!A:A,0))),0)</f>
        <v>0</v>
      </c>
      <c r="W469" s="97">
        <f>POISSON(N469,INDEX(Sectorwise!D:D,MATCH(Travel!F430,Sectorwise!A:A,0)),TRUE)</f>
        <v>1</v>
      </c>
    </row>
    <row r="470" spans="1:24" ht="15.75" hidden="1" customHeight="1" x14ac:dyDescent="0.2">
      <c r="A470" s="33" t="s">
        <v>306</v>
      </c>
      <c r="B470" s="33" t="s">
        <v>307</v>
      </c>
      <c r="C470" s="40"/>
      <c r="D470" s="35"/>
      <c r="E470" s="33" t="s">
        <v>2297</v>
      </c>
      <c r="F470" s="29" t="s">
        <v>2134</v>
      </c>
      <c r="G470" s="56" t="s">
        <v>2309</v>
      </c>
      <c r="H470" s="33" t="s">
        <v>308</v>
      </c>
      <c r="I470" s="33" t="s">
        <v>298</v>
      </c>
      <c r="J470" s="42">
        <v>4500</v>
      </c>
      <c r="K470" s="45">
        <v>3196</v>
      </c>
      <c r="L470" s="26">
        <f t="shared" si="28"/>
        <v>7696</v>
      </c>
      <c r="M470" s="26">
        <f t="array" ref="M470">MEDIAN(IF($F$3:$F$810=F470,$L$3:$L$810))</f>
        <v>7412.5</v>
      </c>
      <c r="N470" s="43">
        <f>+J470+K470</f>
        <v>7696</v>
      </c>
      <c r="O470" s="38"/>
      <c r="P470" s="76">
        <f>IF(N470&lt;INDEX(Sectorwise!E:E,MATCH(F470,Sectorwise!A:A,0)),1,0)</f>
        <v>0</v>
      </c>
      <c r="Q470" s="76">
        <f>IF(AND(N470&gt;=INDEX(Sectorwise!E:E,MATCH(F470,Sectorwise!A:A,0)),N470&lt;=INDEX(Sectorwise!F:F,MATCH(F470,Sectorwise!A:A,0))),1,0)</f>
        <v>1</v>
      </c>
      <c r="R470" s="76">
        <f>IF(N470&gt;INDEX(Sectorwise!F:F,MATCH(F470,Sectorwise!A:A,0)),1,0)</f>
        <v>0</v>
      </c>
      <c r="S470" s="27">
        <f t="shared" si="29"/>
        <v>0</v>
      </c>
      <c r="T470" s="27">
        <f t="shared" si="30"/>
        <v>7696</v>
      </c>
      <c r="U470" s="27">
        <f t="shared" si="31"/>
        <v>0</v>
      </c>
      <c r="V470" s="95">
        <f>IF(R470=1,(N470-INDEX(Sectorwise!F:F,MATCH(F470,Sectorwise!A:A,0))),0)</f>
        <v>0</v>
      </c>
      <c r="W470" s="97">
        <f>POISSON(N470,INDEX(Sectorwise!D:D,MATCH(Travel!F115,Sectorwise!A:A,0)),TRUE)</f>
        <v>0.99999996342919306</v>
      </c>
      <c r="X470" s="44">
        <f>+N470-O470</f>
        <v>7696</v>
      </c>
    </row>
    <row r="471" spans="1:24" ht="15.75" hidden="1" customHeight="1" x14ac:dyDescent="0.2">
      <c r="A471" s="63" t="s">
        <v>1657</v>
      </c>
      <c r="B471" s="63" t="s">
        <v>1658</v>
      </c>
      <c r="C471" s="63"/>
      <c r="E471" s="33" t="s">
        <v>2297</v>
      </c>
      <c r="F471" s="63" t="s">
        <v>2158</v>
      </c>
      <c r="G471" s="63" t="s">
        <v>2312</v>
      </c>
      <c r="H471" s="63" t="s">
        <v>1659</v>
      </c>
      <c r="I471" s="63" t="s">
        <v>1660</v>
      </c>
      <c r="J471" s="65">
        <v>10862</v>
      </c>
      <c r="K471" s="65">
        <v>10638</v>
      </c>
      <c r="L471" s="26">
        <f t="shared" si="28"/>
        <v>21500</v>
      </c>
      <c r="M471" s="26">
        <f t="array" ref="M471">MEDIAN(IF($F$3:$F$810=F471,$L$3:$L$810))</f>
        <v>20521</v>
      </c>
      <c r="N471" s="65">
        <v>21500</v>
      </c>
      <c r="O471" s="62">
        <v>0</v>
      </c>
      <c r="P471" s="76">
        <f>IF(N471&lt;INDEX(Sectorwise!E:E,MATCH(F471,Sectorwise!A:A,0)),1,0)</f>
        <v>0</v>
      </c>
      <c r="Q471" s="76">
        <f>IF(AND(N471&gt;=INDEX(Sectorwise!E:E,MATCH(F471,Sectorwise!A:A,0)),N471&lt;=INDEX(Sectorwise!F:F,MATCH(F471,Sectorwise!A:A,0))),1,0)</f>
        <v>1</v>
      </c>
      <c r="R471" s="76">
        <f>IF(N471&gt;INDEX(Sectorwise!F:F,MATCH(F471,Sectorwise!A:A,0)),1,0)</f>
        <v>0</v>
      </c>
      <c r="S471" s="27">
        <f t="shared" si="29"/>
        <v>0</v>
      </c>
      <c r="T471" s="27">
        <f t="shared" si="30"/>
        <v>21500</v>
      </c>
      <c r="U471" s="27">
        <f t="shared" si="31"/>
        <v>0</v>
      </c>
      <c r="V471" s="95">
        <f>IF(R471=1,(N471-INDEX(Sectorwise!F:F,MATCH(F471,Sectorwise!A:A,0))),0)</f>
        <v>0</v>
      </c>
      <c r="W471" s="97">
        <f>POISSON(N471,INDEX(Sectorwise!D:D,MATCH(Travel!F631,Sectorwise!A:A,0)),TRUE)</f>
        <v>1</v>
      </c>
    </row>
    <row r="472" spans="1:24" ht="15.75" hidden="1" customHeight="1" x14ac:dyDescent="0.2">
      <c r="A472" s="33" t="s">
        <v>306</v>
      </c>
      <c r="B472" s="33" t="s">
        <v>311</v>
      </c>
      <c r="C472" s="40"/>
      <c r="D472" s="35"/>
      <c r="E472" s="33" t="s">
        <v>2297</v>
      </c>
      <c r="F472" s="21" t="s">
        <v>2135</v>
      </c>
      <c r="G472" s="56" t="s">
        <v>2309</v>
      </c>
      <c r="H472" s="33" t="s">
        <v>312</v>
      </c>
      <c r="I472" s="33" t="s">
        <v>298</v>
      </c>
      <c r="J472" s="42">
        <v>5110</v>
      </c>
      <c r="K472" s="45">
        <v>3313</v>
      </c>
      <c r="L472" s="26">
        <f t="shared" si="28"/>
        <v>8423</v>
      </c>
      <c r="M472" s="26">
        <f t="array" ref="M472">MEDIAN(IF($F$3:$F$810=F472,$L$3:$L$810))</f>
        <v>7234</v>
      </c>
      <c r="N472" s="43">
        <f>+J472+K472</f>
        <v>8423</v>
      </c>
      <c r="O472" s="38"/>
      <c r="P472" s="76">
        <f>IF(N472&lt;INDEX(Sectorwise!E:E,MATCH(F472,Sectorwise!A:A,0)),1,0)</f>
        <v>0</v>
      </c>
      <c r="Q472" s="76">
        <f>IF(AND(N472&gt;=INDEX(Sectorwise!E:E,MATCH(F472,Sectorwise!A:A,0)),N472&lt;=INDEX(Sectorwise!F:F,MATCH(F472,Sectorwise!A:A,0))),1,0)</f>
        <v>0</v>
      </c>
      <c r="R472" s="76">
        <f>IF(N472&gt;INDEX(Sectorwise!F:F,MATCH(F472,Sectorwise!A:A,0)),1,0)</f>
        <v>1</v>
      </c>
      <c r="S472" s="27">
        <f t="shared" si="29"/>
        <v>0</v>
      </c>
      <c r="T472" s="27">
        <f t="shared" si="30"/>
        <v>0</v>
      </c>
      <c r="U472" s="27">
        <f t="shared" si="31"/>
        <v>8423</v>
      </c>
      <c r="V472" s="95">
        <f>IF(R472=1,(N472-INDEX(Sectorwise!F:F,MATCH(F472,Sectorwise!A:A,0))),0)</f>
        <v>423</v>
      </c>
      <c r="W472" s="97">
        <f>POISSON(N472,INDEX(Sectorwise!D:D,MATCH(Travel!F117,Sectorwise!A:A,0)),TRUE)</f>
        <v>1</v>
      </c>
      <c r="X472" s="44">
        <f>+N472-O472</f>
        <v>8423</v>
      </c>
    </row>
    <row r="473" spans="1:24" ht="15.75" hidden="1" customHeight="1" x14ac:dyDescent="0.2">
      <c r="A473" s="33" t="s">
        <v>358</v>
      </c>
      <c r="B473" s="33" t="s">
        <v>364</v>
      </c>
      <c r="C473" s="40"/>
      <c r="D473" s="35"/>
      <c r="E473" s="33" t="s">
        <v>2297</v>
      </c>
      <c r="F473" s="29" t="s">
        <v>2134</v>
      </c>
      <c r="G473" s="56" t="s">
        <v>2309</v>
      </c>
      <c r="H473" s="33" t="s">
        <v>365</v>
      </c>
      <c r="I473" s="33" t="s">
        <v>361</v>
      </c>
      <c r="J473" s="42">
        <v>4550</v>
      </c>
      <c r="K473" s="45">
        <v>3122</v>
      </c>
      <c r="L473" s="26">
        <f t="shared" si="28"/>
        <v>7672</v>
      </c>
      <c r="M473" s="26">
        <f t="array" ref="M473">MEDIAN(IF($F$3:$F$810=F473,$L$3:$L$810))</f>
        <v>7412.5</v>
      </c>
      <c r="N473" s="43">
        <f>+J473+K473</f>
        <v>7672</v>
      </c>
      <c r="O473" s="38"/>
      <c r="P473" s="76">
        <f>IF(N473&lt;INDEX(Sectorwise!E:E,MATCH(F473,Sectorwise!A:A,0)),1,0)</f>
        <v>0</v>
      </c>
      <c r="Q473" s="76">
        <f>IF(AND(N473&gt;=INDEX(Sectorwise!E:E,MATCH(F473,Sectorwise!A:A,0)),N473&lt;=INDEX(Sectorwise!F:F,MATCH(F473,Sectorwise!A:A,0))),1,0)</f>
        <v>1</v>
      </c>
      <c r="R473" s="76">
        <f>IF(N473&gt;INDEX(Sectorwise!F:F,MATCH(F473,Sectorwise!A:A,0)),1,0)</f>
        <v>0</v>
      </c>
      <c r="S473" s="27">
        <f t="shared" si="29"/>
        <v>0</v>
      </c>
      <c r="T473" s="27">
        <f t="shared" si="30"/>
        <v>7672</v>
      </c>
      <c r="U473" s="27">
        <f t="shared" si="31"/>
        <v>0</v>
      </c>
      <c r="V473" s="95">
        <f>IF(R473=1,(N473-INDEX(Sectorwise!F:F,MATCH(F473,Sectorwise!A:A,0))),0)</f>
        <v>0</v>
      </c>
      <c r="W473" s="97">
        <f>POISSON(N473,INDEX(Sectorwise!D:D,MATCH(Travel!F135,Sectorwise!A:A,0)),TRUE)</f>
        <v>0</v>
      </c>
      <c r="X473" s="44">
        <f>+N473-O473</f>
        <v>7672</v>
      </c>
    </row>
    <row r="474" spans="1:24" ht="15.75" hidden="1" customHeight="1" x14ac:dyDescent="0.2">
      <c r="A474" s="60" t="s">
        <v>912</v>
      </c>
      <c r="B474" s="60" t="s">
        <v>920</v>
      </c>
      <c r="C474" s="60"/>
      <c r="E474" s="33" t="s">
        <v>2297</v>
      </c>
      <c r="F474" s="29" t="s">
        <v>2134</v>
      </c>
      <c r="G474" s="63" t="s">
        <v>2312</v>
      </c>
      <c r="H474" s="60" t="s">
        <v>921</v>
      </c>
      <c r="I474" s="60" t="s">
        <v>922</v>
      </c>
      <c r="J474" s="61">
        <v>3130</v>
      </c>
      <c r="K474" s="61">
        <v>3043</v>
      </c>
      <c r="L474" s="26">
        <f t="shared" si="28"/>
        <v>6173</v>
      </c>
      <c r="M474" s="26">
        <f t="array" ref="M474">MEDIAN(IF($F$3:$F$810=F474,$L$3:$L$810))</f>
        <v>7412.5</v>
      </c>
      <c r="N474" s="61">
        <v>6173</v>
      </c>
      <c r="O474" s="62">
        <v>0</v>
      </c>
      <c r="P474" s="76">
        <f>IF(N474&lt;INDEX(Sectorwise!E:E,MATCH(F474,Sectorwise!A:A,0)),1,0)</f>
        <v>1</v>
      </c>
      <c r="Q474" s="76">
        <f>IF(AND(N474&gt;=INDEX(Sectorwise!E:E,MATCH(F474,Sectorwise!A:A,0)),N474&lt;=INDEX(Sectorwise!F:F,MATCH(F474,Sectorwise!A:A,0))),1,0)</f>
        <v>0</v>
      </c>
      <c r="R474" s="76">
        <f>IF(N474&gt;INDEX(Sectorwise!F:F,MATCH(F474,Sectorwise!A:A,0)),1,0)</f>
        <v>0</v>
      </c>
      <c r="S474" s="27">
        <f t="shared" si="29"/>
        <v>6173</v>
      </c>
      <c r="T474" s="27">
        <f t="shared" si="30"/>
        <v>0</v>
      </c>
      <c r="U474" s="27">
        <f t="shared" si="31"/>
        <v>0</v>
      </c>
      <c r="V474" s="95">
        <f>IF(R474=1,(N474-INDEX(Sectorwise!F:F,MATCH(F474,Sectorwise!A:A,0))),0)</f>
        <v>0</v>
      </c>
      <c r="W474" s="97">
        <f>POISSON(N474,INDEX(Sectorwise!D:D,MATCH(Travel!F344,Sectorwise!A:A,0)),TRUE)</f>
        <v>0</v>
      </c>
    </row>
    <row r="475" spans="1:24" ht="15.75" hidden="1" customHeight="1" x14ac:dyDescent="0.2">
      <c r="A475" s="63" t="s">
        <v>1823</v>
      </c>
      <c r="B475" s="63" t="s">
        <v>1830</v>
      </c>
      <c r="C475" s="63"/>
      <c r="E475" s="33" t="s">
        <v>2297</v>
      </c>
      <c r="F475" s="29" t="s">
        <v>2134</v>
      </c>
      <c r="G475" s="60" t="s">
        <v>2316</v>
      </c>
      <c r="H475" s="63" t="s">
        <v>1831</v>
      </c>
      <c r="I475" s="63" t="s">
        <v>1827</v>
      </c>
      <c r="J475" s="65">
        <v>4000</v>
      </c>
      <c r="K475" s="65">
        <v>3420</v>
      </c>
      <c r="L475" s="26">
        <f t="shared" si="28"/>
        <v>7420</v>
      </c>
      <c r="M475" s="26">
        <f t="array" ref="M475">MEDIAN(IF($F$3:$F$810=F475,$L$3:$L$810))</f>
        <v>7412.5</v>
      </c>
      <c r="N475" s="65">
        <v>7420</v>
      </c>
      <c r="O475" s="62">
        <v>0</v>
      </c>
      <c r="P475" s="76">
        <f>IF(N475&lt;INDEX(Sectorwise!E:E,MATCH(F475,Sectorwise!A:A,0)),1,0)</f>
        <v>0</v>
      </c>
      <c r="Q475" s="76">
        <f>IF(AND(N475&gt;=INDEX(Sectorwise!E:E,MATCH(F475,Sectorwise!A:A,0)),N475&lt;=INDEX(Sectorwise!F:F,MATCH(F475,Sectorwise!A:A,0))),1,0)</f>
        <v>1</v>
      </c>
      <c r="R475" s="76">
        <f>IF(N475&gt;INDEX(Sectorwise!F:F,MATCH(F475,Sectorwise!A:A,0)),1,0)</f>
        <v>0</v>
      </c>
      <c r="S475" s="27">
        <f t="shared" si="29"/>
        <v>0</v>
      </c>
      <c r="T475" s="27">
        <f t="shared" si="30"/>
        <v>7420</v>
      </c>
      <c r="U475" s="27">
        <f t="shared" si="31"/>
        <v>0</v>
      </c>
      <c r="V475" s="95">
        <f>IF(R475=1,(N475-INDEX(Sectorwise!F:F,MATCH(F475,Sectorwise!A:A,0))),0)</f>
        <v>0</v>
      </c>
      <c r="W475" s="97">
        <f>POISSON(N475,INDEX(Sectorwise!D:D,MATCH(Travel!F692,Sectorwise!A:A,0)),TRUE)</f>
        <v>7.1134145279467998E-235</v>
      </c>
    </row>
    <row r="476" spans="1:24" ht="15.75" hidden="1" customHeight="1" x14ac:dyDescent="0.2">
      <c r="A476" s="21" t="s">
        <v>597</v>
      </c>
      <c r="B476" s="21" t="s">
        <v>605</v>
      </c>
      <c r="C476" s="22"/>
      <c r="E476" s="33" t="s">
        <v>2297</v>
      </c>
      <c r="F476" s="21" t="s">
        <v>2147</v>
      </c>
      <c r="G476" s="63" t="s">
        <v>2312</v>
      </c>
      <c r="H476" s="21" t="s">
        <v>606</v>
      </c>
      <c r="I476" s="21" t="s">
        <v>578</v>
      </c>
      <c r="J476" s="25">
        <v>3668</v>
      </c>
      <c r="K476" s="25">
        <v>5113</v>
      </c>
      <c r="L476" s="26">
        <f t="shared" si="28"/>
        <v>8781</v>
      </c>
      <c r="M476" s="26">
        <f t="array" ref="M476">MEDIAN(IF($F$3:$F$810=F476,$L$3:$L$810))</f>
        <v>10605</v>
      </c>
      <c r="N476" s="47">
        <v>8781</v>
      </c>
      <c r="O476" s="55"/>
      <c r="P476" s="76">
        <f>IF(N476&lt;INDEX(Sectorwise!E:E,MATCH(F476,Sectorwise!A:A,0)),1,0)</f>
        <v>1</v>
      </c>
      <c r="Q476" s="76">
        <f>IF(AND(N476&gt;=INDEX(Sectorwise!E:E,MATCH(F476,Sectorwise!A:A,0)),N476&lt;=INDEX(Sectorwise!F:F,MATCH(F476,Sectorwise!A:A,0))),1,0)</f>
        <v>0</v>
      </c>
      <c r="R476" s="76">
        <f>IF(N476&gt;INDEX(Sectorwise!F:F,MATCH(F476,Sectorwise!A:A,0)),1,0)</f>
        <v>0</v>
      </c>
      <c r="S476" s="27">
        <f t="shared" si="29"/>
        <v>8781</v>
      </c>
      <c r="T476" s="27">
        <f t="shared" si="30"/>
        <v>0</v>
      </c>
      <c r="U476" s="27">
        <f t="shared" si="31"/>
        <v>0</v>
      </c>
      <c r="V476" s="95">
        <f>IF(R476=1,(N476-INDEX(Sectorwise!F:F,MATCH(F476,Sectorwise!A:A,0))),0)</f>
        <v>0</v>
      </c>
      <c r="W476" s="97">
        <f>POISSON(N476,INDEX(Sectorwise!D:D,MATCH(Travel!F227,Sectorwise!A:A,0)),TRUE)</f>
        <v>9.7477006019776166E-75</v>
      </c>
    </row>
    <row r="477" spans="1:24" ht="15.75" hidden="1" customHeight="1" x14ac:dyDescent="0.2">
      <c r="A477" s="60" t="s">
        <v>1041</v>
      </c>
      <c r="B477" s="60" t="s">
        <v>1042</v>
      </c>
      <c r="C477" s="60"/>
      <c r="E477" s="33" t="s">
        <v>2297</v>
      </c>
      <c r="F477" s="21" t="s">
        <v>2147</v>
      </c>
      <c r="G477" s="56" t="s">
        <v>2309</v>
      </c>
      <c r="H477" s="60" t="s">
        <v>1044</v>
      </c>
      <c r="I477" s="60" t="s">
        <v>991</v>
      </c>
      <c r="J477" s="61">
        <v>7800</v>
      </c>
      <c r="K477" s="61">
        <v>4082</v>
      </c>
      <c r="L477" s="26">
        <f t="shared" si="28"/>
        <v>11882</v>
      </c>
      <c r="M477" s="26">
        <f t="array" ref="M477">MEDIAN(IF($F$3:$F$810=F477,$L$3:$L$810))</f>
        <v>10605</v>
      </c>
      <c r="N477" s="61">
        <v>11882</v>
      </c>
      <c r="O477" s="62">
        <v>0</v>
      </c>
      <c r="P477" s="76">
        <f>IF(N477&lt;INDEX(Sectorwise!E:E,MATCH(F477,Sectorwise!A:A,0)),1,0)</f>
        <v>0</v>
      </c>
      <c r="Q477" s="76">
        <f>IF(AND(N477&gt;=INDEX(Sectorwise!E:E,MATCH(F477,Sectorwise!A:A,0)),N477&lt;=INDEX(Sectorwise!F:F,MATCH(F477,Sectorwise!A:A,0))),1,0)</f>
        <v>0</v>
      </c>
      <c r="R477" s="76">
        <f>IF(N477&gt;INDEX(Sectorwise!F:F,MATCH(F477,Sectorwise!A:A,0)),1,0)</f>
        <v>1</v>
      </c>
      <c r="S477" s="27">
        <f t="shared" si="29"/>
        <v>0</v>
      </c>
      <c r="T477" s="27">
        <f t="shared" si="30"/>
        <v>0</v>
      </c>
      <c r="U477" s="27">
        <f t="shared" si="31"/>
        <v>11882</v>
      </c>
      <c r="V477" s="95">
        <f>IF(R477=1,(N477-INDEX(Sectorwise!F:F,MATCH(F477,Sectorwise!A:A,0))),0)</f>
        <v>182</v>
      </c>
      <c r="W477" s="97">
        <f>POISSON(N477,INDEX(Sectorwise!D:D,MATCH(Travel!F391,Sectorwise!A:A,0)),TRUE)</f>
        <v>1</v>
      </c>
    </row>
    <row r="478" spans="1:24" ht="15.75" hidden="1" customHeight="1" x14ac:dyDescent="0.2">
      <c r="A478" s="60" t="s">
        <v>912</v>
      </c>
      <c r="B478" s="60" t="s">
        <v>923</v>
      </c>
      <c r="C478" s="64" t="s">
        <v>924</v>
      </c>
      <c r="E478" s="33" t="s">
        <v>2297</v>
      </c>
      <c r="F478" s="21" t="s">
        <v>2135</v>
      </c>
      <c r="G478" s="63" t="s">
        <v>2312</v>
      </c>
      <c r="H478" s="60" t="s">
        <v>925</v>
      </c>
      <c r="I478" s="60" t="s">
        <v>926</v>
      </c>
      <c r="J478" s="61">
        <v>3130</v>
      </c>
      <c r="K478" s="61">
        <v>3126</v>
      </c>
      <c r="L478" s="26">
        <f t="shared" si="28"/>
        <v>6256</v>
      </c>
      <c r="M478" s="26">
        <f t="array" ref="M478">MEDIAN(IF($F$3:$F$810=F478,$L$3:$L$810))</f>
        <v>7234</v>
      </c>
      <c r="N478" s="61">
        <v>12512</v>
      </c>
      <c r="O478" s="62">
        <v>4577</v>
      </c>
      <c r="P478" s="76">
        <f>IF(N478&lt;INDEX(Sectorwise!E:E,MATCH(F478,Sectorwise!A:A,0)),1,0)</f>
        <v>0</v>
      </c>
      <c r="Q478" s="76">
        <f>IF(AND(N478&gt;=INDEX(Sectorwise!E:E,MATCH(F478,Sectorwise!A:A,0)),N478&lt;=INDEX(Sectorwise!F:F,MATCH(F478,Sectorwise!A:A,0))),1,0)</f>
        <v>0</v>
      </c>
      <c r="R478" s="76">
        <f>IF(N478&gt;INDEX(Sectorwise!F:F,MATCH(F478,Sectorwise!A:A,0)),1,0)</f>
        <v>1</v>
      </c>
      <c r="S478" s="27">
        <f t="shared" si="29"/>
        <v>0</v>
      </c>
      <c r="T478" s="27">
        <f t="shared" si="30"/>
        <v>0</v>
      </c>
      <c r="U478" s="27">
        <f t="shared" si="31"/>
        <v>12512</v>
      </c>
      <c r="V478" s="95">
        <f>IF(R478=1,(N478-INDEX(Sectorwise!F:F,MATCH(F478,Sectorwise!A:A,0))),0)</f>
        <v>4512</v>
      </c>
      <c r="W478" s="97">
        <f>POISSON(N478,INDEX(Sectorwise!D:D,MATCH(Travel!F345,Sectorwise!A:A,0)),TRUE)</f>
        <v>6.6250997964340663E-59</v>
      </c>
    </row>
    <row r="479" spans="1:24" ht="15.75" hidden="1" customHeight="1" x14ac:dyDescent="0.2">
      <c r="A479" s="21" t="s">
        <v>597</v>
      </c>
      <c r="B479" s="21" t="s">
        <v>605</v>
      </c>
      <c r="C479" s="22"/>
      <c r="E479" s="33" t="s">
        <v>2297</v>
      </c>
      <c r="F479" s="21" t="s">
        <v>2149</v>
      </c>
      <c r="G479" s="63" t="s">
        <v>2312</v>
      </c>
      <c r="H479" s="21" t="s">
        <v>607</v>
      </c>
      <c r="I479" s="21" t="s">
        <v>570</v>
      </c>
      <c r="J479" s="25">
        <v>2165</v>
      </c>
      <c r="K479" s="25">
        <v>4364</v>
      </c>
      <c r="L479" s="26">
        <f t="shared" si="28"/>
        <v>6529</v>
      </c>
      <c r="M479" s="26">
        <f t="array" ref="M479">MEDIAN(IF($F$3:$F$810=F479,$L$3:$L$810))</f>
        <v>10332</v>
      </c>
      <c r="N479" s="47">
        <v>6529</v>
      </c>
      <c r="O479" s="55"/>
      <c r="P479" s="76">
        <f>IF(N479&lt;INDEX(Sectorwise!E:E,MATCH(F479,Sectorwise!A:A,0)),1,0)</f>
        <v>1</v>
      </c>
      <c r="Q479" s="76">
        <f>IF(AND(N479&gt;=INDEX(Sectorwise!E:E,MATCH(F479,Sectorwise!A:A,0)),N479&lt;=INDEX(Sectorwise!F:F,MATCH(F479,Sectorwise!A:A,0))),1,0)</f>
        <v>0</v>
      </c>
      <c r="R479" s="76">
        <f>IF(N479&gt;INDEX(Sectorwise!F:F,MATCH(F479,Sectorwise!A:A,0)),1,0)</f>
        <v>0</v>
      </c>
      <c r="S479" s="27">
        <f t="shared" si="29"/>
        <v>6529</v>
      </c>
      <c r="T479" s="27">
        <f t="shared" si="30"/>
        <v>0</v>
      </c>
      <c r="U479" s="27">
        <f t="shared" si="31"/>
        <v>0</v>
      </c>
      <c r="V479" s="95">
        <f>IF(R479=1,(N479-INDEX(Sectorwise!F:F,MATCH(F479,Sectorwise!A:A,0))),0)</f>
        <v>0</v>
      </c>
      <c r="W479" s="97">
        <f>POISSON(N479,INDEX(Sectorwise!D:D,MATCH(Travel!F228,Sectorwise!A:A,0)),TRUE)</f>
        <v>0</v>
      </c>
    </row>
    <row r="480" spans="1:24" ht="15.75" hidden="1" customHeight="1" x14ac:dyDescent="0.2">
      <c r="A480" s="69" t="s">
        <v>1942</v>
      </c>
      <c r="B480" s="69" t="s">
        <v>1943</v>
      </c>
      <c r="C480" s="69"/>
      <c r="E480" s="33" t="s">
        <v>2297</v>
      </c>
      <c r="F480" s="69" t="s">
        <v>2232</v>
      </c>
      <c r="G480" s="56" t="s">
        <v>2309</v>
      </c>
      <c r="H480" s="69" t="s">
        <v>1944</v>
      </c>
      <c r="I480" s="69" t="s">
        <v>1807</v>
      </c>
      <c r="J480" s="70">
        <v>4170</v>
      </c>
      <c r="K480" s="70">
        <v>1455</v>
      </c>
      <c r="L480" s="26">
        <f t="shared" si="28"/>
        <v>5625</v>
      </c>
      <c r="M480" s="26">
        <f t="array" ref="M480">MEDIAN(IF($F$3:$F$810=F480,$L$3:$L$810))</f>
        <v>5455</v>
      </c>
      <c r="N480" s="70">
        <v>5625</v>
      </c>
      <c r="O480" s="71">
        <v>0</v>
      </c>
      <c r="P480" s="76">
        <f>IF(N480&lt;INDEX(Sectorwise!E:E,MATCH(F480,Sectorwise!A:A,0)),1,0)</f>
        <v>0</v>
      </c>
      <c r="Q480" s="76">
        <f>IF(AND(N480&gt;=INDEX(Sectorwise!E:E,MATCH(F480,Sectorwise!A:A,0)),N480&lt;=INDEX(Sectorwise!F:F,MATCH(F480,Sectorwise!A:A,0))),1,0)</f>
        <v>1</v>
      </c>
      <c r="R480" s="76">
        <f>IF(N480&gt;INDEX(Sectorwise!F:F,MATCH(F480,Sectorwise!A:A,0)),1,0)</f>
        <v>0</v>
      </c>
      <c r="S480" s="27">
        <f t="shared" si="29"/>
        <v>0</v>
      </c>
      <c r="T480" s="27">
        <f t="shared" si="30"/>
        <v>5625</v>
      </c>
      <c r="U480" s="27">
        <f t="shared" si="31"/>
        <v>0</v>
      </c>
      <c r="V480" s="95">
        <f>IF(R480=1,(N480-INDEX(Sectorwise!F:F,MATCH(F480,Sectorwise!A:A,0))),0)</f>
        <v>0</v>
      </c>
      <c r="W480" s="97">
        <f>POISSON(N480,INDEX(Sectorwise!D:D,MATCH(Travel!F742,Sectorwise!A:A,0)),TRUE)</f>
        <v>1.4245392549753226E-104</v>
      </c>
    </row>
    <row r="481" spans="1:24" ht="15.75" hidden="1" customHeight="1" x14ac:dyDescent="0.2">
      <c r="A481" s="63" t="s">
        <v>1713</v>
      </c>
      <c r="B481" s="63" t="s">
        <v>1727</v>
      </c>
      <c r="C481" s="63"/>
      <c r="E481" s="63" t="s">
        <v>1728</v>
      </c>
      <c r="F481" s="33" t="s">
        <v>2208</v>
      </c>
      <c r="G481" s="69" t="s">
        <v>2308</v>
      </c>
      <c r="H481" s="63" t="s">
        <v>1729</v>
      </c>
      <c r="I481" s="63" t="s">
        <v>1716</v>
      </c>
      <c r="J481" s="65">
        <v>8670</v>
      </c>
      <c r="K481" s="65">
        <v>2108</v>
      </c>
      <c r="L481" s="26">
        <f t="shared" si="28"/>
        <v>10778</v>
      </c>
      <c r="M481" s="26">
        <f t="array" ref="M481">MEDIAN(IF($F$3:$F$810=F481,$L$3:$L$810))</f>
        <v>10597</v>
      </c>
      <c r="N481" s="65">
        <v>10778</v>
      </c>
      <c r="O481" s="62">
        <v>0</v>
      </c>
      <c r="P481" s="76">
        <f>IF(N481&lt;INDEX(Sectorwise!E:E,MATCH(F481,Sectorwise!A:A,0)),1,0)</f>
        <v>0</v>
      </c>
      <c r="Q481" s="76">
        <f>IF(AND(N481&gt;=INDEX(Sectorwise!E:E,MATCH(F481,Sectorwise!A:A,0)),N481&lt;=INDEX(Sectorwise!F:F,MATCH(F481,Sectorwise!A:A,0))),1,0)</f>
        <v>1</v>
      </c>
      <c r="R481" s="76">
        <f>IF(N481&gt;INDEX(Sectorwise!F:F,MATCH(F481,Sectorwise!A:A,0)),1,0)</f>
        <v>0</v>
      </c>
      <c r="S481" s="27">
        <f t="shared" si="29"/>
        <v>0</v>
      </c>
      <c r="T481" s="27">
        <f t="shared" si="30"/>
        <v>10778</v>
      </c>
      <c r="U481" s="27">
        <f t="shared" si="31"/>
        <v>0</v>
      </c>
      <c r="V481" s="95">
        <f>IF(R481=1,(N481-INDEX(Sectorwise!F:F,MATCH(F481,Sectorwise!A:A,0))),0)</f>
        <v>0</v>
      </c>
      <c r="W481" s="97">
        <f>POISSON(N481,INDEX(Sectorwise!D:D,MATCH(Travel!F654,Sectorwise!A:A,0)),TRUE)</f>
        <v>1</v>
      </c>
    </row>
    <row r="482" spans="1:24" ht="15.75" hidden="1" customHeight="1" x14ac:dyDescent="0.2">
      <c r="A482" s="69" t="s">
        <v>1984</v>
      </c>
      <c r="B482" s="69" t="s">
        <v>1985</v>
      </c>
      <c r="C482" s="69"/>
      <c r="E482" s="69" t="s">
        <v>1986</v>
      </c>
      <c r="F482" s="21" t="s">
        <v>2210</v>
      </c>
      <c r="G482" s="69" t="s">
        <v>2308</v>
      </c>
      <c r="H482" s="69" t="s">
        <v>1987</v>
      </c>
      <c r="I482" s="69" t="s">
        <v>1988</v>
      </c>
      <c r="J482" s="70">
        <v>17592</v>
      </c>
      <c r="K482" s="70">
        <v>2991</v>
      </c>
      <c r="L482" s="26">
        <f t="shared" si="28"/>
        <v>20583</v>
      </c>
      <c r="M482" s="26">
        <f t="array" ref="M482">MEDIAN(IF($F$3:$F$810=F482,$L$3:$L$810))</f>
        <v>19495</v>
      </c>
      <c r="N482" s="70">
        <v>20583</v>
      </c>
      <c r="O482" s="71">
        <v>0</v>
      </c>
      <c r="P482" s="76">
        <f>IF(N482&lt;INDEX(Sectorwise!E:E,MATCH(F482,Sectorwise!A:A,0)),1,0)</f>
        <v>0</v>
      </c>
      <c r="Q482" s="76">
        <f>IF(AND(N482&gt;=INDEX(Sectorwise!E:E,MATCH(F482,Sectorwise!A:A,0)),N482&lt;=INDEX(Sectorwise!F:F,MATCH(F482,Sectorwise!A:A,0))),1,0)</f>
        <v>1</v>
      </c>
      <c r="R482" s="76">
        <f>IF(N482&gt;INDEX(Sectorwise!F:F,MATCH(F482,Sectorwise!A:A,0)),1,0)</f>
        <v>0</v>
      </c>
      <c r="S482" s="27">
        <f t="shared" si="29"/>
        <v>0</v>
      </c>
      <c r="T482" s="27">
        <f t="shared" si="30"/>
        <v>20583</v>
      </c>
      <c r="U482" s="27">
        <f t="shared" si="31"/>
        <v>0</v>
      </c>
      <c r="V482" s="95">
        <f>IF(R482=1,(N482-INDEX(Sectorwise!F:F,MATCH(F482,Sectorwise!A:A,0))),0)</f>
        <v>0</v>
      </c>
      <c r="W482" s="97">
        <f>POISSON(N482,INDEX(Sectorwise!D:D,MATCH(Travel!F756,Sectorwise!A:A,0)),TRUE)</f>
        <v>1</v>
      </c>
    </row>
    <row r="483" spans="1:24" ht="15.75" hidden="1" customHeight="1" x14ac:dyDescent="0.2">
      <c r="A483" s="63" t="s">
        <v>1123</v>
      </c>
      <c r="B483" s="63" t="s">
        <v>1131</v>
      </c>
      <c r="C483" s="63"/>
      <c r="E483" s="63" t="s">
        <v>1132</v>
      </c>
      <c r="F483" s="63" t="s">
        <v>2202</v>
      </c>
      <c r="G483" s="63" t="s">
        <v>2317</v>
      </c>
      <c r="H483" s="63" t="s">
        <v>1133</v>
      </c>
      <c r="I483" s="63" t="s">
        <v>1104</v>
      </c>
      <c r="J483" s="65">
        <v>0</v>
      </c>
      <c r="K483" s="65">
        <v>15000</v>
      </c>
      <c r="L483" s="26">
        <f t="shared" si="28"/>
        <v>15000</v>
      </c>
      <c r="M483" s="26">
        <f t="array" ref="M483">MEDIAN(IF($F$3:$F$810=F483,$L$3:$L$810))</f>
        <v>15000</v>
      </c>
      <c r="N483" s="65">
        <v>15000</v>
      </c>
      <c r="O483" s="62">
        <v>0</v>
      </c>
      <c r="P483" s="76">
        <f>IF(N483&lt;INDEX(Sectorwise!E:E,MATCH(F483,Sectorwise!A:A,0)),1,0)</f>
        <v>0</v>
      </c>
      <c r="Q483" s="76">
        <f>IF(AND(N483&gt;=INDEX(Sectorwise!E:E,MATCH(F483,Sectorwise!A:A,0)),N483&lt;=INDEX(Sectorwise!F:F,MATCH(F483,Sectorwise!A:A,0))),1,0)</f>
        <v>1</v>
      </c>
      <c r="R483" s="76">
        <f>IF(N483&gt;INDEX(Sectorwise!F:F,MATCH(F483,Sectorwise!A:A,0)),1,0)</f>
        <v>0</v>
      </c>
      <c r="S483" s="27">
        <f t="shared" si="29"/>
        <v>0</v>
      </c>
      <c r="T483" s="27">
        <f t="shared" si="30"/>
        <v>15000</v>
      </c>
      <c r="U483" s="27">
        <f t="shared" si="31"/>
        <v>0</v>
      </c>
      <c r="V483" s="95">
        <f>IF(R483=1,(N483-INDEX(Sectorwise!F:F,MATCH(F483,Sectorwise!A:A,0))),0)</f>
        <v>0</v>
      </c>
      <c r="W483" s="97">
        <f>POISSON(N483,INDEX(Sectorwise!D:D,MATCH(Travel!F427,Sectorwise!A:A,0)),TRUE)</f>
        <v>1</v>
      </c>
    </row>
    <row r="484" spans="1:24" ht="15.75" hidden="1" customHeight="1" x14ac:dyDescent="0.2">
      <c r="A484" s="63" t="s">
        <v>1413</v>
      </c>
      <c r="B484" s="63" t="s">
        <v>1414</v>
      </c>
      <c r="C484" s="63"/>
      <c r="E484" s="63" t="s">
        <v>1415</v>
      </c>
      <c r="F484" s="21" t="s">
        <v>2147</v>
      </c>
      <c r="G484" s="56" t="s">
        <v>2309</v>
      </c>
      <c r="H484" s="63" t="s">
        <v>1416</v>
      </c>
      <c r="I484" s="63" t="s">
        <v>1417</v>
      </c>
      <c r="J484" s="65">
        <v>7950</v>
      </c>
      <c r="K484" s="65">
        <v>4091</v>
      </c>
      <c r="L484" s="26">
        <f t="shared" si="28"/>
        <v>12041</v>
      </c>
      <c r="M484" s="26">
        <f t="array" ref="M484">MEDIAN(IF($F$3:$F$810=F484,$L$3:$L$810))</f>
        <v>10605</v>
      </c>
      <c r="N484" s="65">
        <v>23747</v>
      </c>
      <c r="O484" s="62">
        <v>0</v>
      </c>
      <c r="P484" s="76">
        <f>IF(N484&lt;INDEX(Sectorwise!E:E,MATCH(F484,Sectorwise!A:A,0)),1,0)</f>
        <v>0</v>
      </c>
      <c r="Q484" s="76">
        <f>IF(AND(N484&gt;=INDEX(Sectorwise!E:E,MATCH(F484,Sectorwise!A:A,0)),N484&lt;=INDEX(Sectorwise!F:F,MATCH(F484,Sectorwise!A:A,0))),1,0)</f>
        <v>0</v>
      </c>
      <c r="R484" s="76">
        <f>IF(N484&gt;INDEX(Sectorwise!F:F,MATCH(F484,Sectorwise!A:A,0)),1,0)</f>
        <v>1</v>
      </c>
      <c r="S484" s="27">
        <f t="shared" si="29"/>
        <v>0</v>
      </c>
      <c r="T484" s="27">
        <f t="shared" si="30"/>
        <v>0</v>
      </c>
      <c r="U484" s="27">
        <f t="shared" si="31"/>
        <v>23747</v>
      </c>
      <c r="V484" s="95">
        <f>IF(R484=1,(N484-INDEX(Sectorwise!F:F,MATCH(F484,Sectorwise!A:A,0))),0)</f>
        <v>12047</v>
      </c>
      <c r="W484" s="97">
        <f>POISSON(N484,INDEX(Sectorwise!D:D,MATCH(Travel!F530,Sectorwise!A:A,0)),TRUE)</f>
        <v>1</v>
      </c>
    </row>
    <row r="485" spans="1:24" ht="15.75" hidden="1" customHeight="1" x14ac:dyDescent="0.2">
      <c r="A485" s="63" t="s">
        <v>1413</v>
      </c>
      <c r="B485" s="63" t="s">
        <v>1414</v>
      </c>
      <c r="C485" s="63"/>
      <c r="E485" s="63" t="s">
        <v>1415</v>
      </c>
      <c r="F485" s="21" t="s">
        <v>2149</v>
      </c>
      <c r="G485" s="33" t="s">
        <v>2321</v>
      </c>
      <c r="H485" s="63" t="s">
        <v>1418</v>
      </c>
      <c r="I485" s="63" t="s">
        <v>1417</v>
      </c>
      <c r="J485" s="65">
        <v>6027</v>
      </c>
      <c r="K485" s="65">
        <v>5679</v>
      </c>
      <c r="L485" s="26">
        <f t="shared" si="28"/>
        <v>11706</v>
      </c>
      <c r="M485" s="26">
        <f t="array" ref="M485">MEDIAN(IF($F$3:$F$810=F485,$L$3:$L$810))</f>
        <v>10332</v>
      </c>
      <c r="N485" s="57">
        <f>J485+K485</f>
        <v>11706</v>
      </c>
      <c r="O485" s="62">
        <v>0</v>
      </c>
      <c r="P485" s="76">
        <f>IF(N485&lt;INDEX(Sectorwise!E:E,MATCH(F485,Sectorwise!A:A,0)),1,0)</f>
        <v>0</v>
      </c>
      <c r="Q485" s="76">
        <f>IF(AND(N485&gt;=INDEX(Sectorwise!E:E,MATCH(F485,Sectorwise!A:A,0)),N485&lt;=INDEX(Sectorwise!F:F,MATCH(F485,Sectorwise!A:A,0))),1,0)</f>
        <v>0</v>
      </c>
      <c r="R485" s="76">
        <f>IF(N485&gt;INDEX(Sectorwise!F:F,MATCH(F485,Sectorwise!A:A,0)),1,0)</f>
        <v>1</v>
      </c>
      <c r="S485" s="27">
        <f t="shared" si="29"/>
        <v>0</v>
      </c>
      <c r="T485" s="27">
        <f t="shared" si="30"/>
        <v>0</v>
      </c>
      <c r="U485" s="27">
        <f t="shared" si="31"/>
        <v>11706</v>
      </c>
      <c r="V485" s="95">
        <f>IF(R485=1,(N485-INDEX(Sectorwise!F:F,MATCH(F485,Sectorwise!A:A,0))),0)</f>
        <v>306</v>
      </c>
      <c r="W485" s="97">
        <f>POISSON(N485,INDEX(Sectorwise!D:D,MATCH(Travel!F531,Sectorwise!A:A,0)),TRUE)</f>
        <v>1</v>
      </c>
    </row>
    <row r="486" spans="1:24" ht="15.75" hidden="1" customHeight="1" x14ac:dyDescent="0.2">
      <c r="A486" s="56" t="s">
        <v>766</v>
      </c>
      <c r="B486" s="56" t="s">
        <v>767</v>
      </c>
      <c r="C486" s="56"/>
      <c r="E486" s="56" t="s">
        <v>768</v>
      </c>
      <c r="F486" s="21" t="s">
        <v>2152</v>
      </c>
      <c r="G486" s="69" t="s">
        <v>2308</v>
      </c>
      <c r="H486" s="56" t="s">
        <v>769</v>
      </c>
      <c r="I486" s="56" t="s">
        <v>719</v>
      </c>
      <c r="J486" s="57">
        <v>3017</v>
      </c>
      <c r="K486" s="57">
        <v>1003</v>
      </c>
      <c r="L486" s="26">
        <f t="shared" si="28"/>
        <v>4020</v>
      </c>
      <c r="M486" s="26">
        <f t="array" ref="M486">MEDIAN(IF($F$3:$F$810=F486,$L$3:$L$810))</f>
        <v>5438</v>
      </c>
      <c r="N486" s="57">
        <v>4020</v>
      </c>
      <c r="O486" s="58">
        <v>0</v>
      </c>
      <c r="P486" s="76">
        <f>IF(N486&lt;INDEX(Sectorwise!E:E,MATCH(F486,Sectorwise!A:A,0)),1,0)</f>
        <v>1</v>
      </c>
      <c r="Q486" s="76">
        <f>IF(AND(N486&gt;=INDEX(Sectorwise!E:E,MATCH(F486,Sectorwise!A:A,0)),N486&lt;=INDEX(Sectorwise!F:F,MATCH(F486,Sectorwise!A:A,0))),1,0)</f>
        <v>0</v>
      </c>
      <c r="R486" s="76">
        <f>IF(N486&gt;INDEX(Sectorwise!F:F,MATCH(F486,Sectorwise!A:A,0)),1,0)</f>
        <v>0</v>
      </c>
      <c r="S486" s="27">
        <f t="shared" si="29"/>
        <v>4020</v>
      </c>
      <c r="T486" s="27">
        <f t="shared" si="30"/>
        <v>0</v>
      </c>
      <c r="U486" s="27">
        <f t="shared" si="31"/>
        <v>0</v>
      </c>
      <c r="V486" s="95">
        <f>IF(R486=1,(N486-INDEX(Sectorwise!F:F,MATCH(F486,Sectorwise!A:A,0))),0)</f>
        <v>0</v>
      </c>
      <c r="W486" s="97">
        <f>POISSON(N486,INDEX(Sectorwise!D:D,MATCH(Travel!F290,Sectorwise!A:A,0)),TRUE)</f>
        <v>0</v>
      </c>
    </row>
    <row r="487" spans="1:24" ht="15.75" hidden="1" customHeight="1" x14ac:dyDescent="0.2">
      <c r="A487" s="21" t="s">
        <v>490</v>
      </c>
      <c r="B487" s="21" t="s">
        <v>494</v>
      </c>
      <c r="C487" s="22"/>
      <c r="D487" s="32"/>
      <c r="E487" s="21" t="s">
        <v>495</v>
      </c>
      <c r="F487" s="21" t="s">
        <v>2173</v>
      </c>
      <c r="G487" s="33" t="s">
        <v>2321</v>
      </c>
      <c r="H487" s="21" t="s">
        <v>496</v>
      </c>
      <c r="I487" s="21" t="s">
        <v>497</v>
      </c>
      <c r="J487" s="25">
        <v>5174</v>
      </c>
      <c r="K487" s="25">
        <v>6548</v>
      </c>
      <c r="L487" s="26">
        <f t="shared" si="28"/>
        <v>11722</v>
      </c>
      <c r="M487" s="26">
        <f t="array" ref="M487">MEDIAN(IF($F$3:$F$810=F487,$L$3:$L$810))</f>
        <v>11722</v>
      </c>
      <c r="N487" s="47">
        <f>J487+K487</f>
        <v>11722</v>
      </c>
      <c r="O487" s="27"/>
      <c r="P487" s="76">
        <f>IF(N487&lt;INDEX(Sectorwise!E:E,MATCH(F487,Sectorwise!A:A,0)),1,0)</f>
        <v>0</v>
      </c>
      <c r="Q487" s="76">
        <f>IF(AND(N487&gt;=INDEX(Sectorwise!E:E,MATCH(F487,Sectorwise!A:A,0)),N487&lt;=INDEX(Sectorwise!F:F,MATCH(F487,Sectorwise!A:A,0))),1,0)</f>
        <v>1</v>
      </c>
      <c r="R487" s="76">
        <f>IF(N487&gt;INDEX(Sectorwise!F:F,MATCH(F487,Sectorwise!A:A,0)),1,0)</f>
        <v>0</v>
      </c>
      <c r="S487" s="27">
        <f t="shared" si="29"/>
        <v>0</v>
      </c>
      <c r="T487" s="27">
        <f t="shared" si="30"/>
        <v>11722</v>
      </c>
      <c r="U487" s="27">
        <f t="shared" si="31"/>
        <v>0</v>
      </c>
      <c r="V487" s="95">
        <f>IF(R487=1,(N487-INDEX(Sectorwise!F:F,MATCH(F487,Sectorwise!A:A,0))),0)</f>
        <v>0</v>
      </c>
      <c r="W487" s="97">
        <f>POISSON(N487,INDEX(Sectorwise!D:D,MATCH(Travel!F183,Sectorwise!A:A,0)),TRUE)</f>
        <v>1</v>
      </c>
    </row>
    <row r="488" spans="1:24" ht="15.75" hidden="1" customHeight="1" x14ac:dyDescent="0.2">
      <c r="A488" s="63" t="s">
        <v>1282</v>
      </c>
      <c r="B488" s="63" t="s">
        <v>1289</v>
      </c>
      <c r="C488" s="63"/>
      <c r="E488" s="63" t="s">
        <v>1290</v>
      </c>
      <c r="F488" s="29" t="s">
        <v>2134</v>
      </c>
      <c r="G488" s="56" t="s">
        <v>2309</v>
      </c>
      <c r="H488" s="63" t="s">
        <v>1291</v>
      </c>
      <c r="I488" s="63" t="s">
        <v>1239</v>
      </c>
      <c r="J488" s="65">
        <v>5500</v>
      </c>
      <c r="K488" s="65">
        <v>2587</v>
      </c>
      <c r="L488" s="26">
        <f t="shared" si="28"/>
        <v>8087</v>
      </c>
      <c r="M488" s="26">
        <f t="array" ref="M488">MEDIAN(IF($F$3:$F$810=F488,$L$3:$L$810))</f>
        <v>7412.5</v>
      </c>
      <c r="N488" s="65">
        <v>8087</v>
      </c>
      <c r="O488" s="62">
        <v>0</v>
      </c>
      <c r="P488" s="76">
        <f>IF(N488&lt;INDEX(Sectorwise!E:E,MATCH(F488,Sectorwise!A:A,0)),1,0)</f>
        <v>0</v>
      </c>
      <c r="Q488" s="76">
        <f>IF(AND(N488&gt;=INDEX(Sectorwise!E:E,MATCH(F488,Sectorwise!A:A,0)),N488&lt;=INDEX(Sectorwise!F:F,MATCH(F488,Sectorwise!A:A,0))),1,0)</f>
        <v>1</v>
      </c>
      <c r="R488" s="76">
        <f>IF(N488&gt;INDEX(Sectorwise!F:F,MATCH(F488,Sectorwise!A:A,0)),1,0)</f>
        <v>0</v>
      </c>
      <c r="S488" s="27">
        <f t="shared" si="29"/>
        <v>0</v>
      </c>
      <c r="T488" s="27">
        <f t="shared" si="30"/>
        <v>8087</v>
      </c>
      <c r="U488" s="27">
        <f t="shared" si="31"/>
        <v>0</v>
      </c>
      <c r="V488" s="95">
        <f>IF(R488=1,(N488-INDEX(Sectorwise!F:F,MATCH(F488,Sectorwise!A:A,0))),0)</f>
        <v>0</v>
      </c>
      <c r="W488" s="97">
        <f>POISSON(N488,INDEX(Sectorwise!D:D,MATCH(Travel!F485,Sectorwise!A:A,0)),TRUE)</f>
        <v>5.627878860417051E-117</v>
      </c>
    </row>
    <row r="489" spans="1:24" ht="15.75" hidden="1" customHeight="1" x14ac:dyDescent="0.2">
      <c r="A489" s="63" t="s">
        <v>1282</v>
      </c>
      <c r="B489" s="63" t="s">
        <v>1286</v>
      </c>
      <c r="C489" s="63"/>
      <c r="E489" s="63" t="s">
        <v>1287</v>
      </c>
      <c r="F489" s="29" t="s">
        <v>2134</v>
      </c>
      <c r="G489" s="56" t="s">
        <v>2309</v>
      </c>
      <c r="H489" s="63" t="s">
        <v>1288</v>
      </c>
      <c r="I489" s="63" t="s">
        <v>1239</v>
      </c>
      <c r="J489" s="65">
        <v>5500</v>
      </c>
      <c r="K489" s="65">
        <v>2587</v>
      </c>
      <c r="L489" s="26">
        <f t="shared" si="28"/>
        <v>8087</v>
      </c>
      <c r="M489" s="26">
        <f t="array" ref="M489">MEDIAN(IF($F$3:$F$810=F489,$L$3:$L$810))</f>
        <v>7412.5</v>
      </c>
      <c r="N489" s="65">
        <v>8087</v>
      </c>
      <c r="O489" s="62">
        <v>0</v>
      </c>
      <c r="P489" s="76">
        <f>IF(N489&lt;INDEX(Sectorwise!E:E,MATCH(F489,Sectorwise!A:A,0)),1,0)</f>
        <v>0</v>
      </c>
      <c r="Q489" s="76">
        <f>IF(AND(N489&gt;=INDEX(Sectorwise!E:E,MATCH(F489,Sectorwise!A:A,0)),N489&lt;=INDEX(Sectorwise!F:F,MATCH(F489,Sectorwise!A:A,0))),1,0)</f>
        <v>1</v>
      </c>
      <c r="R489" s="76">
        <f>IF(N489&gt;INDEX(Sectorwise!F:F,MATCH(F489,Sectorwise!A:A,0)),1,0)</f>
        <v>0</v>
      </c>
      <c r="S489" s="27">
        <f t="shared" si="29"/>
        <v>0</v>
      </c>
      <c r="T489" s="27">
        <f t="shared" si="30"/>
        <v>8087</v>
      </c>
      <c r="U489" s="27">
        <f t="shared" si="31"/>
        <v>0</v>
      </c>
      <c r="V489" s="95">
        <f>IF(R489=1,(N489-INDEX(Sectorwise!F:F,MATCH(F489,Sectorwise!A:A,0))),0)</f>
        <v>0</v>
      </c>
      <c r="W489" s="97">
        <f>POISSON(N489,INDEX(Sectorwise!D:D,MATCH(Travel!F484,Sectorwise!A:A,0)),TRUE)</f>
        <v>5.5612005866513208E-144</v>
      </c>
    </row>
    <row r="490" spans="1:24" ht="15.75" hidden="1" customHeight="1" x14ac:dyDescent="0.2">
      <c r="A490" s="33" t="s">
        <v>384</v>
      </c>
      <c r="B490" s="33" t="s">
        <v>385</v>
      </c>
      <c r="C490" s="40"/>
      <c r="D490" s="35"/>
      <c r="E490" s="63" t="s">
        <v>1287</v>
      </c>
      <c r="F490" s="33" t="s">
        <v>2136</v>
      </c>
      <c r="G490" s="33" t="s">
        <v>2321</v>
      </c>
      <c r="H490" s="33" t="s">
        <v>386</v>
      </c>
      <c r="I490" s="33" t="s">
        <v>387</v>
      </c>
      <c r="J490" s="36">
        <v>7292</v>
      </c>
      <c r="K490" s="36">
        <v>6798</v>
      </c>
      <c r="L490" s="26">
        <f t="shared" si="28"/>
        <v>14090</v>
      </c>
      <c r="M490" s="26">
        <f t="array" ref="M490">MEDIAN(IF($F$3:$F$810=F490,$L$3:$L$810))</f>
        <v>14406</v>
      </c>
      <c r="N490" s="47">
        <f>+J490+K490</f>
        <v>14090</v>
      </c>
      <c r="O490" s="27"/>
      <c r="P490" s="76">
        <f>IF(N490&lt;INDEX(Sectorwise!E:E,MATCH(F490,Sectorwise!A:A,0)),1,0)</f>
        <v>0</v>
      </c>
      <c r="Q490" s="76">
        <f>IF(AND(N490&gt;=INDEX(Sectorwise!E:E,MATCH(F490,Sectorwise!A:A,0)),N490&lt;=INDEX(Sectorwise!F:F,MATCH(F490,Sectorwise!A:A,0))),1,0)</f>
        <v>1</v>
      </c>
      <c r="R490" s="76">
        <f>IF(N490&gt;INDEX(Sectorwise!F:F,MATCH(F490,Sectorwise!A:A,0)),1,0)</f>
        <v>0</v>
      </c>
      <c r="S490" s="27">
        <f t="shared" si="29"/>
        <v>0</v>
      </c>
      <c r="T490" s="27">
        <f t="shared" si="30"/>
        <v>14090</v>
      </c>
      <c r="U490" s="27">
        <f t="shared" si="31"/>
        <v>0</v>
      </c>
      <c r="V490" s="95">
        <f>IF(R490=1,(N490-INDEX(Sectorwise!F:F,MATCH(F490,Sectorwise!A:A,0))),0)</f>
        <v>0</v>
      </c>
      <c r="W490" s="97">
        <f>POISSON(N490,INDEX(Sectorwise!D:D,MATCH(Travel!F145,Sectorwise!A:A,0)),TRUE)</f>
        <v>1</v>
      </c>
    </row>
    <row r="491" spans="1:24" ht="15.75" hidden="1" customHeight="1" x14ac:dyDescent="0.2">
      <c r="A491" s="63" t="s">
        <v>1273</v>
      </c>
      <c r="B491" s="63" t="s">
        <v>1280</v>
      </c>
      <c r="C491" s="63"/>
      <c r="E491" s="63" t="s">
        <v>1287</v>
      </c>
      <c r="F491" s="21" t="s">
        <v>2135</v>
      </c>
      <c r="G491" s="63" t="s">
        <v>2312</v>
      </c>
      <c r="H491" s="63" t="s">
        <v>1281</v>
      </c>
      <c r="I491" s="63" t="s">
        <v>1239</v>
      </c>
      <c r="J491" s="65">
        <v>5570</v>
      </c>
      <c r="K491" s="65">
        <v>3261</v>
      </c>
      <c r="L491" s="26">
        <f t="shared" si="28"/>
        <v>8831</v>
      </c>
      <c r="M491" s="26">
        <f t="array" ref="M491">MEDIAN(IF($F$3:$F$810=F491,$L$3:$L$810))</f>
        <v>7234</v>
      </c>
      <c r="N491" s="65">
        <v>8831</v>
      </c>
      <c r="O491" s="62">
        <v>0</v>
      </c>
      <c r="P491" s="76">
        <f>IF(N491&lt;INDEX(Sectorwise!E:E,MATCH(F491,Sectorwise!A:A,0)),1,0)</f>
        <v>0</v>
      </c>
      <c r="Q491" s="76">
        <f>IF(AND(N491&gt;=INDEX(Sectorwise!E:E,MATCH(F491,Sectorwise!A:A,0)),N491&lt;=INDEX(Sectorwise!F:F,MATCH(F491,Sectorwise!A:A,0))),1,0)</f>
        <v>0</v>
      </c>
      <c r="R491" s="76">
        <f>IF(N491&gt;INDEX(Sectorwise!F:F,MATCH(F491,Sectorwise!A:A,0)),1,0)</f>
        <v>1</v>
      </c>
      <c r="S491" s="27">
        <f t="shared" si="29"/>
        <v>0</v>
      </c>
      <c r="T491" s="27">
        <f t="shared" si="30"/>
        <v>0</v>
      </c>
      <c r="U491" s="27">
        <f t="shared" si="31"/>
        <v>8831</v>
      </c>
      <c r="V491" s="95">
        <f>IF(R491=1,(N491-INDEX(Sectorwise!F:F,MATCH(F491,Sectorwise!A:A,0))),0)</f>
        <v>831</v>
      </c>
      <c r="W491" s="97">
        <f>POISSON(N491,INDEX(Sectorwise!D:D,MATCH(Travel!F481,Sectorwise!A:A,0)),TRUE)</f>
        <v>4.1497236173376627E-70</v>
      </c>
    </row>
    <row r="492" spans="1:24" ht="15.75" hidden="1" customHeight="1" x14ac:dyDescent="0.2">
      <c r="A492" s="21" t="s">
        <v>69</v>
      </c>
      <c r="B492" s="21" t="s">
        <v>75</v>
      </c>
      <c r="C492" s="22"/>
      <c r="D492" s="23" t="s">
        <v>16</v>
      </c>
      <c r="E492" s="21" t="s">
        <v>76</v>
      </c>
      <c r="F492" s="21" t="s">
        <v>2241</v>
      </c>
      <c r="G492" s="33" t="s">
        <v>2332</v>
      </c>
      <c r="H492" s="21" t="s">
        <v>77</v>
      </c>
      <c r="I492" s="21" t="s">
        <v>46</v>
      </c>
      <c r="J492" s="25">
        <v>712</v>
      </c>
      <c r="K492" s="26">
        <v>112</v>
      </c>
      <c r="L492" s="26">
        <f t="shared" si="28"/>
        <v>824</v>
      </c>
      <c r="M492" s="26">
        <f t="array" ref="M492">MEDIAN(IF($F$3:$F$810=F492,$L$3:$L$810))</f>
        <v>824</v>
      </c>
      <c r="N492" s="26">
        <v>824</v>
      </c>
      <c r="O492" s="27"/>
      <c r="P492" s="76">
        <f>IF(N492&lt;INDEX(Sectorwise!E:E,MATCH(F492,Sectorwise!A:A,0)),1,0)</f>
        <v>0</v>
      </c>
      <c r="Q492" s="76">
        <f>IF(AND(N492&gt;=INDEX(Sectorwise!E:E,MATCH(F492,Sectorwise!A:A,0)),N492&lt;=INDEX(Sectorwise!F:F,MATCH(F492,Sectorwise!A:A,0))),1,0)</f>
        <v>1</v>
      </c>
      <c r="R492" s="76">
        <f>IF(N492&gt;INDEX(Sectorwise!F:F,MATCH(F492,Sectorwise!A:A,0)),1,0)</f>
        <v>0</v>
      </c>
      <c r="S492" s="27">
        <f t="shared" si="29"/>
        <v>0</v>
      </c>
      <c r="T492" s="27">
        <f t="shared" si="30"/>
        <v>824</v>
      </c>
      <c r="U492" s="27">
        <f t="shared" si="31"/>
        <v>0</v>
      </c>
      <c r="V492" s="95">
        <f>IF(R492=1,(N492-INDEX(Sectorwise!F:F,MATCH(F492,Sectorwise!A:A,0))),0)</f>
        <v>0</v>
      </c>
      <c r="W492" s="97">
        <f>POISSON(N492,INDEX(Sectorwise!D:D,MATCH(Travel!F23,Sectorwise!A:A,0)),TRUE)</f>
        <v>0</v>
      </c>
      <c r="X492" s="28">
        <v>824</v>
      </c>
    </row>
    <row r="493" spans="1:24" ht="15.75" hidden="1" customHeight="1" x14ac:dyDescent="0.2">
      <c r="A493" s="33" t="s">
        <v>414</v>
      </c>
      <c r="B493" s="33" t="s">
        <v>415</v>
      </c>
      <c r="C493" s="48"/>
      <c r="D493" s="35"/>
      <c r="E493" s="33" t="s">
        <v>416</v>
      </c>
      <c r="F493" s="29" t="s">
        <v>2134</v>
      </c>
      <c r="G493" s="69" t="s">
        <v>2308</v>
      </c>
      <c r="H493" s="33" t="s">
        <v>417</v>
      </c>
      <c r="I493" s="33" t="s">
        <v>418</v>
      </c>
      <c r="J493" s="36">
        <v>3720</v>
      </c>
      <c r="K493" s="36">
        <v>3336</v>
      </c>
      <c r="L493" s="26">
        <f t="shared" si="28"/>
        <v>7056</v>
      </c>
      <c r="M493" s="26">
        <f t="array" ref="M493">MEDIAN(IF($F$3:$F$810=F493,$L$3:$L$810))</f>
        <v>7412.5</v>
      </c>
      <c r="N493" s="47">
        <f>+J493+K493</f>
        <v>7056</v>
      </c>
      <c r="O493" s="27"/>
      <c r="P493" s="76">
        <f>IF(N493&lt;INDEX(Sectorwise!E:E,MATCH(F493,Sectorwise!A:A,0)),1,0)</f>
        <v>0</v>
      </c>
      <c r="Q493" s="76">
        <f>IF(AND(N493&gt;=INDEX(Sectorwise!E:E,MATCH(F493,Sectorwise!A:A,0)),N493&lt;=INDEX(Sectorwise!F:F,MATCH(F493,Sectorwise!A:A,0))),1,0)</f>
        <v>1</v>
      </c>
      <c r="R493" s="76">
        <f>IF(N493&gt;INDEX(Sectorwise!F:F,MATCH(F493,Sectorwise!A:A,0)),1,0)</f>
        <v>0</v>
      </c>
      <c r="S493" s="27">
        <f t="shared" si="29"/>
        <v>0</v>
      </c>
      <c r="T493" s="27">
        <f t="shared" si="30"/>
        <v>7056</v>
      </c>
      <c r="U493" s="27">
        <f t="shared" si="31"/>
        <v>0</v>
      </c>
      <c r="V493" s="95">
        <f>IF(R493=1,(N493-INDEX(Sectorwise!F:F,MATCH(F493,Sectorwise!A:A,0))),0)</f>
        <v>0</v>
      </c>
      <c r="W493" s="97">
        <f>POISSON(N493,INDEX(Sectorwise!D:D,MATCH(Travel!F157,Sectorwise!A:A,0)),TRUE)</f>
        <v>0</v>
      </c>
    </row>
    <row r="494" spans="1:24" ht="15.75" hidden="1" customHeight="1" x14ac:dyDescent="0.2">
      <c r="A494" s="33" t="s">
        <v>414</v>
      </c>
      <c r="B494" s="33" t="s">
        <v>415</v>
      </c>
      <c r="C494" s="14" t="s">
        <v>419</v>
      </c>
      <c r="D494" s="35"/>
      <c r="E494" s="33" t="s">
        <v>416</v>
      </c>
      <c r="F494" s="21" t="s">
        <v>2135</v>
      </c>
      <c r="G494" s="56" t="s">
        <v>2309</v>
      </c>
      <c r="H494" s="33" t="s">
        <v>420</v>
      </c>
      <c r="I494" s="33" t="s">
        <v>418</v>
      </c>
      <c r="J494" s="36">
        <v>4550</v>
      </c>
      <c r="K494" s="36">
        <v>3205</v>
      </c>
      <c r="L494" s="26">
        <f t="shared" si="28"/>
        <v>7755</v>
      </c>
      <c r="M494" s="26">
        <f t="array" ref="M494">MEDIAN(IF($F$3:$F$810=F494,$L$3:$L$810))</f>
        <v>7234</v>
      </c>
      <c r="N494" s="47">
        <f>+J494+K494</f>
        <v>7755</v>
      </c>
      <c r="O494" s="27">
        <v>6396</v>
      </c>
      <c r="P494" s="76">
        <f>IF(N494&lt;INDEX(Sectorwise!E:E,MATCH(F494,Sectorwise!A:A,0)),1,0)</f>
        <v>0</v>
      </c>
      <c r="Q494" s="76">
        <f>IF(AND(N494&gt;=INDEX(Sectorwise!E:E,MATCH(F494,Sectorwise!A:A,0)),N494&lt;=INDEX(Sectorwise!F:F,MATCH(F494,Sectorwise!A:A,0))),1,0)</f>
        <v>1</v>
      </c>
      <c r="R494" s="76">
        <f>IF(N494&gt;INDEX(Sectorwise!F:F,MATCH(F494,Sectorwise!A:A,0)),1,0)</f>
        <v>0</v>
      </c>
      <c r="S494" s="27">
        <f t="shared" si="29"/>
        <v>0</v>
      </c>
      <c r="T494" s="27">
        <f t="shared" si="30"/>
        <v>7755</v>
      </c>
      <c r="U494" s="27">
        <f t="shared" si="31"/>
        <v>0</v>
      </c>
      <c r="V494" s="95">
        <f>IF(R494=1,(N494-INDEX(Sectorwise!F:F,MATCH(F494,Sectorwise!A:A,0))),0)</f>
        <v>0</v>
      </c>
      <c r="W494" s="97">
        <f>POISSON(N494,INDEX(Sectorwise!D:D,MATCH(Travel!F158,Sectorwise!A:A,0)),TRUE)</f>
        <v>1</v>
      </c>
    </row>
    <row r="495" spans="1:24" ht="15.75" hidden="1" customHeight="1" x14ac:dyDescent="0.2">
      <c r="A495" s="33" t="s">
        <v>421</v>
      </c>
      <c r="B495" s="33" t="s">
        <v>422</v>
      </c>
      <c r="C495" s="40"/>
      <c r="D495" s="35"/>
      <c r="E495" s="33" t="s">
        <v>416</v>
      </c>
      <c r="F495" s="21" t="s">
        <v>2135</v>
      </c>
      <c r="G495" s="33" t="s">
        <v>2321</v>
      </c>
      <c r="H495" s="33" t="s">
        <v>423</v>
      </c>
      <c r="I495" s="33" t="s">
        <v>418</v>
      </c>
      <c r="J495" s="36">
        <v>3646</v>
      </c>
      <c r="K495" s="36">
        <v>3471</v>
      </c>
      <c r="L495" s="26">
        <f t="shared" si="28"/>
        <v>7117</v>
      </c>
      <c r="M495" s="26">
        <f t="array" ref="M495">MEDIAN(IF($F$3:$F$810=F495,$L$3:$L$810))</f>
        <v>7234</v>
      </c>
      <c r="N495" s="47">
        <f>+J495+K495</f>
        <v>7117</v>
      </c>
      <c r="O495" s="27"/>
      <c r="P495" s="76">
        <f>IF(N495&lt;INDEX(Sectorwise!E:E,MATCH(F495,Sectorwise!A:A,0)),1,0)</f>
        <v>0</v>
      </c>
      <c r="Q495" s="76">
        <f>IF(AND(N495&gt;=INDEX(Sectorwise!E:E,MATCH(F495,Sectorwise!A:A,0)),N495&lt;=INDEX(Sectorwise!F:F,MATCH(F495,Sectorwise!A:A,0))),1,0)</f>
        <v>1</v>
      </c>
      <c r="R495" s="76">
        <f>IF(N495&gt;INDEX(Sectorwise!F:F,MATCH(F495,Sectorwise!A:A,0)),1,0)</f>
        <v>0</v>
      </c>
      <c r="S495" s="27">
        <f t="shared" si="29"/>
        <v>0</v>
      </c>
      <c r="T495" s="27">
        <f t="shared" si="30"/>
        <v>7117</v>
      </c>
      <c r="U495" s="27">
        <f t="shared" si="31"/>
        <v>0</v>
      </c>
      <c r="V495" s="95">
        <f>IF(R495=1,(N495-INDEX(Sectorwise!F:F,MATCH(F495,Sectorwise!A:A,0))),0)</f>
        <v>0</v>
      </c>
      <c r="W495" s="97">
        <f>POISSON(N495,INDEX(Sectorwise!D:D,MATCH(Travel!F159,Sectorwise!A:A,0)),TRUE)</f>
        <v>0</v>
      </c>
    </row>
    <row r="496" spans="1:24" ht="15.75" hidden="1" customHeight="1" x14ac:dyDescent="0.2">
      <c r="A496" s="33" t="s">
        <v>198</v>
      </c>
      <c r="B496" s="33" t="s">
        <v>211</v>
      </c>
      <c r="C496" s="40"/>
      <c r="D496" s="35"/>
      <c r="E496" s="33" t="s">
        <v>212</v>
      </c>
      <c r="F496" s="21" t="s">
        <v>2147</v>
      </c>
      <c r="G496" s="69" t="s">
        <v>2308</v>
      </c>
      <c r="H496" s="33" t="s">
        <v>213</v>
      </c>
      <c r="I496" s="33" t="s">
        <v>179</v>
      </c>
      <c r="J496" s="36">
        <v>4800</v>
      </c>
      <c r="K496" s="36">
        <v>5626</v>
      </c>
      <c r="L496" s="26">
        <f t="shared" si="28"/>
        <v>10426</v>
      </c>
      <c r="M496" s="26">
        <f t="array" ref="M496">MEDIAN(IF($F$3:$F$810=F496,$L$3:$L$810))</f>
        <v>10605</v>
      </c>
      <c r="N496" s="41">
        <v>10426</v>
      </c>
      <c r="O496" s="38"/>
      <c r="P496" s="76">
        <f>IF(N496&lt;INDEX(Sectorwise!E:E,MATCH(F496,Sectorwise!A:A,0)),1,0)</f>
        <v>0</v>
      </c>
      <c r="Q496" s="76">
        <f>IF(AND(N496&gt;=INDEX(Sectorwise!E:E,MATCH(F496,Sectorwise!A:A,0)),N496&lt;=INDEX(Sectorwise!F:F,MATCH(F496,Sectorwise!A:A,0))),1,0)</f>
        <v>1</v>
      </c>
      <c r="R496" s="76">
        <f>IF(N496&gt;INDEX(Sectorwise!F:F,MATCH(F496,Sectorwise!A:A,0)),1,0)</f>
        <v>0</v>
      </c>
      <c r="S496" s="27">
        <f t="shared" si="29"/>
        <v>0</v>
      </c>
      <c r="T496" s="27">
        <f t="shared" si="30"/>
        <v>10426</v>
      </c>
      <c r="U496" s="27">
        <f t="shared" si="31"/>
        <v>0</v>
      </c>
      <c r="V496" s="95">
        <f>IF(R496=1,(N496-INDEX(Sectorwise!F:F,MATCH(F496,Sectorwise!A:A,0))),0)</f>
        <v>0</v>
      </c>
      <c r="W496" s="97">
        <f>POISSON(N496,INDEX(Sectorwise!D:D,MATCH(Travel!F79,Sectorwise!A:A,0)),TRUE)</f>
        <v>1</v>
      </c>
      <c r="X496" s="39">
        <f>+N496-O496</f>
        <v>10426</v>
      </c>
    </row>
    <row r="497" spans="1:24" ht="15.75" hidden="1" customHeight="1" x14ac:dyDescent="0.2">
      <c r="A497" s="21" t="s">
        <v>69</v>
      </c>
      <c r="B497" s="21" t="s">
        <v>70</v>
      </c>
      <c r="C497" s="22"/>
      <c r="D497" s="23" t="s">
        <v>16</v>
      </c>
      <c r="E497" s="21" t="s">
        <v>71</v>
      </c>
      <c r="F497" s="21" t="s">
        <v>2240</v>
      </c>
      <c r="G497" s="33" t="s">
        <v>2332</v>
      </c>
      <c r="H497" s="21" t="s">
        <v>72</v>
      </c>
      <c r="I497" s="21" t="s">
        <v>65</v>
      </c>
      <c r="J497" s="25">
        <v>772</v>
      </c>
      <c r="K497" s="26">
        <v>112</v>
      </c>
      <c r="L497" s="26">
        <f t="shared" si="28"/>
        <v>884</v>
      </c>
      <c r="M497" s="26">
        <f t="array" ref="M497">MEDIAN(IF($F$3:$F$810=F497,$L$3:$L$810))</f>
        <v>749</v>
      </c>
      <c r="N497" s="26">
        <v>884</v>
      </c>
      <c r="O497" s="27"/>
      <c r="P497" s="76">
        <f>IF(N497&lt;INDEX(Sectorwise!E:E,MATCH(F497,Sectorwise!A:A,0)),1,0)</f>
        <v>0</v>
      </c>
      <c r="Q497" s="76">
        <f>IF(AND(N497&gt;=INDEX(Sectorwise!E:E,MATCH(F497,Sectorwise!A:A,0)),N497&lt;=INDEX(Sectorwise!F:F,MATCH(F497,Sectorwise!A:A,0))),1,0)</f>
        <v>1</v>
      </c>
      <c r="R497" s="76">
        <f>IF(N497&gt;INDEX(Sectorwise!F:F,MATCH(F497,Sectorwise!A:A,0)),1,0)</f>
        <v>0</v>
      </c>
      <c r="S497" s="27">
        <f t="shared" si="29"/>
        <v>0</v>
      </c>
      <c r="T497" s="27">
        <f t="shared" si="30"/>
        <v>884</v>
      </c>
      <c r="U497" s="27">
        <f t="shared" si="31"/>
        <v>0</v>
      </c>
      <c r="V497" s="95">
        <f>IF(R497=1,(N497-INDEX(Sectorwise!F:F,MATCH(F497,Sectorwise!A:A,0))),0)</f>
        <v>0</v>
      </c>
      <c r="W497" s="97">
        <f>POISSON(N497,INDEX(Sectorwise!D:D,MATCH(Travel!F21,Sectorwise!A:A,0)),TRUE)</f>
        <v>0</v>
      </c>
      <c r="X497" s="28">
        <v>884</v>
      </c>
    </row>
    <row r="498" spans="1:24" ht="15.75" hidden="1" customHeight="1" x14ac:dyDescent="0.2">
      <c r="A498" s="21" t="s">
        <v>69</v>
      </c>
      <c r="B498" s="21" t="s">
        <v>70</v>
      </c>
      <c r="C498" s="22"/>
      <c r="D498" s="23" t="s">
        <v>16</v>
      </c>
      <c r="E498" s="21" t="s">
        <v>71</v>
      </c>
      <c r="F498" s="21" t="s">
        <v>2241</v>
      </c>
      <c r="G498" s="33" t="s">
        <v>2332</v>
      </c>
      <c r="H498" s="21" t="s">
        <v>73</v>
      </c>
      <c r="I498" s="21" t="s">
        <v>74</v>
      </c>
      <c r="J498" s="25">
        <v>1392</v>
      </c>
      <c r="K498" s="26">
        <v>112</v>
      </c>
      <c r="L498" s="26">
        <f t="shared" si="28"/>
        <v>1504</v>
      </c>
      <c r="M498" s="26">
        <f t="array" ref="M498">MEDIAN(IF($F$3:$F$810=F498,$L$3:$L$810))</f>
        <v>824</v>
      </c>
      <c r="N498" s="26">
        <v>1504</v>
      </c>
      <c r="O498" s="27"/>
      <c r="P498" s="76">
        <f>IF(N498&lt;INDEX(Sectorwise!E:E,MATCH(F498,Sectorwise!A:A,0)),1,0)</f>
        <v>0</v>
      </c>
      <c r="Q498" s="76">
        <f>IF(AND(N498&gt;=INDEX(Sectorwise!E:E,MATCH(F498,Sectorwise!A:A,0)),N498&lt;=INDEX(Sectorwise!F:F,MATCH(F498,Sectorwise!A:A,0))),1,0)</f>
        <v>0</v>
      </c>
      <c r="R498" s="76">
        <f>IF(N498&gt;INDEX(Sectorwise!F:F,MATCH(F498,Sectorwise!A:A,0)),1,0)</f>
        <v>1</v>
      </c>
      <c r="S498" s="27">
        <f t="shared" si="29"/>
        <v>0</v>
      </c>
      <c r="T498" s="27">
        <f t="shared" si="30"/>
        <v>0</v>
      </c>
      <c r="U498" s="27">
        <f t="shared" si="31"/>
        <v>1504</v>
      </c>
      <c r="V498" s="95">
        <f>IF(R498=1,(N498-INDEX(Sectorwise!F:F,MATCH(F498,Sectorwise!A:A,0))),0)</f>
        <v>504</v>
      </c>
      <c r="W498" s="97">
        <f>POISSON(N498,INDEX(Sectorwise!D:D,MATCH(Travel!F22,Sectorwise!A:A,0)),TRUE)</f>
        <v>0</v>
      </c>
      <c r="X498" s="28">
        <v>1504</v>
      </c>
    </row>
    <row r="499" spans="1:24" ht="15.75" hidden="1" customHeight="1" x14ac:dyDescent="0.2">
      <c r="A499" s="53" t="s">
        <v>502</v>
      </c>
      <c r="B499" s="54" t="s">
        <v>508</v>
      </c>
      <c r="C499" s="22"/>
      <c r="D499" s="32"/>
      <c r="E499" s="21" t="s">
        <v>509</v>
      </c>
      <c r="F499" s="21" t="s">
        <v>2186</v>
      </c>
      <c r="G499" s="63" t="s">
        <v>2311</v>
      </c>
      <c r="H499" s="21" t="s">
        <v>510</v>
      </c>
      <c r="I499" s="21" t="s">
        <v>502</v>
      </c>
      <c r="J499" s="25">
        <v>191425</v>
      </c>
      <c r="K499" s="25">
        <v>30782</v>
      </c>
      <c r="L499" s="26">
        <f t="shared" si="28"/>
        <v>222207</v>
      </c>
      <c r="M499" s="26">
        <f t="array" ref="M499">MEDIAN(IF($F$3:$F$810=F499,$L$3:$L$810))</f>
        <v>222207</v>
      </c>
      <c r="N499" s="47">
        <v>222207</v>
      </c>
      <c r="O499" s="27"/>
      <c r="P499" s="76">
        <f>IF(N499&lt;INDEX(Sectorwise!E:E,MATCH(F499,Sectorwise!A:A,0)),1,0)</f>
        <v>0</v>
      </c>
      <c r="Q499" s="76">
        <f>IF(AND(N499&gt;=INDEX(Sectorwise!E:E,MATCH(F499,Sectorwise!A:A,0)),N499&lt;=INDEX(Sectorwise!F:F,MATCH(F499,Sectorwise!A:A,0))),1,0)</f>
        <v>1</v>
      </c>
      <c r="R499" s="76">
        <f>IF(N499&gt;INDEX(Sectorwise!F:F,MATCH(F499,Sectorwise!A:A,0)),1,0)</f>
        <v>0</v>
      </c>
      <c r="S499" s="27">
        <f t="shared" si="29"/>
        <v>0</v>
      </c>
      <c r="T499" s="27">
        <f t="shared" si="30"/>
        <v>222207</v>
      </c>
      <c r="U499" s="27">
        <f t="shared" si="31"/>
        <v>0</v>
      </c>
      <c r="V499" s="95">
        <f>IF(R499=1,(N499-INDEX(Sectorwise!F:F,MATCH(F499,Sectorwise!A:A,0))),0)</f>
        <v>0</v>
      </c>
      <c r="W499" s="97">
        <f>POISSON(N499,INDEX(Sectorwise!D:D,MATCH(Travel!F187,Sectorwise!A:A,0)),TRUE)</f>
        <v>1</v>
      </c>
    </row>
    <row r="500" spans="1:24" ht="15.75" hidden="1" customHeight="1" x14ac:dyDescent="0.2">
      <c r="A500" s="63" t="s">
        <v>1163</v>
      </c>
      <c r="B500" s="63" t="s">
        <v>1164</v>
      </c>
      <c r="C500" s="63"/>
      <c r="E500" s="63" t="s">
        <v>509</v>
      </c>
      <c r="F500" s="63" t="s">
        <v>2188</v>
      </c>
      <c r="G500" s="63" t="s">
        <v>2311</v>
      </c>
      <c r="H500" s="63" t="s">
        <v>1165</v>
      </c>
      <c r="I500" s="63" t="s">
        <v>899</v>
      </c>
      <c r="J500" s="65">
        <v>70705</v>
      </c>
      <c r="K500" s="65">
        <v>48295</v>
      </c>
      <c r="L500" s="26">
        <f t="shared" si="28"/>
        <v>119000</v>
      </c>
      <c r="M500" s="26">
        <f t="array" ref="M500">MEDIAN(IF($F$3:$F$810=F500,$L$3:$L$810))</f>
        <v>119000</v>
      </c>
      <c r="N500" s="65">
        <v>119000</v>
      </c>
      <c r="O500" s="62">
        <v>0</v>
      </c>
      <c r="P500" s="76">
        <f>IF(N500&lt;INDEX(Sectorwise!E:E,MATCH(F500,Sectorwise!A:A,0)),1,0)</f>
        <v>0</v>
      </c>
      <c r="Q500" s="76">
        <f>IF(AND(N500&gt;=INDEX(Sectorwise!E:E,MATCH(F500,Sectorwise!A:A,0)),N500&lt;=INDEX(Sectorwise!F:F,MATCH(F500,Sectorwise!A:A,0))),1,0)</f>
        <v>1</v>
      </c>
      <c r="R500" s="76">
        <f>IF(N500&gt;INDEX(Sectorwise!F:F,MATCH(F500,Sectorwise!A:A,0)),1,0)</f>
        <v>0</v>
      </c>
      <c r="S500" s="27">
        <f t="shared" si="29"/>
        <v>0</v>
      </c>
      <c r="T500" s="27">
        <f t="shared" si="30"/>
        <v>119000</v>
      </c>
      <c r="U500" s="27">
        <f t="shared" si="31"/>
        <v>0</v>
      </c>
      <c r="V500" s="95">
        <f>IF(R500=1,(N500-INDEX(Sectorwise!F:F,MATCH(F500,Sectorwise!A:A,0))),0)</f>
        <v>0</v>
      </c>
      <c r="W500" s="97">
        <f>POISSON(N500,INDEX(Sectorwise!D:D,MATCH(Travel!F440,Sectorwise!A:A,0)),TRUE)</f>
        <v>1</v>
      </c>
    </row>
    <row r="501" spans="1:24" ht="15.75" hidden="1" customHeight="1" x14ac:dyDescent="0.2">
      <c r="A501" s="53" t="s">
        <v>502</v>
      </c>
      <c r="B501" s="54" t="s">
        <v>508</v>
      </c>
      <c r="C501" s="22"/>
      <c r="D501" s="32"/>
      <c r="E501" s="21" t="s">
        <v>509</v>
      </c>
      <c r="F501" s="21" t="s">
        <v>2150</v>
      </c>
      <c r="G501" s="63" t="s">
        <v>2311</v>
      </c>
      <c r="H501" s="21" t="s">
        <v>511</v>
      </c>
      <c r="I501" s="21" t="s">
        <v>502</v>
      </c>
      <c r="J501" s="25">
        <v>0</v>
      </c>
      <c r="K501" s="25">
        <v>0</v>
      </c>
      <c r="L501" s="26">
        <f t="shared" si="28"/>
        <v>0</v>
      </c>
      <c r="M501" s="26">
        <f t="array" ref="M501">MEDIAN(IF($F$3:$F$810=F501,$L$3:$L$810))</f>
        <v>0</v>
      </c>
      <c r="N501" s="47">
        <v>0</v>
      </c>
      <c r="O501" s="27"/>
      <c r="P501" s="76">
        <f>IF(N501&lt;INDEX(Sectorwise!E:E,MATCH(F501,Sectorwise!A:A,0)),1,0)</f>
        <v>0</v>
      </c>
      <c r="Q501" s="76">
        <f>IF(AND(N501&gt;=INDEX(Sectorwise!E:E,MATCH(F501,Sectorwise!A:A,0)),N501&lt;=INDEX(Sectorwise!F:F,MATCH(F501,Sectorwise!A:A,0))),1,0)</f>
        <v>1</v>
      </c>
      <c r="R501" s="76">
        <f>IF(N501&gt;INDEX(Sectorwise!F:F,MATCH(F501,Sectorwise!A:A,0)),1,0)</f>
        <v>0</v>
      </c>
      <c r="S501" s="27">
        <f t="shared" si="29"/>
        <v>0</v>
      </c>
      <c r="T501" s="27">
        <f t="shared" si="30"/>
        <v>0</v>
      </c>
      <c r="U501" s="27">
        <f t="shared" si="31"/>
        <v>0</v>
      </c>
      <c r="V501" s="95">
        <f>IF(R501=1,(N501-INDEX(Sectorwise!F:F,MATCH(F501,Sectorwise!A:A,0))),0)</f>
        <v>0</v>
      </c>
      <c r="W501" s="97">
        <f>POISSON(N501,INDEX(Sectorwise!D:D,MATCH(Travel!F188,Sectorwise!A:A,0)),TRUE)</f>
        <v>0</v>
      </c>
    </row>
    <row r="502" spans="1:24" ht="15.75" hidden="1" customHeight="1" x14ac:dyDescent="0.2">
      <c r="A502" s="53" t="s">
        <v>512</v>
      </c>
      <c r="B502" s="54" t="s">
        <v>517</v>
      </c>
      <c r="C502" s="22"/>
      <c r="D502" s="32"/>
      <c r="E502" s="21" t="s">
        <v>518</v>
      </c>
      <c r="F502" s="29" t="s">
        <v>2134</v>
      </c>
      <c r="G502" s="63" t="s">
        <v>2312</v>
      </c>
      <c r="H502" s="21" t="s">
        <v>519</v>
      </c>
      <c r="I502" s="21" t="s">
        <v>512</v>
      </c>
      <c r="J502" s="25">
        <v>950</v>
      </c>
      <c r="K502" s="25">
        <v>2922</v>
      </c>
      <c r="L502" s="26">
        <f t="shared" si="28"/>
        <v>3872</v>
      </c>
      <c r="M502" s="26">
        <f t="array" ref="M502">MEDIAN(IF($F$3:$F$810=F502,$L$3:$L$810))</f>
        <v>7412.5</v>
      </c>
      <c r="N502" s="47">
        <v>3872</v>
      </c>
      <c r="O502" s="27"/>
      <c r="P502" s="76">
        <f>IF(N502&lt;INDEX(Sectorwise!E:E,MATCH(F502,Sectorwise!A:A,0)),1,0)</f>
        <v>1</v>
      </c>
      <c r="Q502" s="76">
        <f>IF(AND(N502&gt;=INDEX(Sectorwise!E:E,MATCH(F502,Sectorwise!A:A,0)),N502&lt;=INDEX(Sectorwise!F:F,MATCH(F502,Sectorwise!A:A,0))),1,0)</f>
        <v>0</v>
      </c>
      <c r="R502" s="76">
        <f>IF(N502&gt;INDEX(Sectorwise!F:F,MATCH(F502,Sectorwise!A:A,0)),1,0)</f>
        <v>0</v>
      </c>
      <c r="S502" s="27">
        <f t="shared" si="29"/>
        <v>3872</v>
      </c>
      <c r="T502" s="27">
        <f t="shared" si="30"/>
        <v>0</v>
      </c>
      <c r="U502" s="27">
        <f t="shared" si="31"/>
        <v>0</v>
      </c>
      <c r="V502" s="95">
        <f>IF(R502=1,(N502-INDEX(Sectorwise!F:F,MATCH(F502,Sectorwise!A:A,0))),0)</f>
        <v>0</v>
      </c>
      <c r="W502" s="97">
        <f>POISSON(N502,INDEX(Sectorwise!D:D,MATCH(Travel!F191,Sectorwise!A:A,0)),TRUE)</f>
        <v>0</v>
      </c>
    </row>
    <row r="503" spans="1:24" ht="15.75" hidden="1" customHeight="1" x14ac:dyDescent="0.2">
      <c r="A503" s="53" t="s">
        <v>512</v>
      </c>
      <c r="B503" s="54" t="s">
        <v>517</v>
      </c>
      <c r="C503" s="22"/>
      <c r="D503" s="32"/>
      <c r="E503" s="21" t="s">
        <v>518</v>
      </c>
      <c r="F503" s="21" t="s">
        <v>2135</v>
      </c>
      <c r="G503" s="69" t="s">
        <v>2308</v>
      </c>
      <c r="H503" s="21" t="s">
        <v>520</v>
      </c>
      <c r="I503" s="21" t="s">
        <v>512</v>
      </c>
      <c r="J503" s="25">
        <v>748</v>
      </c>
      <c r="K503" s="25">
        <v>2572</v>
      </c>
      <c r="L503" s="26">
        <f t="shared" si="28"/>
        <v>3320</v>
      </c>
      <c r="M503" s="26">
        <f t="array" ref="M503">MEDIAN(IF($F$3:$F$810=F503,$L$3:$L$810))</f>
        <v>7234</v>
      </c>
      <c r="N503" s="47">
        <v>3320</v>
      </c>
      <c r="O503" s="27"/>
      <c r="P503" s="76">
        <f>IF(N503&lt;INDEX(Sectorwise!E:E,MATCH(F503,Sectorwise!A:A,0)),1,0)</f>
        <v>1</v>
      </c>
      <c r="Q503" s="76">
        <f>IF(AND(N503&gt;=INDEX(Sectorwise!E:E,MATCH(F503,Sectorwise!A:A,0)),N503&lt;=INDEX(Sectorwise!F:F,MATCH(F503,Sectorwise!A:A,0))),1,0)</f>
        <v>0</v>
      </c>
      <c r="R503" s="76">
        <f>IF(N503&gt;INDEX(Sectorwise!F:F,MATCH(F503,Sectorwise!A:A,0)),1,0)</f>
        <v>0</v>
      </c>
      <c r="S503" s="27">
        <f t="shared" si="29"/>
        <v>3320</v>
      </c>
      <c r="T503" s="27">
        <f t="shared" si="30"/>
        <v>0</v>
      </c>
      <c r="U503" s="27">
        <f t="shared" si="31"/>
        <v>0</v>
      </c>
      <c r="V503" s="95">
        <f>IF(R503=1,(N503-INDEX(Sectorwise!F:F,MATCH(F503,Sectorwise!A:A,0))),0)</f>
        <v>0</v>
      </c>
      <c r="W503" s="97">
        <f>POISSON(N503,INDEX(Sectorwise!D:D,MATCH(Travel!F192,Sectorwise!A:A,0)),TRUE)</f>
        <v>0</v>
      </c>
    </row>
    <row r="504" spans="1:24" ht="15.75" hidden="1" customHeight="1" x14ac:dyDescent="0.2">
      <c r="A504" s="21" t="s">
        <v>484</v>
      </c>
      <c r="B504" s="21" t="s">
        <v>485</v>
      </c>
      <c r="C504" s="22"/>
      <c r="D504" s="32"/>
      <c r="E504" s="21" t="s">
        <v>446</v>
      </c>
      <c r="F504" s="21" t="s">
        <v>2142</v>
      </c>
      <c r="G504" s="69" t="s">
        <v>2308</v>
      </c>
      <c r="H504" s="21" t="s">
        <v>486</v>
      </c>
      <c r="I504" s="21" t="s">
        <v>482</v>
      </c>
      <c r="J504" s="25">
        <v>2637</v>
      </c>
      <c r="K504" s="25">
        <v>2317</v>
      </c>
      <c r="L504" s="26">
        <f t="shared" si="28"/>
        <v>4954</v>
      </c>
      <c r="M504" s="26">
        <f t="array" ref="M504">MEDIAN(IF($F$3:$F$810=F504,$L$3:$L$810))</f>
        <v>5161</v>
      </c>
      <c r="N504" s="47">
        <f>J504+K504</f>
        <v>4954</v>
      </c>
      <c r="O504" s="27"/>
      <c r="P504" s="76">
        <f>IF(N504&lt;INDEX(Sectorwise!E:E,MATCH(F504,Sectorwise!A:A,0)),1,0)</f>
        <v>0</v>
      </c>
      <c r="Q504" s="76">
        <f>IF(AND(N504&gt;=INDEX(Sectorwise!E:E,MATCH(F504,Sectorwise!A:A,0)),N504&lt;=INDEX(Sectorwise!F:F,MATCH(F504,Sectorwise!A:A,0))),1,0)</f>
        <v>1</v>
      </c>
      <c r="R504" s="76">
        <f>IF(N504&gt;INDEX(Sectorwise!F:F,MATCH(F504,Sectorwise!A:A,0)),1,0)</f>
        <v>0</v>
      </c>
      <c r="S504" s="27">
        <f t="shared" si="29"/>
        <v>0</v>
      </c>
      <c r="T504" s="27">
        <f t="shared" si="30"/>
        <v>4954</v>
      </c>
      <c r="U504" s="27">
        <f t="shared" si="31"/>
        <v>0</v>
      </c>
      <c r="V504" s="95">
        <f>IF(R504=1,(N504-INDEX(Sectorwise!F:F,MATCH(F504,Sectorwise!A:A,0))),0)</f>
        <v>0</v>
      </c>
      <c r="W504" s="97">
        <f>POISSON(N504,INDEX(Sectorwise!D:D,MATCH(Travel!F180,Sectorwise!A:A,0)),TRUE)</f>
        <v>3.2546236154968459E-203</v>
      </c>
    </row>
    <row r="505" spans="1:24" ht="15.75" hidden="1" customHeight="1" x14ac:dyDescent="0.2">
      <c r="A505" s="21" t="s">
        <v>444</v>
      </c>
      <c r="B505" s="21" t="s">
        <v>445</v>
      </c>
      <c r="C505" s="22"/>
      <c r="D505" s="32"/>
      <c r="E505" s="21" t="s">
        <v>446</v>
      </c>
      <c r="F505" s="21" t="s">
        <v>2152</v>
      </c>
      <c r="G505" s="63" t="s">
        <v>2312</v>
      </c>
      <c r="H505" s="21" t="s">
        <v>447</v>
      </c>
      <c r="I505" s="21" t="s">
        <v>448</v>
      </c>
      <c r="J505" s="25">
        <v>2300</v>
      </c>
      <c r="K505" s="25">
        <v>2906</v>
      </c>
      <c r="L505" s="26">
        <f t="shared" si="28"/>
        <v>5206</v>
      </c>
      <c r="M505" s="26">
        <f t="array" ref="M505">MEDIAN(IF($F$3:$F$810=F505,$L$3:$L$810))</f>
        <v>5438</v>
      </c>
      <c r="N505" s="47">
        <f>J505+K505</f>
        <v>5206</v>
      </c>
      <c r="O505" s="27"/>
      <c r="P505" s="76">
        <f>IF(N505&lt;INDEX(Sectorwise!E:E,MATCH(F505,Sectorwise!A:A,0)),1,0)</f>
        <v>0</v>
      </c>
      <c r="Q505" s="76">
        <f>IF(AND(N505&gt;=INDEX(Sectorwise!E:E,MATCH(F505,Sectorwise!A:A,0)),N505&lt;=INDEX(Sectorwise!F:F,MATCH(F505,Sectorwise!A:A,0))),1,0)</f>
        <v>1</v>
      </c>
      <c r="R505" s="76">
        <f>IF(N505&gt;INDEX(Sectorwise!F:F,MATCH(F505,Sectorwise!A:A,0)),1,0)</f>
        <v>0</v>
      </c>
      <c r="S505" s="27">
        <f t="shared" si="29"/>
        <v>0</v>
      </c>
      <c r="T505" s="27">
        <f t="shared" si="30"/>
        <v>5206</v>
      </c>
      <c r="U505" s="27">
        <f t="shared" si="31"/>
        <v>0</v>
      </c>
      <c r="V505" s="95">
        <f>IF(R505=1,(N505-INDEX(Sectorwise!F:F,MATCH(F505,Sectorwise!A:A,0))),0)</f>
        <v>0</v>
      </c>
      <c r="W505" s="97">
        <f>POISSON(N505,INDEX(Sectorwise!D:D,MATCH(Travel!F167,Sectorwise!A:A,0)),TRUE)</f>
        <v>8.1895402510059956E-162</v>
      </c>
    </row>
    <row r="506" spans="1:24" ht="15.75" hidden="1" customHeight="1" x14ac:dyDescent="0.2">
      <c r="A506" s="63" t="s">
        <v>1737</v>
      </c>
      <c r="B506" s="63" t="s">
        <v>1741</v>
      </c>
      <c r="C506" s="63"/>
      <c r="E506" s="21" t="s">
        <v>446</v>
      </c>
      <c r="F506" s="63" t="s">
        <v>2224</v>
      </c>
      <c r="G506" s="63" t="s">
        <v>2313</v>
      </c>
      <c r="H506" s="63" t="s">
        <v>1742</v>
      </c>
      <c r="I506" s="63" t="s">
        <v>1743</v>
      </c>
      <c r="J506" s="65">
        <v>0</v>
      </c>
      <c r="K506" s="65">
        <v>5600</v>
      </c>
      <c r="L506" s="26">
        <f t="shared" si="28"/>
        <v>5600</v>
      </c>
      <c r="M506" s="26">
        <f t="array" ref="M506">MEDIAN(IF($F$3:$F$810=F506,$L$3:$L$810))</f>
        <v>5600</v>
      </c>
      <c r="N506" s="65">
        <v>5600</v>
      </c>
      <c r="O506" s="62">
        <v>0</v>
      </c>
      <c r="P506" s="76">
        <f>IF(N506&lt;INDEX(Sectorwise!E:E,MATCH(F506,Sectorwise!A:A,0)),1,0)</f>
        <v>0</v>
      </c>
      <c r="Q506" s="76">
        <f>IF(AND(N506&gt;=INDEX(Sectorwise!E:E,MATCH(F506,Sectorwise!A:A,0)),N506&lt;=INDEX(Sectorwise!F:F,MATCH(F506,Sectorwise!A:A,0))),1,0)</f>
        <v>1</v>
      </c>
      <c r="R506" s="76">
        <f>IF(N506&gt;INDEX(Sectorwise!F:F,MATCH(F506,Sectorwise!A:A,0)),1,0)</f>
        <v>0</v>
      </c>
      <c r="S506" s="27">
        <f t="shared" si="29"/>
        <v>0</v>
      </c>
      <c r="T506" s="27">
        <f t="shared" si="30"/>
        <v>5600</v>
      </c>
      <c r="U506" s="27">
        <f t="shared" si="31"/>
        <v>0</v>
      </c>
      <c r="V506" s="95">
        <f>IF(R506=1,(N506-INDEX(Sectorwise!F:F,MATCH(F506,Sectorwise!A:A,0))),0)</f>
        <v>0</v>
      </c>
      <c r="W506" s="97">
        <f>POISSON(N506,INDEX(Sectorwise!D:D,MATCH(Travel!F659,Sectorwise!A:A,0)),TRUE)</f>
        <v>0</v>
      </c>
    </row>
    <row r="507" spans="1:24" ht="15.75" hidden="1" customHeight="1" x14ac:dyDescent="0.2">
      <c r="A507" s="63" t="s">
        <v>1460</v>
      </c>
      <c r="B507" s="63" t="s">
        <v>1467</v>
      </c>
      <c r="C507" s="63"/>
      <c r="E507" s="63" t="s">
        <v>1468</v>
      </c>
      <c r="F507" s="29" t="s">
        <v>2134</v>
      </c>
      <c r="G507" s="69" t="s">
        <v>2308</v>
      </c>
      <c r="H507" s="63" t="s">
        <v>1469</v>
      </c>
      <c r="I507" s="63" t="s">
        <v>1470</v>
      </c>
      <c r="J507" s="65">
        <v>4450</v>
      </c>
      <c r="K507" s="65">
        <v>3422</v>
      </c>
      <c r="L507" s="26">
        <f t="shared" si="28"/>
        <v>7872</v>
      </c>
      <c r="M507" s="26">
        <f t="array" ref="M507">MEDIAN(IF($F$3:$F$810=F507,$L$3:$L$810))</f>
        <v>7412.5</v>
      </c>
      <c r="N507" s="65">
        <v>7872</v>
      </c>
      <c r="O507" s="62">
        <v>0</v>
      </c>
      <c r="P507" s="76">
        <f>IF(N507&lt;INDEX(Sectorwise!E:E,MATCH(F507,Sectorwise!A:A,0)),1,0)</f>
        <v>0</v>
      </c>
      <c r="Q507" s="76">
        <f>IF(AND(N507&gt;=INDEX(Sectorwise!E:E,MATCH(F507,Sectorwise!A:A,0)),N507&lt;=INDEX(Sectorwise!F:F,MATCH(F507,Sectorwise!A:A,0))),1,0)</f>
        <v>1</v>
      </c>
      <c r="R507" s="76">
        <f>IF(N507&gt;INDEX(Sectorwise!F:F,MATCH(F507,Sectorwise!A:A,0)),1,0)</f>
        <v>0</v>
      </c>
      <c r="S507" s="27">
        <f t="shared" si="29"/>
        <v>0</v>
      </c>
      <c r="T507" s="27">
        <f t="shared" si="30"/>
        <v>7872</v>
      </c>
      <c r="U507" s="27">
        <f t="shared" si="31"/>
        <v>0</v>
      </c>
      <c r="V507" s="95">
        <f>IF(R507=1,(N507-INDEX(Sectorwise!F:F,MATCH(F507,Sectorwise!A:A,0))),0)</f>
        <v>0</v>
      </c>
      <c r="W507" s="97">
        <f>POISSON(N507,INDEX(Sectorwise!D:D,MATCH(Travel!F550,Sectorwise!A:A,0)),TRUE)</f>
        <v>0</v>
      </c>
    </row>
    <row r="508" spans="1:24" ht="15.75" hidden="1" customHeight="1" x14ac:dyDescent="0.2">
      <c r="A508" s="63" t="s">
        <v>1460</v>
      </c>
      <c r="B508" s="63" t="s">
        <v>1471</v>
      </c>
      <c r="C508" s="63"/>
      <c r="E508" s="63" t="s">
        <v>1468</v>
      </c>
      <c r="F508" s="21" t="s">
        <v>2135</v>
      </c>
      <c r="G508" s="56" t="s">
        <v>2309</v>
      </c>
      <c r="H508" s="63" t="s">
        <v>1472</v>
      </c>
      <c r="I508" s="63" t="s">
        <v>1470</v>
      </c>
      <c r="J508" s="65">
        <v>6100</v>
      </c>
      <c r="K508" s="65">
        <v>1979</v>
      </c>
      <c r="L508" s="26">
        <f t="shared" si="28"/>
        <v>8079</v>
      </c>
      <c r="M508" s="26">
        <f t="array" ref="M508">MEDIAN(IF($F$3:$F$810=F508,$L$3:$L$810))</f>
        <v>7234</v>
      </c>
      <c r="N508" s="65">
        <v>8079</v>
      </c>
      <c r="O508" s="62">
        <v>0</v>
      </c>
      <c r="P508" s="76">
        <f>IF(N508&lt;INDEX(Sectorwise!E:E,MATCH(F508,Sectorwise!A:A,0)),1,0)</f>
        <v>0</v>
      </c>
      <c r="Q508" s="76">
        <f>IF(AND(N508&gt;=INDEX(Sectorwise!E:E,MATCH(F508,Sectorwise!A:A,0)),N508&lt;=INDEX(Sectorwise!F:F,MATCH(F508,Sectorwise!A:A,0))),1,0)</f>
        <v>0</v>
      </c>
      <c r="R508" s="76">
        <f>IF(N508&gt;INDEX(Sectorwise!F:F,MATCH(F508,Sectorwise!A:A,0)),1,0)</f>
        <v>1</v>
      </c>
      <c r="S508" s="27">
        <f t="shared" si="29"/>
        <v>0</v>
      </c>
      <c r="T508" s="27">
        <f t="shared" si="30"/>
        <v>0</v>
      </c>
      <c r="U508" s="27">
        <f t="shared" si="31"/>
        <v>8079</v>
      </c>
      <c r="V508" s="95">
        <f>IF(R508=1,(N508-INDEX(Sectorwise!F:F,MATCH(F508,Sectorwise!A:A,0))),0)</f>
        <v>79</v>
      </c>
      <c r="W508" s="97">
        <f>POISSON(N508,INDEX(Sectorwise!D:D,MATCH(Travel!F551,Sectorwise!A:A,0)),TRUE)</f>
        <v>0.99998665401550391</v>
      </c>
    </row>
    <row r="509" spans="1:24" ht="15.75" hidden="1" customHeight="1" x14ac:dyDescent="0.2">
      <c r="A509" s="63" t="s">
        <v>1791</v>
      </c>
      <c r="B509" s="63" t="s">
        <v>1808</v>
      </c>
      <c r="C509" s="63"/>
      <c r="E509" s="63" t="s">
        <v>1809</v>
      </c>
      <c r="F509" s="63" t="s">
        <v>2227</v>
      </c>
      <c r="G509" s="63" t="s">
        <v>2324</v>
      </c>
      <c r="H509" s="63" t="s">
        <v>1810</v>
      </c>
      <c r="I509" s="63" t="s">
        <v>1811</v>
      </c>
      <c r="J509" s="65">
        <v>39292</v>
      </c>
      <c r="K509" s="65">
        <v>67708</v>
      </c>
      <c r="L509" s="26">
        <f t="shared" si="28"/>
        <v>107000</v>
      </c>
      <c r="M509" s="26">
        <f t="array" ref="M509">MEDIAN(IF($F$3:$F$810=F509,$L$3:$L$810))</f>
        <v>107000</v>
      </c>
      <c r="N509" s="65">
        <v>107000</v>
      </c>
      <c r="O509" s="62">
        <v>0</v>
      </c>
      <c r="P509" s="76">
        <f>IF(N509&lt;INDEX(Sectorwise!E:E,MATCH(F509,Sectorwise!A:A,0)),1,0)</f>
        <v>0</v>
      </c>
      <c r="Q509" s="76">
        <f>IF(AND(N509&gt;=INDEX(Sectorwise!E:E,MATCH(F509,Sectorwise!A:A,0)),N509&lt;=INDEX(Sectorwise!F:F,MATCH(F509,Sectorwise!A:A,0))),1,0)</f>
        <v>1</v>
      </c>
      <c r="R509" s="76">
        <f>IF(N509&gt;INDEX(Sectorwise!F:F,MATCH(F509,Sectorwise!A:A,0)),1,0)</f>
        <v>0</v>
      </c>
      <c r="S509" s="27">
        <f t="shared" si="29"/>
        <v>0</v>
      </c>
      <c r="T509" s="27">
        <f t="shared" si="30"/>
        <v>107000</v>
      </c>
      <c r="U509" s="27">
        <f t="shared" si="31"/>
        <v>0</v>
      </c>
      <c r="V509" s="95">
        <f>IF(R509=1,(N509-INDEX(Sectorwise!F:F,MATCH(F509,Sectorwise!A:A,0))),0)</f>
        <v>0</v>
      </c>
      <c r="W509" s="97">
        <f>POISSON(N509,INDEX(Sectorwise!D:D,MATCH(Travel!F685,Sectorwise!A:A,0)),TRUE)</f>
        <v>1</v>
      </c>
    </row>
    <row r="510" spans="1:24" ht="15.75" hidden="1" customHeight="1" x14ac:dyDescent="0.2">
      <c r="A510" s="60" t="s">
        <v>912</v>
      </c>
      <c r="B510" s="60" t="s">
        <v>915</v>
      </c>
      <c r="C510" s="60"/>
      <c r="E510" s="60" t="s">
        <v>916</v>
      </c>
      <c r="F510" s="29" t="s">
        <v>2134</v>
      </c>
      <c r="G510" s="63" t="s">
        <v>2312</v>
      </c>
      <c r="H510" s="60" t="s">
        <v>917</v>
      </c>
      <c r="I510" s="60" t="s">
        <v>918</v>
      </c>
      <c r="J510" s="61">
        <v>4110</v>
      </c>
      <c r="K510" s="61">
        <v>3097</v>
      </c>
      <c r="L510" s="26">
        <f t="shared" si="28"/>
        <v>7207</v>
      </c>
      <c r="M510" s="26">
        <f t="array" ref="M510">MEDIAN(IF($F$3:$F$810=F510,$L$3:$L$810))</f>
        <v>7412.5</v>
      </c>
      <c r="N510" s="61">
        <v>14414</v>
      </c>
      <c r="O510" s="62">
        <v>0</v>
      </c>
      <c r="P510" s="76">
        <f>IF(N510&lt;INDEX(Sectorwise!E:E,MATCH(F510,Sectorwise!A:A,0)),1,0)</f>
        <v>0</v>
      </c>
      <c r="Q510" s="76">
        <f>IF(AND(N510&gt;=INDEX(Sectorwise!E:E,MATCH(F510,Sectorwise!A:A,0)),N510&lt;=INDEX(Sectorwise!F:F,MATCH(F510,Sectorwise!A:A,0))),1,0)</f>
        <v>0</v>
      </c>
      <c r="R510" s="76">
        <f>IF(N510&gt;INDEX(Sectorwise!F:F,MATCH(F510,Sectorwise!A:A,0)),1,0)</f>
        <v>1</v>
      </c>
      <c r="S510" s="27">
        <f t="shared" si="29"/>
        <v>0</v>
      </c>
      <c r="T510" s="27">
        <f t="shared" si="30"/>
        <v>0</v>
      </c>
      <c r="U510" s="27">
        <f t="shared" si="31"/>
        <v>14414</v>
      </c>
      <c r="V510" s="95">
        <f>IF(R510=1,(N510-INDEX(Sectorwise!F:F,MATCH(F510,Sectorwise!A:A,0))),0)</f>
        <v>6214</v>
      </c>
      <c r="W510" s="97">
        <f>POISSON(N510,INDEX(Sectorwise!D:D,MATCH(Travel!F342,Sectorwise!A:A,0)),TRUE)</f>
        <v>1</v>
      </c>
    </row>
    <row r="511" spans="1:24" ht="15.75" hidden="1" customHeight="1" x14ac:dyDescent="0.2">
      <c r="A511" s="60" t="s">
        <v>912</v>
      </c>
      <c r="B511" s="60" t="s">
        <v>928</v>
      </c>
      <c r="C511" s="60"/>
      <c r="E511" s="60" t="s">
        <v>916</v>
      </c>
      <c r="F511" s="21" t="s">
        <v>2135</v>
      </c>
      <c r="G511" s="33" t="s">
        <v>2321</v>
      </c>
      <c r="H511" s="60" t="s">
        <v>929</v>
      </c>
      <c r="I511" s="60" t="s">
        <v>930</v>
      </c>
      <c r="J511" s="61">
        <v>2901</v>
      </c>
      <c r="K511" s="61">
        <v>3383</v>
      </c>
      <c r="L511" s="26">
        <f t="shared" si="28"/>
        <v>6284</v>
      </c>
      <c r="M511" s="26">
        <f t="array" ref="M511">MEDIAN(IF($F$3:$F$810=F511,$L$3:$L$810))</f>
        <v>7234</v>
      </c>
      <c r="N511" s="61">
        <v>6284</v>
      </c>
      <c r="O511" s="62">
        <v>0</v>
      </c>
      <c r="P511" s="76">
        <f>IF(N511&lt;INDEX(Sectorwise!E:E,MATCH(F511,Sectorwise!A:A,0)),1,0)</f>
        <v>1</v>
      </c>
      <c r="Q511" s="76">
        <f>IF(AND(N511&gt;=INDEX(Sectorwise!E:E,MATCH(F511,Sectorwise!A:A,0)),N511&lt;=INDEX(Sectorwise!F:F,MATCH(F511,Sectorwise!A:A,0))),1,0)</f>
        <v>0</v>
      </c>
      <c r="R511" s="76">
        <f>IF(N511&gt;INDEX(Sectorwise!F:F,MATCH(F511,Sectorwise!A:A,0)),1,0)</f>
        <v>0</v>
      </c>
      <c r="S511" s="27">
        <f t="shared" si="29"/>
        <v>6284</v>
      </c>
      <c r="T511" s="27">
        <f t="shared" si="30"/>
        <v>0</v>
      </c>
      <c r="U511" s="27">
        <f t="shared" si="31"/>
        <v>0</v>
      </c>
      <c r="V511" s="95">
        <f>IF(R511=1,(N511-INDEX(Sectorwise!F:F,MATCH(F511,Sectorwise!A:A,0))),0)</f>
        <v>0</v>
      </c>
      <c r="W511" s="97">
        <f>POISSON(N511,INDEX(Sectorwise!D:D,MATCH(Travel!F347,Sectorwise!A:A,0)),TRUE)</f>
        <v>0</v>
      </c>
    </row>
    <row r="512" spans="1:24" ht="15.75" hidden="1" customHeight="1" x14ac:dyDescent="0.2">
      <c r="A512" s="21" t="s">
        <v>466</v>
      </c>
      <c r="B512" s="21" t="s">
        <v>467</v>
      </c>
      <c r="C512" s="30"/>
      <c r="D512" s="32"/>
      <c r="E512" s="21" t="s">
        <v>468</v>
      </c>
      <c r="F512" s="29" t="s">
        <v>2134</v>
      </c>
      <c r="G512" s="63" t="s">
        <v>2312</v>
      </c>
      <c r="H512" s="21" t="s">
        <v>469</v>
      </c>
      <c r="I512" s="21" t="s">
        <v>457</v>
      </c>
      <c r="J512" s="25">
        <v>3940</v>
      </c>
      <c r="K512" s="25">
        <v>3088</v>
      </c>
      <c r="L512" s="26">
        <f t="shared" si="28"/>
        <v>7028</v>
      </c>
      <c r="M512" s="26">
        <f t="array" ref="M512">MEDIAN(IF($F$3:$F$810=F512,$L$3:$L$810))</f>
        <v>7412.5</v>
      </c>
      <c r="N512" s="47">
        <f>J512+K512</f>
        <v>7028</v>
      </c>
      <c r="O512" s="27"/>
      <c r="P512" s="76">
        <f>IF(N512&lt;INDEX(Sectorwise!E:E,MATCH(F512,Sectorwise!A:A,0)),1,0)</f>
        <v>0</v>
      </c>
      <c r="Q512" s="76">
        <f>IF(AND(N512&gt;=INDEX(Sectorwise!E:E,MATCH(F512,Sectorwise!A:A,0)),N512&lt;=INDEX(Sectorwise!F:F,MATCH(F512,Sectorwise!A:A,0))),1,0)</f>
        <v>1</v>
      </c>
      <c r="R512" s="76">
        <f>IF(N512&gt;INDEX(Sectorwise!F:F,MATCH(F512,Sectorwise!A:A,0)),1,0)</f>
        <v>0</v>
      </c>
      <c r="S512" s="27">
        <f t="shared" si="29"/>
        <v>0</v>
      </c>
      <c r="T512" s="27">
        <f t="shared" si="30"/>
        <v>7028</v>
      </c>
      <c r="U512" s="27">
        <f t="shared" si="31"/>
        <v>0</v>
      </c>
      <c r="V512" s="95">
        <f>IF(R512=1,(N512-INDEX(Sectorwise!F:F,MATCH(F512,Sectorwise!A:A,0))),0)</f>
        <v>0</v>
      </c>
      <c r="W512" s="97">
        <f>POISSON(N512,INDEX(Sectorwise!D:D,MATCH(Travel!F174,Sectorwise!A:A,0)),TRUE)</f>
        <v>3.4369533151235216E-6</v>
      </c>
    </row>
    <row r="513" spans="1:24" ht="15.75" hidden="1" customHeight="1" x14ac:dyDescent="0.2">
      <c r="A513" s="63" t="s">
        <v>1123</v>
      </c>
      <c r="B513" s="63" t="s">
        <v>1124</v>
      </c>
      <c r="C513" s="63"/>
      <c r="E513" s="63" t="s">
        <v>468</v>
      </c>
      <c r="F513" s="29" t="s">
        <v>2134</v>
      </c>
      <c r="G513" s="63" t="s">
        <v>2312</v>
      </c>
      <c r="H513" s="63" t="s">
        <v>1126</v>
      </c>
      <c r="I513" s="63" t="s">
        <v>1104</v>
      </c>
      <c r="J513" s="65">
        <v>4820</v>
      </c>
      <c r="K513" s="65">
        <v>3136</v>
      </c>
      <c r="L513" s="26">
        <f t="shared" si="28"/>
        <v>7956</v>
      </c>
      <c r="M513" s="26">
        <f t="array" ref="M513">MEDIAN(IF($F$3:$F$810=F513,$L$3:$L$810))</f>
        <v>7412.5</v>
      </c>
      <c r="N513" s="57">
        <f>J513+K513</f>
        <v>7956</v>
      </c>
      <c r="O513" s="62">
        <v>0</v>
      </c>
      <c r="P513" s="76">
        <f>IF(N513&lt;INDEX(Sectorwise!E:E,MATCH(F513,Sectorwise!A:A,0)),1,0)</f>
        <v>0</v>
      </c>
      <c r="Q513" s="76">
        <f>IF(AND(N513&gt;=INDEX(Sectorwise!E:E,MATCH(F513,Sectorwise!A:A,0)),N513&lt;=INDEX(Sectorwise!F:F,MATCH(F513,Sectorwise!A:A,0))),1,0)</f>
        <v>1</v>
      </c>
      <c r="R513" s="76">
        <f>IF(N513&gt;INDEX(Sectorwise!F:F,MATCH(F513,Sectorwise!A:A,0)),1,0)</f>
        <v>0</v>
      </c>
      <c r="S513" s="27">
        <f t="shared" si="29"/>
        <v>0</v>
      </c>
      <c r="T513" s="27">
        <f t="shared" si="30"/>
        <v>7956</v>
      </c>
      <c r="U513" s="27">
        <f t="shared" si="31"/>
        <v>0</v>
      </c>
      <c r="V513" s="95">
        <f>IF(R513=1,(N513-INDEX(Sectorwise!F:F,MATCH(F513,Sectorwise!A:A,0))),0)</f>
        <v>0</v>
      </c>
      <c r="W513" s="97">
        <f>POISSON(N513,INDEX(Sectorwise!D:D,MATCH(Travel!F424,Sectorwise!A:A,0)),TRUE)</f>
        <v>6.9454647766378002E-160</v>
      </c>
    </row>
    <row r="514" spans="1:24" ht="15.75" hidden="1" customHeight="1" x14ac:dyDescent="0.2">
      <c r="A514" s="60" t="s">
        <v>895</v>
      </c>
      <c r="B514" s="60" t="s">
        <v>900</v>
      </c>
      <c r="C514" s="60" t="s">
        <v>901</v>
      </c>
      <c r="E514" s="60" t="s">
        <v>468</v>
      </c>
      <c r="F514" s="21" t="s">
        <v>2136</v>
      </c>
      <c r="G514" s="69" t="s">
        <v>2308</v>
      </c>
      <c r="H514" s="60" t="s">
        <v>902</v>
      </c>
      <c r="I514" s="60" t="s">
        <v>903</v>
      </c>
      <c r="J514" s="61">
        <v>7880</v>
      </c>
      <c r="K514" s="61">
        <v>6868</v>
      </c>
      <c r="L514" s="26">
        <f t="shared" si="28"/>
        <v>14748</v>
      </c>
      <c r="M514" s="26">
        <f t="array" ref="M514">MEDIAN(IF($F$3:$F$810=F514,$L$3:$L$810))</f>
        <v>14406</v>
      </c>
      <c r="N514" s="61">
        <v>14748</v>
      </c>
      <c r="O514" s="62">
        <v>12547</v>
      </c>
      <c r="P514" s="76">
        <f>IF(N514&lt;INDEX(Sectorwise!E:E,MATCH(F514,Sectorwise!A:A,0)),1,0)</f>
        <v>0</v>
      </c>
      <c r="Q514" s="76">
        <f>IF(AND(N514&gt;=INDEX(Sectorwise!E:E,MATCH(F514,Sectorwise!A:A,0)),N514&lt;=INDEX(Sectorwise!F:F,MATCH(F514,Sectorwise!A:A,0))),1,0)</f>
        <v>1</v>
      </c>
      <c r="R514" s="76">
        <f>IF(N514&gt;INDEX(Sectorwise!F:F,MATCH(F514,Sectorwise!A:A,0)),1,0)</f>
        <v>0</v>
      </c>
      <c r="S514" s="27">
        <f t="shared" si="29"/>
        <v>0</v>
      </c>
      <c r="T514" s="27">
        <f t="shared" si="30"/>
        <v>14748</v>
      </c>
      <c r="U514" s="27">
        <f t="shared" si="31"/>
        <v>0</v>
      </c>
      <c r="V514" s="95">
        <f>IF(R514=1,(N514-INDEX(Sectorwise!F:F,MATCH(F514,Sectorwise!A:A,0))),0)</f>
        <v>0</v>
      </c>
      <c r="W514" s="97">
        <f>POISSON(N514,INDEX(Sectorwise!D:D,MATCH(Travel!F338,Sectorwise!A:A,0)),TRUE)</f>
        <v>1</v>
      </c>
    </row>
    <row r="515" spans="1:24" ht="15.75" hidden="1" customHeight="1" x14ac:dyDescent="0.2">
      <c r="A515" s="60" t="s">
        <v>941</v>
      </c>
      <c r="B515" s="60" t="s">
        <v>942</v>
      </c>
      <c r="C515" s="64" t="s">
        <v>943</v>
      </c>
      <c r="E515" s="60" t="s">
        <v>468</v>
      </c>
      <c r="F515" s="21" t="s">
        <v>2136</v>
      </c>
      <c r="G515" s="69" t="s">
        <v>2308</v>
      </c>
      <c r="H515" s="60" t="s">
        <v>944</v>
      </c>
      <c r="I515" s="60" t="s">
        <v>922</v>
      </c>
      <c r="J515" s="61">
        <v>7880</v>
      </c>
      <c r="K515" s="61">
        <v>6868</v>
      </c>
      <c r="L515" s="26">
        <f t="shared" ref="L515:L578" si="32">J515+K515</f>
        <v>14748</v>
      </c>
      <c r="M515" s="26">
        <f t="array" ref="M515">MEDIAN(IF($F$3:$F$810=F515,$L$3:$L$810))</f>
        <v>14406</v>
      </c>
      <c r="N515" s="61">
        <v>14748</v>
      </c>
      <c r="O515" s="62">
        <v>5938</v>
      </c>
      <c r="P515" s="76">
        <f>IF(N515&lt;INDEX(Sectorwise!E:E,MATCH(F515,Sectorwise!A:A,0)),1,0)</f>
        <v>0</v>
      </c>
      <c r="Q515" s="76">
        <f>IF(AND(N515&gt;=INDEX(Sectorwise!E:E,MATCH(F515,Sectorwise!A:A,0)),N515&lt;=INDEX(Sectorwise!F:F,MATCH(F515,Sectorwise!A:A,0))),1,0)</f>
        <v>1</v>
      </c>
      <c r="R515" s="76">
        <f>IF(N515&gt;INDEX(Sectorwise!F:F,MATCH(F515,Sectorwise!A:A,0)),1,0)</f>
        <v>0</v>
      </c>
      <c r="S515" s="27">
        <f t="shared" ref="S515:S578" si="33">IF(P515=0,0,N515)</f>
        <v>0</v>
      </c>
      <c r="T515" s="27">
        <f t="shared" ref="T515:T578" si="34">IF(Q515=0,0,N515)</f>
        <v>14748</v>
      </c>
      <c r="U515" s="27">
        <f t="shared" ref="U515:U578" si="35">IF(R515=0,0,N515)</f>
        <v>0</v>
      </c>
      <c r="V515" s="95">
        <f>IF(R515=1,(N515-INDEX(Sectorwise!F:F,MATCH(F515,Sectorwise!A:A,0))),0)</f>
        <v>0</v>
      </c>
      <c r="W515" s="97">
        <f>POISSON(N515,INDEX(Sectorwise!D:D,MATCH(Travel!F352,Sectorwise!A:A,0)),TRUE)</f>
        <v>0</v>
      </c>
    </row>
    <row r="516" spans="1:24" ht="15.75" hidden="1" customHeight="1" x14ac:dyDescent="0.2">
      <c r="A516" s="21" t="s">
        <v>466</v>
      </c>
      <c r="B516" s="21" t="s">
        <v>467</v>
      </c>
      <c r="C516" s="22"/>
      <c r="D516" s="32"/>
      <c r="E516" s="21" t="s">
        <v>468</v>
      </c>
      <c r="F516" s="21" t="s">
        <v>2135</v>
      </c>
      <c r="G516" s="69" t="s">
        <v>2308</v>
      </c>
      <c r="H516" s="21" t="s">
        <v>470</v>
      </c>
      <c r="I516" s="21" t="s">
        <v>457</v>
      </c>
      <c r="J516" s="25">
        <v>4218</v>
      </c>
      <c r="K516" s="25">
        <v>2984</v>
      </c>
      <c r="L516" s="26">
        <f t="shared" si="32"/>
        <v>7202</v>
      </c>
      <c r="M516" s="26">
        <f t="array" ref="M516">MEDIAN(IF($F$3:$F$810=F516,$L$3:$L$810))</f>
        <v>7234</v>
      </c>
      <c r="N516" s="47">
        <f>J516+K516</f>
        <v>7202</v>
      </c>
      <c r="O516" s="27"/>
      <c r="P516" s="76">
        <f>IF(N516&lt;INDEX(Sectorwise!E:E,MATCH(F516,Sectorwise!A:A,0)),1,0)</f>
        <v>0</v>
      </c>
      <c r="Q516" s="76">
        <f>IF(AND(N516&gt;=INDEX(Sectorwise!E:E,MATCH(F516,Sectorwise!A:A,0)),N516&lt;=INDEX(Sectorwise!F:F,MATCH(F516,Sectorwise!A:A,0))),1,0)</f>
        <v>1</v>
      </c>
      <c r="R516" s="76">
        <f>IF(N516&gt;INDEX(Sectorwise!F:F,MATCH(F516,Sectorwise!A:A,0)),1,0)</f>
        <v>0</v>
      </c>
      <c r="S516" s="27">
        <f t="shared" si="33"/>
        <v>0</v>
      </c>
      <c r="T516" s="27">
        <f t="shared" si="34"/>
        <v>7202</v>
      </c>
      <c r="U516" s="27">
        <f t="shared" si="35"/>
        <v>0</v>
      </c>
      <c r="V516" s="95">
        <f>IF(R516=1,(N516-INDEX(Sectorwise!F:F,MATCH(F516,Sectorwise!A:A,0))),0)</f>
        <v>0</v>
      </c>
      <c r="W516" s="97">
        <f>POISSON(N516,INDEX(Sectorwise!D:D,MATCH(Travel!F175,Sectorwise!A:A,0)),TRUE)</f>
        <v>7.165631407144526E-3</v>
      </c>
    </row>
    <row r="517" spans="1:24" ht="15.75" hidden="1" customHeight="1" x14ac:dyDescent="0.2">
      <c r="A517" s="60" t="s">
        <v>980</v>
      </c>
      <c r="B517" s="60" t="s">
        <v>981</v>
      </c>
      <c r="C517" s="60"/>
      <c r="E517" s="60" t="s">
        <v>468</v>
      </c>
      <c r="F517" s="21" t="s">
        <v>2135</v>
      </c>
      <c r="G517" s="63" t="s">
        <v>2312</v>
      </c>
      <c r="H517" s="60" t="s">
        <v>982</v>
      </c>
      <c r="I517" s="60" t="s">
        <v>938</v>
      </c>
      <c r="J517" s="61">
        <v>4700</v>
      </c>
      <c r="K517" s="61">
        <v>3213</v>
      </c>
      <c r="L517" s="26">
        <f t="shared" si="32"/>
        <v>7913</v>
      </c>
      <c r="M517" s="26">
        <f t="array" ref="M517">MEDIAN(IF($F$3:$F$810=F517,$L$3:$L$810))</f>
        <v>7234</v>
      </c>
      <c r="N517" s="61">
        <v>7913</v>
      </c>
      <c r="O517" s="62">
        <v>0</v>
      </c>
      <c r="P517" s="76">
        <f>IF(N517&lt;INDEX(Sectorwise!E:E,MATCH(F517,Sectorwise!A:A,0)),1,0)</f>
        <v>0</v>
      </c>
      <c r="Q517" s="76">
        <f>IF(AND(N517&gt;=INDEX(Sectorwise!E:E,MATCH(F517,Sectorwise!A:A,0)),N517&lt;=INDEX(Sectorwise!F:F,MATCH(F517,Sectorwise!A:A,0))),1,0)</f>
        <v>1</v>
      </c>
      <c r="R517" s="76">
        <f>IF(N517&gt;INDEX(Sectorwise!F:F,MATCH(F517,Sectorwise!A:A,0)),1,0)</f>
        <v>0</v>
      </c>
      <c r="S517" s="27">
        <f t="shared" si="33"/>
        <v>0</v>
      </c>
      <c r="T517" s="27">
        <f t="shared" si="34"/>
        <v>7913</v>
      </c>
      <c r="U517" s="27">
        <f t="shared" si="35"/>
        <v>0</v>
      </c>
      <c r="V517" s="95">
        <f>IF(R517=1,(N517-INDEX(Sectorwise!F:F,MATCH(F517,Sectorwise!A:A,0))),0)</f>
        <v>0</v>
      </c>
      <c r="W517" s="97">
        <f>POISSON(N517,INDEX(Sectorwise!D:D,MATCH(Travel!F368,Sectorwise!A:A,0)),TRUE)</f>
        <v>0.99999999999999822</v>
      </c>
    </row>
    <row r="518" spans="1:24" ht="15.75" hidden="1" customHeight="1" x14ac:dyDescent="0.2">
      <c r="A518" s="63" t="s">
        <v>1123</v>
      </c>
      <c r="B518" s="63" t="s">
        <v>1124</v>
      </c>
      <c r="C518" s="63"/>
      <c r="E518" s="63" t="s">
        <v>468</v>
      </c>
      <c r="F518" s="21" t="s">
        <v>2135</v>
      </c>
      <c r="G518" s="33" t="s">
        <v>2321</v>
      </c>
      <c r="H518" s="63" t="s">
        <v>1125</v>
      </c>
      <c r="I518" s="63" t="s">
        <v>1122</v>
      </c>
      <c r="J518" s="65">
        <v>4361</v>
      </c>
      <c r="K518" s="65">
        <v>3557</v>
      </c>
      <c r="L518" s="26">
        <f t="shared" si="32"/>
        <v>7918</v>
      </c>
      <c r="M518" s="26">
        <f t="array" ref="M518">MEDIAN(IF($F$3:$F$810=F518,$L$3:$L$810))</f>
        <v>7234</v>
      </c>
      <c r="N518" s="65">
        <v>15874</v>
      </c>
      <c r="O518" s="62">
        <v>0</v>
      </c>
      <c r="P518" s="76">
        <f>IF(N518&lt;INDEX(Sectorwise!E:E,MATCH(F518,Sectorwise!A:A,0)),1,0)</f>
        <v>0</v>
      </c>
      <c r="Q518" s="76">
        <f>IF(AND(N518&gt;=INDEX(Sectorwise!E:E,MATCH(F518,Sectorwise!A:A,0)),N518&lt;=INDEX(Sectorwise!F:F,MATCH(F518,Sectorwise!A:A,0))),1,0)</f>
        <v>0</v>
      </c>
      <c r="R518" s="76">
        <f>IF(N518&gt;INDEX(Sectorwise!F:F,MATCH(F518,Sectorwise!A:A,0)),1,0)</f>
        <v>1</v>
      </c>
      <c r="S518" s="27">
        <f t="shared" si="33"/>
        <v>0</v>
      </c>
      <c r="T518" s="27">
        <f t="shared" si="34"/>
        <v>0</v>
      </c>
      <c r="U518" s="27">
        <f t="shared" si="35"/>
        <v>15874</v>
      </c>
      <c r="V518" s="95">
        <f>IF(R518=1,(N518-INDEX(Sectorwise!F:F,MATCH(F518,Sectorwise!A:A,0))),0)</f>
        <v>7874</v>
      </c>
      <c r="W518" s="97">
        <f>POISSON(N518,INDEX(Sectorwise!D:D,MATCH(Travel!F423,Sectorwise!A:A,0)),TRUE)</f>
        <v>1</v>
      </c>
    </row>
    <row r="519" spans="1:24" ht="15.75" hidden="1" customHeight="1" x14ac:dyDescent="0.2">
      <c r="A519" s="63" t="s">
        <v>1273</v>
      </c>
      <c r="B519" s="63" t="s">
        <v>1278</v>
      </c>
      <c r="C519" s="63"/>
      <c r="E519" s="63" t="s">
        <v>468</v>
      </c>
      <c r="F519" s="21" t="s">
        <v>2135</v>
      </c>
      <c r="G519" s="69" t="s">
        <v>2308</v>
      </c>
      <c r="H519" s="63" t="s">
        <v>1279</v>
      </c>
      <c r="I519" s="63" t="s">
        <v>1239</v>
      </c>
      <c r="J519" s="65">
        <v>4999</v>
      </c>
      <c r="K519" s="65">
        <v>3632</v>
      </c>
      <c r="L519" s="26">
        <f t="shared" si="32"/>
        <v>8631</v>
      </c>
      <c r="M519" s="26">
        <f t="array" ref="M519">MEDIAN(IF($F$3:$F$810=F519,$L$3:$L$810))</f>
        <v>7234</v>
      </c>
      <c r="N519" s="65">
        <v>8631</v>
      </c>
      <c r="O519" s="62">
        <v>0</v>
      </c>
      <c r="P519" s="76">
        <f>IF(N519&lt;INDEX(Sectorwise!E:E,MATCH(F519,Sectorwise!A:A,0)),1,0)</f>
        <v>0</v>
      </c>
      <c r="Q519" s="76">
        <f>IF(AND(N519&gt;=INDEX(Sectorwise!E:E,MATCH(F519,Sectorwise!A:A,0)),N519&lt;=INDEX(Sectorwise!F:F,MATCH(F519,Sectorwise!A:A,0))),1,0)</f>
        <v>0</v>
      </c>
      <c r="R519" s="76">
        <f>IF(N519&gt;INDEX(Sectorwise!F:F,MATCH(F519,Sectorwise!A:A,0)),1,0)</f>
        <v>1</v>
      </c>
      <c r="S519" s="27">
        <f t="shared" si="33"/>
        <v>0</v>
      </c>
      <c r="T519" s="27">
        <f t="shared" si="34"/>
        <v>0</v>
      </c>
      <c r="U519" s="27">
        <f t="shared" si="35"/>
        <v>8631</v>
      </c>
      <c r="V519" s="95">
        <f>IF(R519=1,(N519-INDEX(Sectorwise!F:F,MATCH(F519,Sectorwise!A:A,0))),0)</f>
        <v>631</v>
      </c>
      <c r="W519" s="97">
        <f>POISSON(N519,INDEX(Sectorwise!D:D,MATCH(Travel!F480,Sectorwise!A:A,0)),TRUE)</f>
        <v>1</v>
      </c>
    </row>
    <row r="520" spans="1:24" ht="15.75" hidden="1" customHeight="1" x14ac:dyDescent="0.2">
      <c r="A520" s="63" t="s">
        <v>1134</v>
      </c>
      <c r="B520" s="63" t="s">
        <v>1152</v>
      </c>
      <c r="C520" s="63"/>
      <c r="E520" s="63" t="s">
        <v>1153</v>
      </c>
      <c r="F520" s="63" t="s">
        <v>2162</v>
      </c>
      <c r="G520" s="63" t="s">
        <v>2317</v>
      </c>
      <c r="H520" s="63" t="s">
        <v>1154</v>
      </c>
      <c r="I520" s="63" t="s">
        <v>1151</v>
      </c>
      <c r="J520" s="65">
        <v>17400</v>
      </c>
      <c r="K520" s="65">
        <v>33005</v>
      </c>
      <c r="L520" s="26">
        <f t="shared" si="32"/>
        <v>50405</v>
      </c>
      <c r="M520" s="26">
        <f t="array" ref="M520">MEDIAN(IF($F$3:$F$810=F520,$L$3:$L$810))</f>
        <v>50405</v>
      </c>
      <c r="N520" s="65">
        <v>50405</v>
      </c>
      <c r="O520" s="62">
        <v>0</v>
      </c>
      <c r="P520" s="76">
        <f>IF(N520&lt;INDEX(Sectorwise!E:E,MATCH(F520,Sectorwise!A:A,0)),1,0)</f>
        <v>0</v>
      </c>
      <c r="Q520" s="76">
        <f>IF(AND(N520&gt;=INDEX(Sectorwise!E:E,MATCH(F520,Sectorwise!A:A,0)),N520&lt;=INDEX(Sectorwise!F:F,MATCH(F520,Sectorwise!A:A,0))),1,0)</f>
        <v>1</v>
      </c>
      <c r="R520" s="76">
        <f>IF(N520&gt;INDEX(Sectorwise!F:F,MATCH(F520,Sectorwise!A:A,0)),1,0)</f>
        <v>0</v>
      </c>
      <c r="S520" s="27">
        <f t="shared" si="33"/>
        <v>0</v>
      </c>
      <c r="T520" s="27">
        <f t="shared" si="34"/>
        <v>50405</v>
      </c>
      <c r="U520" s="27">
        <f t="shared" si="35"/>
        <v>0</v>
      </c>
      <c r="V520" s="95">
        <f>IF(R520=1,(N520-INDEX(Sectorwise!F:F,MATCH(F520,Sectorwise!A:A,0))),0)</f>
        <v>0</v>
      </c>
      <c r="W520" s="97">
        <f>POISSON(N520,INDEX(Sectorwise!D:D,MATCH(Travel!F436,Sectorwise!A:A,0)),TRUE)</f>
        <v>1</v>
      </c>
    </row>
    <row r="521" spans="1:24" ht="15.75" hidden="1" customHeight="1" x14ac:dyDescent="0.2">
      <c r="A521" s="63" t="s">
        <v>1443</v>
      </c>
      <c r="B521" s="63" t="s">
        <v>1444</v>
      </c>
      <c r="C521" s="63"/>
      <c r="E521" s="63" t="s">
        <v>2298</v>
      </c>
      <c r="F521" s="63" t="s">
        <v>2173</v>
      </c>
      <c r="G521" s="56" t="s">
        <v>2309</v>
      </c>
      <c r="H521" s="63" t="s">
        <v>1445</v>
      </c>
      <c r="I521" s="63" t="s">
        <v>1446</v>
      </c>
      <c r="J521" s="65">
        <v>9580</v>
      </c>
      <c r="K521" s="65">
        <v>3725</v>
      </c>
      <c r="L521" s="26">
        <f t="shared" si="32"/>
        <v>13305</v>
      </c>
      <c r="M521" s="26">
        <f t="array" ref="M521">MEDIAN(IF($F$3:$F$810=F521,$L$3:$L$810))</f>
        <v>11722</v>
      </c>
      <c r="N521" s="65">
        <v>13305</v>
      </c>
      <c r="O521" s="62">
        <v>0</v>
      </c>
      <c r="P521" s="76">
        <f>IF(N521&lt;INDEX(Sectorwise!E:E,MATCH(F521,Sectorwise!A:A,0)),1,0)</f>
        <v>0</v>
      </c>
      <c r="Q521" s="76">
        <f>IF(AND(N521&gt;=INDEX(Sectorwise!E:E,MATCH(F521,Sectorwise!A:A,0)),N521&lt;=INDEX(Sectorwise!F:F,MATCH(F521,Sectorwise!A:A,0))),1,0)</f>
        <v>0</v>
      </c>
      <c r="R521" s="76">
        <f>IF(N521&gt;INDEX(Sectorwise!F:F,MATCH(F521,Sectorwise!A:A,0)),1,0)</f>
        <v>1</v>
      </c>
      <c r="S521" s="27">
        <f t="shared" si="33"/>
        <v>0</v>
      </c>
      <c r="T521" s="27">
        <f t="shared" si="34"/>
        <v>0</v>
      </c>
      <c r="U521" s="27">
        <f t="shared" si="35"/>
        <v>13305</v>
      </c>
      <c r="V521" s="95">
        <f>IF(R521=1,(N521-INDEX(Sectorwise!F:F,MATCH(F521,Sectorwise!A:A,0))),0)</f>
        <v>405</v>
      </c>
      <c r="W521" s="97">
        <f>POISSON(N521,INDEX(Sectorwise!D:D,MATCH(Travel!F542,Sectorwise!A:A,0)),TRUE)</f>
        <v>0</v>
      </c>
    </row>
    <row r="522" spans="1:24" ht="15.75" hidden="1" customHeight="1" x14ac:dyDescent="0.2">
      <c r="A522" s="63" t="s">
        <v>1613</v>
      </c>
      <c r="B522" s="63" t="s">
        <v>1620</v>
      </c>
      <c r="C522" s="63"/>
      <c r="E522" s="63" t="s">
        <v>2298</v>
      </c>
      <c r="F522" s="63" t="s">
        <v>2173</v>
      </c>
      <c r="G522" s="63" t="s">
        <v>2312</v>
      </c>
      <c r="H522" s="63" t="s">
        <v>1621</v>
      </c>
      <c r="I522" s="63" t="s">
        <v>1622</v>
      </c>
      <c r="J522" s="65">
        <v>7886</v>
      </c>
      <c r="K522" s="65">
        <v>6005</v>
      </c>
      <c r="L522" s="26">
        <f t="shared" si="32"/>
        <v>13891</v>
      </c>
      <c r="M522" s="26">
        <f t="array" ref="M522">MEDIAN(IF($F$3:$F$810=F522,$L$3:$L$810))</f>
        <v>11722</v>
      </c>
      <c r="N522" s="65">
        <v>13891</v>
      </c>
      <c r="O522" s="62">
        <v>0</v>
      </c>
      <c r="P522" s="76">
        <f>IF(N522&lt;INDEX(Sectorwise!E:E,MATCH(F522,Sectorwise!A:A,0)),1,0)</f>
        <v>0</v>
      </c>
      <c r="Q522" s="76">
        <f>IF(AND(N522&gt;=INDEX(Sectorwise!E:E,MATCH(F522,Sectorwise!A:A,0)),N522&lt;=INDEX(Sectorwise!F:F,MATCH(F522,Sectorwise!A:A,0))),1,0)</f>
        <v>0</v>
      </c>
      <c r="R522" s="76">
        <f>IF(N522&gt;INDEX(Sectorwise!F:F,MATCH(F522,Sectorwise!A:A,0)),1,0)</f>
        <v>1</v>
      </c>
      <c r="S522" s="27">
        <f t="shared" si="33"/>
        <v>0</v>
      </c>
      <c r="T522" s="27">
        <f t="shared" si="34"/>
        <v>0</v>
      </c>
      <c r="U522" s="27">
        <f t="shared" si="35"/>
        <v>13891</v>
      </c>
      <c r="V522" s="95">
        <f>IF(R522=1,(N522-INDEX(Sectorwise!F:F,MATCH(F522,Sectorwise!A:A,0))),0)</f>
        <v>991</v>
      </c>
      <c r="W522" s="97">
        <f>POISSON(N522,INDEX(Sectorwise!D:D,MATCH(Travel!F619,Sectorwise!A:A,0)),TRUE)</f>
        <v>1</v>
      </c>
    </row>
    <row r="523" spans="1:24" ht="15.75" hidden="1" customHeight="1" x14ac:dyDescent="0.2">
      <c r="A523" s="33" t="s">
        <v>274</v>
      </c>
      <c r="B523" s="33" t="s">
        <v>288</v>
      </c>
      <c r="C523" s="40"/>
      <c r="D523" s="35"/>
      <c r="E523" s="63" t="s">
        <v>2298</v>
      </c>
      <c r="F523" s="29" t="s">
        <v>2134</v>
      </c>
      <c r="G523" s="33" t="s">
        <v>2321</v>
      </c>
      <c r="H523" s="33" t="s">
        <v>291</v>
      </c>
      <c r="I523" s="33" t="s">
        <v>260</v>
      </c>
      <c r="J523" s="42">
        <v>3646</v>
      </c>
      <c r="K523" s="45">
        <v>3327</v>
      </c>
      <c r="L523" s="26">
        <f t="shared" si="32"/>
        <v>6973</v>
      </c>
      <c r="M523" s="26">
        <f t="array" ref="M523">MEDIAN(IF($F$3:$F$810=F523,$L$3:$L$810))</f>
        <v>7412.5</v>
      </c>
      <c r="N523" s="43">
        <f>+J523+K523</f>
        <v>6973</v>
      </c>
      <c r="O523" s="38"/>
      <c r="P523" s="76">
        <f>IF(N523&lt;INDEX(Sectorwise!E:E,MATCH(F523,Sectorwise!A:A,0)),1,0)</f>
        <v>0</v>
      </c>
      <c r="Q523" s="76">
        <f>IF(AND(N523&gt;=INDEX(Sectorwise!E:E,MATCH(F523,Sectorwise!A:A,0)),N523&lt;=INDEX(Sectorwise!F:F,MATCH(F523,Sectorwise!A:A,0))),1,0)</f>
        <v>1</v>
      </c>
      <c r="R523" s="76">
        <f>IF(N523&gt;INDEX(Sectorwise!F:F,MATCH(F523,Sectorwise!A:A,0)),1,0)</f>
        <v>0</v>
      </c>
      <c r="S523" s="27">
        <f t="shared" si="33"/>
        <v>0</v>
      </c>
      <c r="T523" s="27">
        <f t="shared" si="34"/>
        <v>6973</v>
      </c>
      <c r="U523" s="27">
        <f t="shared" si="35"/>
        <v>0</v>
      </c>
      <c r="V523" s="95">
        <f>IF(R523=1,(N523-INDEX(Sectorwise!F:F,MATCH(F523,Sectorwise!A:A,0))),0)</f>
        <v>0</v>
      </c>
      <c r="W523" s="97">
        <f>POISSON(N523,INDEX(Sectorwise!D:D,MATCH(Travel!F109,Sectorwise!A:A,0)),TRUE)</f>
        <v>0</v>
      </c>
      <c r="X523" s="44">
        <f>+N523-O523</f>
        <v>6973</v>
      </c>
    </row>
    <row r="524" spans="1:24" ht="15.75" hidden="1" customHeight="1" x14ac:dyDescent="0.2">
      <c r="A524" s="33" t="s">
        <v>404</v>
      </c>
      <c r="B524" s="33" t="s">
        <v>409</v>
      </c>
      <c r="C524" s="40"/>
      <c r="D524" s="35"/>
      <c r="E524" s="63" t="s">
        <v>2298</v>
      </c>
      <c r="F524" s="29" t="s">
        <v>2134</v>
      </c>
      <c r="G524" s="56" t="s">
        <v>2309</v>
      </c>
      <c r="H524" s="33" t="s">
        <v>410</v>
      </c>
      <c r="I524" s="33" t="s">
        <v>400</v>
      </c>
      <c r="J524" s="36">
        <v>4550</v>
      </c>
      <c r="K524" s="36">
        <v>3122</v>
      </c>
      <c r="L524" s="26">
        <f t="shared" si="32"/>
        <v>7672</v>
      </c>
      <c r="M524" s="26">
        <f t="array" ref="M524">MEDIAN(IF($F$3:$F$810=F524,$L$3:$L$810))</f>
        <v>7412.5</v>
      </c>
      <c r="N524" s="47">
        <f>+J524+K524</f>
        <v>7672</v>
      </c>
      <c r="O524" s="27"/>
      <c r="P524" s="76">
        <f>IF(N524&lt;INDEX(Sectorwise!E:E,MATCH(F524,Sectorwise!A:A,0)),1,0)</f>
        <v>0</v>
      </c>
      <c r="Q524" s="76">
        <f>IF(AND(N524&gt;=INDEX(Sectorwise!E:E,MATCH(F524,Sectorwise!A:A,0)),N524&lt;=INDEX(Sectorwise!F:F,MATCH(F524,Sectorwise!A:A,0))),1,0)</f>
        <v>1</v>
      </c>
      <c r="R524" s="76">
        <f>IF(N524&gt;INDEX(Sectorwise!F:F,MATCH(F524,Sectorwise!A:A,0)),1,0)</f>
        <v>0</v>
      </c>
      <c r="S524" s="27">
        <f t="shared" si="33"/>
        <v>0</v>
      </c>
      <c r="T524" s="27">
        <f t="shared" si="34"/>
        <v>7672</v>
      </c>
      <c r="U524" s="27">
        <f t="shared" si="35"/>
        <v>0</v>
      </c>
      <c r="V524" s="95">
        <f>IF(R524=1,(N524-INDEX(Sectorwise!F:F,MATCH(F524,Sectorwise!A:A,0))),0)</f>
        <v>0</v>
      </c>
      <c r="W524" s="97">
        <f>POISSON(N524,INDEX(Sectorwise!D:D,MATCH(Travel!F155,Sectorwise!A:A,0)),TRUE)</f>
        <v>0</v>
      </c>
    </row>
    <row r="525" spans="1:24" ht="15.75" hidden="1" customHeight="1" x14ac:dyDescent="0.2">
      <c r="A525" s="21" t="s">
        <v>471</v>
      </c>
      <c r="B525" s="21" t="s">
        <v>472</v>
      </c>
      <c r="C525" s="22"/>
      <c r="D525" s="32"/>
      <c r="E525" s="63" t="s">
        <v>2298</v>
      </c>
      <c r="F525" s="29" t="s">
        <v>2134</v>
      </c>
      <c r="G525" s="63" t="s">
        <v>2312</v>
      </c>
      <c r="H525" s="21" t="s">
        <v>473</v>
      </c>
      <c r="I525" s="21" t="s">
        <v>474</v>
      </c>
      <c r="J525" s="25">
        <v>3940</v>
      </c>
      <c r="K525" s="25">
        <v>3088</v>
      </c>
      <c r="L525" s="26">
        <f t="shared" si="32"/>
        <v>7028</v>
      </c>
      <c r="M525" s="26">
        <f t="array" ref="M525">MEDIAN(IF($F$3:$F$810=F525,$L$3:$L$810))</f>
        <v>7412.5</v>
      </c>
      <c r="N525" s="47">
        <f>J525+K525</f>
        <v>7028</v>
      </c>
      <c r="O525" s="27"/>
      <c r="P525" s="76">
        <f>IF(N525&lt;INDEX(Sectorwise!E:E,MATCH(F525,Sectorwise!A:A,0)),1,0)</f>
        <v>0</v>
      </c>
      <c r="Q525" s="76">
        <f>IF(AND(N525&gt;=INDEX(Sectorwise!E:E,MATCH(F525,Sectorwise!A:A,0)),N525&lt;=INDEX(Sectorwise!F:F,MATCH(F525,Sectorwise!A:A,0))),1,0)</f>
        <v>1</v>
      </c>
      <c r="R525" s="76">
        <f>IF(N525&gt;INDEX(Sectorwise!F:F,MATCH(F525,Sectorwise!A:A,0)),1,0)</f>
        <v>0</v>
      </c>
      <c r="S525" s="27">
        <f t="shared" si="33"/>
        <v>0</v>
      </c>
      <c r="T525" s="27">
        <f t="shared" si="34"/>
        <v>7028</v>
      </c>
      <c r="U525" s="27">
        <f t="shared" si="35"/>
        <v>0</v>
      </c>
      <c r="V525" s="95">
        <f>IF(R525=1,(N525-INDEX(Sectorwise!F:F,MATCH(F525,Sectorwise!A:A,0))),0)</f>
        <v>0</v>
      </c>
      <c r="W525" s="97">
        <f>POISSON(N525,INDEX(Sectorwise!D:D,MATCH(Travel!F176,Sectorwise!A:A,0)),TRUE)</f>
        <v>3.4369533151235216E-6</v>
      </c>
    </row>
    <row r="526" spans="1:24" ht="15.75" hidden="1" customHeight="1" x14ac:dyDescent="0.2">
      <c r="A526" s="60" t="s">
        <v>1322</v>
      </c>
      <c r="B526" s="60" t="s">
        <v>1323</v>
      </c>
      <c r="C526" s="60"/>
      <c r="E526" s="63" t="s">
        <v>2298</v>
      </c>
      <c r="F526" s="29" t="s">
        <v>2134</v>
      </c>
      <c r="G526" s="63" t="s">
        <v>2312</v>
      </c>
      <c r="H526" s="60" t="s">
        <v>1326</v>
      </c>
      <c r="I526" s="60" t="s">
        <v>1325</v>
      </c>
      <c r="J526" s="61">
        <v>4620</v>
      </c>
      <c r="K526" s="61">
        <v>3125</v>
      </c>
      <c r="L526" s="26">
        <f t="shared" si="32"/>
        <v>7745</v>
      </c>
      <c r="M526" s="26">
        <f t="array" ref="M526">MEDIAN(IF($F$3:$F$810=F526,$L$3:$L$810))</f>
        <v>7412.5</v>
      </c>
      <c r="N526" s="57">
        <f>J526+K526</f>
        <v>7745</v>
      </c>
      <c r="O526" s="62">
        <v>0</v>
      </c>
      <c r="P526" s="76">
        <f>IF(N526&lt;INDEX(Sectorwise!E:E,MATCH(F526,Sectorwise!A:A,0)),1,0)</f>
        <v>0</v>
      </c>
      <c r="Q526" s="76">
        <f>IF(AND(N526&gt;=INDEX(Sectorwise!E:E,MATCH(F526,Sectorwise!A:A,0)),N526&lt;=INDEX(Sectorwise!F:F,MATCH(F526,Sectorwise!A:A,0))),1,0)</f>
        <v>1</v>
      </c>
      <c r="R526" s="76">
        <f>IF(N526&gt;INDEX(Sectorwise!F:F,MATCH(F526,Sectorwise!A:A,0)),1,0)</f>
        <v>0</v>
      </c>
      <c r="S526" s="27">
        <f t="shared" si="33"/>
        <v>0</v>
      </c>
      <c r="T526" s="27">
        <f t="shared" si="34"/>
        <v>7745</v>
      </c>
      <c r="U526" s="27">
        <f t="shared" si="35"/>
        <v>0</v>
      </c>
      <c r="V526" s="95">
        <f>IF(R526=1,(N526-INDEX(Sectorwise!F:F,MATCH(F526,Sectorwise!A:A,0))),0)</f>
        <v>0</v>
      </c>
      <c r="W526" s="97">
        <f>POISSON(N526,INDEX(Sectorwise!D:D,MATCH(Travel!F496,Sectorwise!A:A,0)),TRUE)</f>
        <v>1.787138572047499E-187</v>
      </c>
    </row>
    <row r="527" spans="1:24" ht="15.75" hidden="1" customHeight="1" x14ac:dyDescent="0.2">
      <c r="A527" s="63" t="s">
        <v>1525</v>
      </c>
      <c r="B527" s="63" t="s">
        <v>1526</v>
      </c>
      <c r="C527" s="63"/>
      <c r="E527" s="63" t="s">
        <v>2298</v>
      </c>
      <c r="F527" s="29" t="s">
        <v>2134</v>
      </c>
      <c r="G527" s="63" t="s">
        <v>2312</v>
      </c>
      <c r="H527" s="63" t="s">
        <v>1528</v>
      </c>
      <c r="I527" s="63" t="s">
        <v>1529</v>
      </c>
      <c r="J527" s="65">
        <v>4620</v>
      </c>
      <c r="K527" s="65">
        <v>3125</v>
      </c>
      <c r="L527" s="26">
        <f t="shared" si="32"/>
        <v>7745</v>
      </c>
      <c r="M527" s="26">
        <f t="array" ref="M527">MEDIAN(IF($F$3:$F$810=F527,$L$3:$L$810))</f>
        <v>7412.5</v>
      </c>
      <c r="N527" s="57">
        <f>J527+K527</f>
        <v>7745</v>
      </c>
      <c r="O527" s="62">
        <v>0</v>
      </c>
      <c r="P527" s="76">
        <f>IF(N527&lt;INDEX(Sectorwise!E:E,MATCH(F527,Sectorwise!A:A,0)),1,0)</f>
        <v>0</v>
      </c>
      <c r="Q527" s="76">
        <f>IF(AND(N527&gt;=INDEX(Sectorwise!E:E,MATCH(F527,Sectorwise!A:A,0)),N527&lt;=INDEX(Sectorwise!F:F,MATCH(F527,Sectorwise!A:A,0))),1,0)</f>
        <v>1</v>
      </c>
      <c r="R527" s="76">
        <f>IF(N527&gt;INDEX(Sectorwise!F:F,MATCH(F527,Sectorwise!A:A,0)),1,0)</f>
        <v>0</v>
      </c>
      <c r="S527" s="27">
        <f t="shared" si="33"/>
        <v>0</v>
      </c>
      <c r="T527" s="27">
        <f t="shared" si="34"/>
        <v>7745</v>
      </c>
      <c r="U527" s="27">
        <f t="shared" si="35"/>
        <v>0</v>
      </c>
      <c r="V527" s="95">
        <f>IF(R527=1,(N527-INDEX(Sectorwise!F:F,MATCH(F527,Sectorwise!A:A,0))),0)</f>
        <v>0</v>
      </c>
      <c r="W527" s="97">
        <f>POISSON(N527,INDEX(Sectorwise!D:D,MATCH(Travel!F579,Sectorwise!A:A,0)),TRUE)</f>
        <v>1</v>
      </c>
    </row>
    <row r="528" spans="1:24" ht="15.75" hidden="1" customHeight="1" x14ac:dyDescent="0.2">
      <c r="A528" s="21" t="s">
        <v>14</v>
      </c>
      <c r="B528" s="21" t="s">
        <v>15</v>
      </c>
      <c r="C528" s="22"/>
      <c r="D528" s="23" t="s">
        <v>16</v>
      </c>
      <c r="E528" s="63" t="s">
        <v>2298</v>
      </c>
      <c r="F528" s="21" t="s">
        <v>2142</v>
      </c>
      <c r="G528" s="56" t="s">
        <v>2309</v>
      </c>
      <c r="H528" s="21" t="s">
        <v>17</v>
      </c>
      <c r="I528" s="21" t="s">
        <v>18</v>
      </c>
      <c r="J528" s="25">
        <v>2340</v>
      </c>
      <c r="K528" s="26">
        <v>2632</v>
      </c>
      <c r="L528" s="26">
        <f t="shared" si="32"/>
        <v>4972</v>
      </c>
      <c r="M528" s="26">
        <f t="array" ref="M528">MEDIAN(IF($F$3:$F$810=F528,$L$3:$L$810))</f>
        <v>5161</v>
      </c>
      <c r="N528" s="26">
        <v>4972</v>
      </c>
      <c r="O528" s="27"/>
      <c r="P528" s="76">
        <f>IF(N528&lt;INDEX(Sectorwise!E:E,MATCH(F528,Sectorwise!A:A,0)),1,0)</f>
        <v>0</v>
      </c>
      <c r="Q528" s="76">
        <f>IF(AND(N528&gt;=INDEX(Sectorwise!E:E,MATCH(F528,Sectorwise!A:A,0)),N528&lt;=INDEX(Sectorwise!F:F,MATCH(F528,Sectorwise!A:A,0))),1,0)</f>
        <v>1</v>
      </c>
      <c r="R528" s="76">
        <f>IF(N528&gt;INDEX(Sectorwise!F:F,MATCH(F528,Sectorwise!A:A,0)),1,0)</f>
        <v>0</v>
      </c>
      <c r="S528" s="27">
        <f t="shared" si="33"/>
        <v>0</v>
      </c>
      <c r="T528" s="27">
        <f t="shared" si="34"/>
        <v>4972</v>
      </c>
      <c r="U528" s="27">
        <f t="shared" si="35"/>
        <v>0</v>
      </c>
      <c r="V528" s="95">
        <f>IF(R528=1,(N528-INDEX(Sectorwise!F:F,MATCH(F528,Sectorwise!A:A,0))),0)</f>
        <v>0</v>
      </c>
      <c r="W528" s="97">
        <f>POISSON(N528,INDEX(Sectorwise!D:D,MATCH(Travel!F3,Sectorwise!A:A,0)),TRUE)</f>
        <v>1</v>
      </c>
      <c r="X528" s="28">
        <v>4972</v>
      </c>
    </row>
    <row r="529" spans="1:24" ht="15.75" hidden="1" customHeight="1" x14ac:dyDescent="0.2">
      <c r="A529" s="33" t="s">
        <v>198</v>
      </c>
      <c r="B529" s="33" t="s">
        <v>220</v>
      </c>
      <c r="C529" s="34"/>
      <c r="D529" s="35"/>
      <c r="E529" s="63" t="s">
        <v>2298</v>
      </c>
      <c r="F529" s="21" t="s">
        <v>2142</v>
      </c>
      <c r="G529" s="69" t="s">
        <v>2308</v>
      </c>
      <c r="H529" s="33" t="s">
        <v>221</v>
      </c>
      <c r="I529" s="33" t="s">
        <v>204</v>
      </c>
      <c r="J529" s="36">
        <v>2140</v>
      </c>
      <c r="K529" s="36">
        <v>2815</v>
      </c>
      <c r="L529" s="26">
        <f t="shared" si="32"/>
        <v>4955</v>
      </c>
      <c r="M529" s="26">
        <f t="array" ref="M529">MEDIAN(IF($F$3:$F$810=F529,$L$3:$L$810))</f>
        <v>5161</v>
      </c>
      <c r="N529" s="41">
        <v>4955</v>
      </c>
      <c r="O529" s="38"/>
      <c r="P529" s="76">
        <f>IF(N529&lt;INDEX(Sectorwise!E:E,MATCH(F529,Sectorwise!A:A,0)),1,0)</f>
        <v>0</v>
      </c>
      <c r="Q529" s="76">
        <f>IF(AND(N529&gt;=INDEX(Sectorwise!E:E,MATCH(F529,Sectorwise!A:A,0)),N529&lt;=INDEX(Sectorwise!F:F,MATCH(F529,Sectorwise!A:A,0))),1,0)</f>
        <v>1</v>
      </c>
      <c r="R529" s="76">
        <f>IF(N529&gt;INDEX(Sectorwise!F:F,MATCH(F529,Sectorwise!A:A,0)),1,0)</f>
        <v>0</v>
      </c>
      <c r="S529" s="27">
        <f t="shared" si="33"/>
        <v>0</v>
      </c>
      <c r="T529" s="27">
        <f t="shared" si="34"/>
        <v>4955</v>
      </c>
      <c r="U529" s="27">
        <f t="shared" si="35"/>
        <v>0</v>
      </c>
      <c r="V529" s="95">
        <f>IF(R529=1,(N529-INDEX(Sectorwise!F:F,MATCH(F529,Sectorwise!A:A,0))),0)</f>
        <v>0</v>
      </c>
      <c r="W529" s="97">
        <f>POISSON(N529,INDEX(Sectorwise!D:D,MATCH(Travel!F82,Sectorwise!A:A,0)),TRUE)</f>
        <v>8.5152472635352562E-216</v>
      </c>
      <c r="X529" s="39">
        <f>+N529-O529</f>
        <v>4955</v>
      </c>
    </row>
    <row r="530" spans="1:24" ht="15.75" hidden="1" customHeight="1" x14ac:dyDescent="0.2">
      <c r="A530" s="33" t="s">
        <v>327</v>
      </c>
      <c r="B530" s="33" t="s">
        <v>328</v>
      </c>
      <c r="C530" s="40"/>
      <c r="D530" s="35"/>
      <c r="E530" s="63" t="s">
        <v>2298</v>
      </c>
      <c r="F530" s="33" t="s">
        <v>2208</v>
      </c>
      <c r="G530" s="69" t="s">
        <v>2308</v>
      </c>
      <c r="H530" s="33" t="s">
        <v>329</v>
      </c>
      <c r="I530" s="33" t="s">
        <v>318</v>
      </c>
      <c r="J530" s="42">
        <v>4280</v>
      </c>
      <c r="K530" s="45">
        <v>5919</v>
      </c>
      <c r="L530" s="26">
        <f t="shared" si="32"/>
        <v>10199</v>
      </c>
      <c r="M530" s="26">
        <f t="array" ref="M530">MEDIAN(IF($F$3:$F$810=F530,$L$3:$L$810))</f>
        <v>10597</v>
      </c>
      <c r="N530" s="43">
        <f>+J530+K530</f>
        <v>10199</v>
      </c>
      <c r="O530" s="38"/>
      <c r="P530" s="76">
        <f>IF(N530&lt;INDEX(Sectorwise!E:E,MATCH(F530,Sectorwise!A:A,0)),1,0)</f>
        <v>0</v>
      </c>
      <c r="Q530" s="76">
        <f>IF(AND(N530&gt;=INDEX(Sectorwise!E:E,MATCH(F530,Sectorwise!A:A,0)),N530&lt;=INDEX(Sectorwise!F:F,MATCH(F530,Sectorwise!A:A,0))),1,0)</f>
        <v>1</v>
      </c>
      <c r="R530" s="76">
        <f>IF(N530&gt;INDEX(Sectorwise!F:F,MATCH(F530,Sectorwise!A:A,0)),1,0)</f>
        <v>0</v>
      </c>
      <c r="S530" s="27">
        <f t="shared" si="33"/>
        <v>0</v>
      </c>
      <c r="T530" s="27">
        <f t="shared" si="34"/>
        <v>10199</v>
      </c>
      <c r="U530" s="27">
        <f t="shared" si="35"/>
        <v>0</v>
      </c>
      <c r="V530" s="95">
        <f>IF(R530=1,(N530-INDEX(Sectorwise!F:F,MATCH(F530,Sectorwise!A:A,0))),0)</f>
        <v>0</v>
      </c>
      <c r="W530" s="97">
        <f>POISSON(N530,INDEX(Sectorwise!D:D,MATCH(Travel!F123,Sectorwise!A:A,0)),TRUE)</f>
        <v>1</v>
      </c>
      <c r="X530" s="44">
        <f>+N530-O530</f>
        <v>10199</v>
      </c>
    </row>
    <row r="531" spans="1:24" ht="15.75" hidden="1" customHeight="1" x14ac:dyDescent="0.2">
      <c r="A531" s="33" t="s">
        <v>198</v>
      </c>
      <c r="B531" s="33" t="s">
        <v>217</v>
      </c>
      <c r="C531" s="40"/>
      <c r="D531" s="35"/>
      <c r="E531" s="63" t="s">
        <v>2298</v>
      </c>
      <c r="F531" s="21" t="s">
        <v>2135</v>
      </c>
      <c r="G531" s="69" t="s">
        <v>2308</v>
      </c>
      <c r="H531" s="33" t="s">
        <v>218</v>
      </c>
      <c r="I531" s="33" t="s">
        <v>219</v>
      </c>
      <c r="J531" s="36">
        <v>3720</v>
      </c>
      <c r="K531" s="36">
        <v>3481</v>
      </c>
      <c r="L531" s="26">
        <f t="shared" si="32"/>
        <v>7201</v>
      </c>
      <c r="M531" s="26">
        <f t="array" ref="M531">MEDIAN(IF($F$3:$F$810=F531,$L$3:$L$810))</f>
        <v>7234</v>
      </c>
      <c r="N531" s="41">
        <v>7201</v>
      </c>
      <c r="O531" s="38"/>
      <c r="P531" s="76">
        <f>IF(N531&lt;INDEX(Sectorwise!E:E,MATCH(F531,Sectorwise!A:A,0)),1,0)</f>
        <v>0</v>
      </c>
      <c r="Q531" s="76">
        <f>IF(AND(N531&gt;=INDEX(Sectorwise!E:E,MATCH(F531,Sectorwise!A:A,0)),N531&lt;=INDEX(Sectorwise!F:F,MATCH(F531,Sectorwise!A:A,0))),1,0)</f>
        <v>1</v>
      </c>
      <c r="R531" s="76">
        <f>IF(N531&gt;INDEX(Sectorwise!F:F,MATCH(F531,Sectorwise!A:A,0)),1,0)</f>
        <v>0</v>
      </c>
      <c r="S531" s="27">
        <f t="shared" si="33"/>
        <v>0</v>
      </c>
      <c r="T531" s="27">
        <f t="shared" si="34"/>
        <v>7201</v>
      </c>
      <c r="U531" s="27">
        <f t="shared" si="35"/>
        <v>0</v>
      </c>
      <c r="V531" s="95">
        <f>IF(R531=1,(N531-INDEX(Sectorwise!F:F,MATCH(F531,Sectorwise!A:A,0))),0)</f>
        <v>0</v>
      </c>
      <c r="W531" s="97">
        <f>POISSON(N531,INDEX(Sectorwise!D:D,MATCH(Travel!F81,Sectorwise!A:A,0)),TRUE)</f>
        <v>1</v>
      </c>
      <c r="X531" s="39">
        <f>+N531-O531</f>
        <v>7201</v>
      </c>
    </row>
    <row r="532" spans="1:24" ht="15.75" hidden="1" customHeight="1" x14ac:dyDescent="0.2">
      <c r="A532" s="33" t="s">
        <v>274</v>
      </c>
      <c r="B532" s="33" t="s">
        <v>288</v>
      </c>
      <c r="C532" s="40"/>
      <c r="D532" s="35"/>
      <c r="E532" s="63" t="s">
        <v>2298</v>
      </c>
      <c r="F532" s="21" t="s">
        <v>2135</v>
      </c>
      <c r="G532" s="69" t="s">
        <v>2308</v>
      </c>
      <c r="H532" s="33" t="s">
        <v>289</v>
      </c>
      <c r="I532" s="33" t="s">
        <v>290</v>
      </c>
      <c r="J532" s="42">
        <v>3720</v>
      </c>
      <c r="K532" s="45">
        <v>3481</v>
      </c>
      <c r="L532" s="26">
        <f t="shared" si="32"/>
        <v>7201</v>
      </c>
      <c r="M532" s="26">
        <f t="array" ref="M532">MEDIAN(IF($F$3:$F$810=F532,$L$3:$L$810))</f>
        <v>7234</v>
      </c>
      <c r="N532" s="43">
        <f>+J532+K532</f>
        <v>7201</v>
      </c>
      <c r="O532" s="38"/>
      <c r="P532" s="76">
        <f>IF(N532&lt;INDEX(Sectorwise!E:E,MATCH(F532,Sectorwise!A:A,0)),1,0)</f>
        <v>0</v>
      </c>
      <c r="Q532" s="76">
        <f>IF(AND(N532&gt;=INDEX(Sectorwise!E:E,MATCH(F532,Sectorwise!A:A,0)),N532&lt;=INDEX(Sectorwise!F:F,MATCH(F532,Sectorwise!A:A,0))),1,0)</f>
        <v>1</v>
      </c>
      <c r="R532" s="76">
        <f>IF(N532&gt;INDEX(Sectorwise!F:F,MATCH(F532,Sectorwise!A:A,0)),1,0)</f>
        <v>0</v>
      </c>
      <c r="S532" s="27">
        <f t="shared" si="33"/>
        <v>0</v>
      </c>
      <c r="T532" s="27">
        <f t="shared" si="34"/>
        <v>7201</v>
      </c>
      <c r="U532" s="27">
        <f t="shared" si="35"/>
        <v>0</v>
      </c>
      <c r="V532" s="95">
        <f>IF(R532=1,(N532-INDEX(Sectorwise!F:F,MATCH(F532,Sectorwise!A:A,0))),0)</f>
        <v>0</v>
      </c>
      <c r="W532" s="97">
        <f>POISSON(N532,INDEX(Sectorwise!D:D,MATCH(Travel!F108,Sectorwise!A:A,0)),TRUE)</f>
        <v>0</v>
      </c>
      <c r="X532" s="44">
        <f>+N532-O532</f>
        <v>7201</v>
      </c>
    </row>
    <row r="533" spans="1:24" ht="15.75" hidden="1" customHeight="1" x14ac:dyDescent="0.2">
      <c r="A533" s="60" t="s">
        <v>1322</v>
      </c>
      <c r="B533" s="60" t="s">
        <v>1323</v>
      </c>
      <c r="C533" s="60"/>
      <c r="E533" s="63" t="s">
        <v>2298</v>
      </c>
      <c r="F533" s="21" t="s">
        <v>2135</v>
      </c>
      <c r="G533" s="63" t="s">
        <v>2312</v>
      </c>
      <c r="H533" s="60" t="s">
        <v>1324</v>
      </c>
      <c r="I533" s="60" t="s">
        <v>1325</v>
      </c>
      <c r="J533" s="61">
        <v>4620</v>
      </c>
      <c r="K533" s="61">
        <v>3208</v>
      </c>
      <c r="L533" s="26">
        <f t="shared" si="32"/>
        <v>7828</v>
      </c>
      <c r="M533" s="26">
        <f t="array" ref="M533">MEDIAN(IF($F$3:$F$810=F533,$L$3:$L$810))</f>
        <v>7234</v>
      </c>
      <c r="N533" s="61">
        <v>15573</v>
      </c>
      <c r="O533" s="62">
        <v>0</v>
      </c>
      <c r="P533" s="76">
        <f>IF(N533&lt;INDEX(Sectorwise!E:E,MATCH(F533,Sectorwise!A:A,0)),1,0)</f>
        <v>0</v>
      </c>
      <c r="Q533" s="76">
        <f>IF(AND(N533&gt;=INDEX(Sectorwise!E:E,MATCH(F533,Sectorwise!A:A,0)),N533&lt;=INDEX(Sectorwise!F:F,MATCH(F533,Sectorwise!A:A,0))),1,0)</f>
        <v>0</v>
      </c>
      <c r="R533" s="76">
        <f>IF(N533&gt;INDEX(Sectorwise!F:F,MATCH(F533,Sectorwise!A:A,0)),1,0)</f>
        <v>1</v>
      </c>
      <c r="S533" s="27">
        <f t="shared" si="33"/>
        <v>0</v>
      </c>
      <c r="T533" s="27">
        <f t="shared" si="34"/>
        <v>0</v>
      </c>
      <c r="U533" s="27">
        <f t="shared" si="35"/>
        <v>15573</v>
      </c>
      <c r="V533" s="95">
        <f>IF(R533=1,(N533-INDEX(Sectorwise!F:F,MATCH(F533,Sectorwise!A:A,0))),0)</f>
        <v>7573</v>
      </c>
      <c r="W533" s="97">
        <f>POISSON(N533,INDEX(Sectorwise!D:D,MATCH(Travel!F495,Sectorwise!A:A,0)),TRUE)</f>
        <v>1</v>
      </c>
    </row>
    <row r="534" spans="1:24" ht="15.75" hidden="1" customHeight="1" x14ac:dyDescent="0.2">
      <c r="A534" s="63" t="s">
        <v>1525</v>
      </c>
      <c r="B534" s="63" t="s">
        <v>1526</v>
      </c>
      <c r="C534" s="63"/>
      <c r="E534" s="63" t="s">
        <v>2298</v>
      </c>
      <c r="F534" s="21" t="s">
        <v>2135</v>
      </c>
      <c r="G534" s="63" t="s">
        <v>2312</v>
      </c>
      <c r="H534" s="63" t="s">
        <v>1527</v>
      </c>
      <c r="I534" s="63" t="s">
        <v>1495</v>
      </c>
      <c r="J534" s="65">
        <v>4620</v>
      </c>
      <c r="K534" s="65">
        <v>3208</v>
      </c>
      <c r="L534" s="26">
        <f t="shared" si="32"/>
        <v>7828</v>
      </c>
      <c r="M534" s="26">
        <f t="array" ref="M534">MEDIAN(IF($F$3:$F$810=F534,$L$3:$L$810))</f>
        <v>7234</v>
      </c>
      <c r="N534" s="65">
        <v>15573</v>
      </c>
      <c r="O534" s="62">
        <v>0</v>
      </c>
      <c r="P534" s="76">
        <f>IF(N534&lt;INDEX(Sectorwise!E:E,MATCH(F534,Sectorwise!A:A,0)),1,0)</f>
        <v>0</v>
      </c>
      <c r="Q534" s="76">
        <f>IF(AND(N534&gt;=INDEX(Sectorwise!E:E,MATCH(F534,Sectorwise!A:A,0)),N534&lt;=INDEX(Sectorwise!F:F,MATCH(F534,Sectorwise!A:A,0))),1,0)</f>
        <v>0</v>
      </c>
      <c r="R534" s="76">
        <f>IF(N534&gt;INDEX(Sectorwise!F:F,MATCH(F534,Sectorwise!A:A,0)),1,0)</f>
        <v>1</v>
      </c>
      <c r="S534" s="27">
        <f t="shared" si="33"/>
        <v>0</v>
      </c>
      <c r="T534" s="27">
        <f t="shared" si="34"/>
        <v>0</v>
      </c>
      <c r="U534" s="27">
        <f t="shared" si="35"/>
        <v>15573</v>
      </c>
      <c r="V534" s="95">
        <f>IF(R534=1,(N534-INDEX(Sectorwise!F:F,MATCH(F534,Sectorwise!A:A,0))),0)</f>
        <v>7573</v>
      </c>
      <c r="W534" s="97">
        <f>POISSON(N534,INDEX(Sectorwise!D:D,MATCH(Travel!F578,Sectorwise!A:A,0)),TRUE)</f>
        <v>1</v>
      </c>
    </row>
    <row r="535" spans="1:24" ht="15.75" hidden="1" customHeight="1" x14ac:dyDescent="0.2">
      <c r="A535" s="21" t="s">
        <v>127</v>
      </c>
      <c r="B535" s="21" t="s">
        <v>128</v>
      </c>
      <c r="C535" s="22"/>
      <c r="D535" s="32"/>
      <c r="E535" s="63" t="s">
        <v>2298</v>
      </c>
      <c r="F535" s="21" t="s">
        <v>2175</v>
      </c>
      <c r="G535" s="63" t="s">
        <v>2312</v>
      </c>
      <c r="H535" s="21" t="s">
        <v>129</v>
      </c>
      <c r="I535" s="21" t="s">
        <v>56</v>
      </c>
      <c r="J535" s="25">
        <v>3500</v>
      </c>
      <c r="K535" s="25">
        <v>2831</v>
      </c>
      <c r="L535" s="26">
        <f t="shared" si="32"/>
        <v>6331</v>
      </c>
      <c r="M535" s="26">
        <f t="array" ref="M535">MEDIAN(IF($F$3:$F$810=F535,$L$3:$L$810))</f>
        <v>5814</v>
      </c>
      <c r="N535" s="26">
        <v>6331</v>
      </c>
      <c r="O535" s="27"/>
      <c r="P535" s="76">
        <f>IF(N535&lt;INDEX(Sectorwise!E:E,MATCH(F535,Sectorwise!A:A,0)),1,0)</f>
        <v>0</v>
      </c>
      <c r="Q535" s="76">
        <f>IF(AND(N535&gt;=INDEX(Sectorwise!E:E,MATCH(F535,Sectorwise!A:A,0)),N535&lt;=INDEX(Sectorwise!F:F,MATCH(F535,Sectorwise!A:A,0))),1,0)</f>
        <v>1</v>
      </c>
      <c r="R535" s="76">
        <f>IF(N535&gt;INDEX(Sectorwise!F:F,MATCH(F535,Sectorwise!A:A,0)),1,0)</f>
        <v>0</v>
      </c>
      <c r="S535" s="27">
        <f t="shared" si="33"/>
        <v>0</v>
      </c>
      <c r="T535" s="27">
        <f t="shared" si="34"/>
        <v>6331</v>
      </c>
      <c r="U535" s="27">
        <f t="shared" si="35"/>
        <v>0</v>
      </c>
      <c r="V535" s="95">
        <f>IF(R535=1,(N535-INDEX(Sectorwise!F:F,MATCH(F535,Sectorwise!A:A,0))),0)</f>
        <v>0</v>
      </c>
      <c r="W535" s="97">
        <f>POISSON(N535,INDEX(Sectorwise!D:D,MATCH(Travel!F44,Sectorwise!A:A,0)),TRUE)</f>
        <v>0</v>
      </c>
      <c r="X535" s="28">
        <v>6331</v>
      </c>
    </row>
    <row r="536" spans="1:24" ht="15.75" hidden="1" customHeight="1" x14ac:dyDescent="0.2">
      <c r="A536" s="21" t="s">
        <v>14</v>
      </c>
      <c r="B536" s="21" t="s">
        <v>15</v>
      </c>
      <c r="C536" s="22"/>
      <c r="D536" s="23" t="s">
        <v>16</v>
      </c>
      <c r="E536" s="63" t="s">
        <v>2298</v>
      </c>
      <c r="F536" s="21" t="s">
        <v>2152</v>
      </c>
      <c r="G536" s="69" t="s">
        <v>2308</v>
      </c>
      <c r="H536" s="21" t="s">
        <v>19</v>
      </c>
      <c r="I536" s="21" t="s">
        <v>18</v>
      </c>
      <c r="J536" s="25">
        <v>2040</v>
      </c>
      <c r="K536" s="26">
        <v>2982</v>
      </c>
      <c r="L536" s="26">
        <f t="shared" si="32"/>
        <v>5022</v>
      </c>
      <c r="M536" s="26">
        <f t="array" ref="M536">MEDIAN(IF($F$3:$F$810=F536,$L$3:$L$810))</f>
        <v>5438</v>
      </c>
      <c r="N536" s="26">
        <v>5022</v>
      </c>
      <c r="O536" s="27"/>
      <c r="P536" s="76">
        <f>IF(N536&lt;INDEX(Sectorwise!E:E,MATCH(F536,Sectorwise!A:A,0)),1,0)</f>
        <v>0</v>
      </c>
      <c r="Q536" s="76">
        <f>IF(AND(N536&gt;=INDEX(Sectorwise!E:E,MATCH(F536,Sectorwise!A:A,0)),N536&lt;=INDEX(Sectorwise!F:F,MATCH(F536,Sectorwise!A:A,0))),1,0)</f>
        <v>1</v>
      </c>
      <c r="R536" s="76">
        <f>IF(N536&gt;INDEX(Sectorwise!F:F,MATCH(F536,Sectorwise!A:A,0)),1,0)</f>
        <v>0</v>
      </c>
      <c r="S536" s="27">
        <f t="shared" si="33"/>
        <v>0</v>
      </c>
      <c r="T536" s="27">
        <f t="shared" si="34"/>
        <v>5022</v>
      </c>
      <c r="U536" s="27">
        <f t="shared" si="35"/>
        <v>0</v>
      </c>
      <c r="V536" s="95">
        <f>IF(R536=1,(N536-INDEX(Sectorwise!F:F,MATCH(F536,Sectorwise!A:A,0))),0)</f>
        <v>0</v>
      </c>
      <c r="W536" s="97">
        <f>POISSON(N536,INDEX(Sectorwise!D:D,MATCH(Travel!F4,Sectorwise!A:A,0)),TRUE)</f>
        <v>1</v>
      </c>
      <c r="X536" s="28">
        <v>5022</v>
      </c>
    </row>
    <row r="537" spans="1:24" ht="15.75" hidden="1" customHeight="1" x14ac:dyDescent="0.2">
      <c r="A537" s="33" t="s">
        <v>198</v>
      </c>
      <c r="B537" s="33" t="s">
        <v>214</v>
      </c>
      <c r="C537" s="40"/>
      <c r="D537" s="35"/>
      <c r="E537" s="63" t="s">
        <v>2298</v>
      </c>
      <c r="F537" s="33" t="s">
        <v>2191</v>
      </c>
      <c r="G537" s="69" t="s">
        <v>2308</v>
      </c>
      <c r="H537" s="33" t="s">
        <v>215</v>
      </c>
      <c r="I537" s="33" t="s">
        <v>216</v>
      </c>
      <c r="J537" s="36">
        <v>2140</v>
      </c>
      <c r="K537" s="36">
        <v>3104</v>
      </c>
      <c r="L537" s="26">
        <f t="shared" si="32"/>
        <v>5244</v>
      </c>
      <c r="M537" s="26">
        <f t="array" ref="M537">MEDIAN(IF($F$3:$F$810=F537,$L$3:$L$810))</f>
        <v>5519</v>
      </c>
      <c r="N537" s="41">
        <v>5244</v>
      </c>
      <c r="O537" s="38"/>
      <c r="P537" s="76">
        <f>IF(N537&lt;INDEX(Sectorwise!E:E,MATCH(F537,Sectorwise!A:A,0)),1,0)</f>
        <v>0</v>
      </c>
      <c r="Q537" s="76">
        <f>IF(AND(N537&gt;=INDEX(Sectorwise!E:E,MATCH(F537,Sectorwise!A:A,0)),N537&lt;=INDEX(Sectorwise!F:F,MATCH(F537,Sectorwise!A:A,0))),1,0)</f>
        <v>1</v>
      </c>
      <c r="R537" s="76">
        <f>IF(N537&gt;INDEX(Sectorwise!F:F,MATCH(F537,Sectorwise!A:A,0)),1,0)</f>
        <v>0</v>
      </c>
      <c r="S537" s="27">
        <f t="shared" si="33"/>
        <v>0</v>
      </c>
      <c r="T537" s="27">
        <f t="shared" si="34"/>
        <v>5244</v>
      </c>
      <c r="U537" s="27">
        <f t="shared" si="35"/>
        <v>0</v>
      </c>
      <c r="V537" s="95">
        <f>IF(R537=1,(N537-INDEX(Sectorwise!F:F,MATCH(F537,Sectorwise!A:A,0))),0)</f>
        <v>0</v>
      </c>
      <c r="W537" s="97">
        <f>POISSON(N537,INDEX(Sectorwise!D:D,MATCH(Travel!F80,Sectorwise!A:A,0)),TRUE)</f>
        <v>4.1758800158860337E-3</v>
      </c>
      <c r="X537" s="39">
        <f>+N537-O537</f>
        <v>5244</v>
      </c>
    </row>
    <row r="538" spans="1:24" ht="15.75" hidden="1" customHeight="1" x14ac:dyDescent="0.2">
      <c r="A538" s="21" t="s">
        <v>88</v>
      </c>
      <c r="B538" s="21" t="s">
        <v>91</v>
      </c>
      <c r="C538" s="22"/>
      <c r="D538" s="23" t="s">
        <v>16</v>
      </c>
      <c r="E538" s="63" t="s">
        <v>2298</v>
      </c>
      <c r="F538" s="29" t="s">
        <v>2134</v>
      </c>
      <c r="G538" s="63" t="s">
        <v>2312</v>
      </c>
      <c r="H538" s="21" t="s">
        <v>92</v>
      </c>
      <c r="I538" s="21" t="s">
        <v>84</v>
      </c>
      <c r="J538" s="25">
        <v>4700</v>
      </c>
      <c r="K538" s="26">
        <v>3129</v>
      </c>
      <c r="L538" s="26">
        <f t="shared" si="32"/>
        <v>7829</v>
      </c>
      <c r="M538" s="26">
        <f t="array" ref="M538">MEDIAN(IF($F$3:$F$810=F538,$L$3:$L$810))</f>
        <v>7412.5</v>
      </c>
      <c r="N538" s="26">
        <v>7829</v>
      </c>
      <c r="O538" s="27"/>
      <c r="P538" s="76">
        <f>IF(N538&lt;INDEX(Sectorwise!E:E,MATCH(F538,Sectorwise!A:A,0)),1,0)</f>
        <v>0</v>
      </c>
      <c r="Q538" s="76">
        <f>IF(AND(N538&gt;=INDEX(Sectorwise!E:E,MATCH(F538,Sectorwise!A:A,0)),N538&lt;=INDEX(Sectorwise!F:F,MATCH(F538,Sectorwise!A:A,0))),1,0)</f>
        <v>1</v>
      </c>
      <c r="R538" s="76">
        <f>IF(N538&gt;INDEX(Sectorwise!F:F,MATCH(F538,Sectorwise!A:A,0)),1,0)</f>
        <v>0</v>
      </c>
      <c r="S538" s="27">
        <f t="shared" si="33"/>
        <v>0</v>
      </c>
      <c r="T538" s="27">
        <f t="shared" si="34"/>
        <v>7829</v>
      </c>
      <c r="U538" s="27">
        <f t="shared" si="35"/>
        <v>0</v>
      </c>
      <c r="V538" s="95">
        <f>IF(R538=1,(N538-INDEX(Sectorwise!F:F,MATCH(F538,Sectorwise!A:A,0))),0)</f>
        <v>0</v>
      </c>
      <c r="W538" s="97">
        <f>POISSON(N538,INDEX(Sectorwise!D:D,MATCH(Travel!F28,Sectorwise!A:A,0)),TRUE)</f>
        <v>0</v>
      </c>
      <c r="X538" s="28">
        <v>7829</v>
      </c>
    </row>
    <row r="539" spans="1:24" ht="15.75" hidden="1" customHeight="1" x14ac:dyDescent="0.2">
      <c r="A539" s="21" t="s">
        <v>88</v>
      </c>
      <c r="B539" s="21" t="s">
        <v>91</v>
      </c>
      <c r="C539" s="22"/>
      <c r="D539" s="23" t="s">
        <v>16</v>
      </c>
      <c r="E539" s="63" t="s">
        <v>2298</v>
      </c>
      <c r="F539" s="21" t="s">
        <v>2135</v>
      </c>
      <c r="G539" s="63" t="s">
        <v>2312</v>
      </c>
      <c r="H539" s="21" t="s">
        <v>93</v>
      </c>
      <c r="I539" s="21" t="s">
        <v>94</v>
      </c>
      <c r="J539" s="25">
        <v>3940</v>
      </c>
      <c r="K539" s="26">
        <v>3171</v>
      </c>
      <c r="L539" s="26">
        <f t="shared" si="32"/>
        <v>7111</v>
      </c>
      <c r="M539" s="26">
        <f t="array" ref="M539">MEDIAN(IF($F$3:$F$810=F539,$L$3:$L$810))</f>
        <v>7234</v>
      </c>
      <c r="N539" s="26">
        <v>7111</v>
      </c>
      <c r="O539" s="27"/>
      <c r="P539" s="76">
        <f>IF(N539&lt;INDEX(Sectorwise!E:E,MATCH(F539,Sectorwise!A:A,0)),1,0)</f>
        <v>0</v>
      </c>
      <c r="Q539" s="76">
        <f>IF(AND(N539&gt;=INDEX(Sectorwise!E:E,MATCH(F539,Sectorwise!A:A,0)),N539&lt;=INDEX(Sectorwise!F:F,MATCH(F539,Sectorwise!A:A,0))),1,0)</f>
        <v>1</v>
      </c>
      <c r="R539" s="76">
        <f>IF(N539&gt;INDEX(Sectorwise!F:F,MATCH(F539,Sectorwise!A:A,0)),1,0)</f>
        <v>0</v>
      </c>
      <c r="S539" s="27">
        <f t="shared" si="33"/>
        <v>0</v>
      </c>
      <c r="T539" s="27">
        <f t="shared" si="34"/>
        <v>7111</v>
      </c>
      <c r="U539" s="27">
        <f t="shared" si="35"/>
        <v>0</v>
      </c>
      <c r="V539" s="95">
        <f>IF(R539=1,(N539-INDEX(Sectorwise!F:F,MATCH(F539,Sectorwise!A:A,0))),0)</f>
        <v>0</v>
      </c>
      <c r="W539" s="97">
        <f>POISSON(N539,INDEX(Sectorwise!D:D,MATCH(Travel!F29,Sectorwise!A:A,0)),TRUE)</f>
        <v>0</v>
      </c>
      <c r="X539" s="28">
        <v>7111</v>
      </c>
    </row>
    <row r="540" spans="1:24" ht="15.75" hidden="1" customHeight="1" x14ac:dyDescent="0.2">
      <c r="A540" s="63" t="s">
        <v>1189</v>
      </c>
      <c r="B540" s="63" t="s">
        <v>1195</v>
      </c>
      <c r="C540" s="63"/>
      <c r="E540" s="63" t="s">
        <v>717</v>
      </c>
      <c r="F540" s="63" t="s">
        <v>2151</v>
      </c>
      <c r="G540" s="56" t="s">
        <v>2309</v>
      </c>
      <c r="H540" s="63" t="s">
        <v>1196</v>
      </c>
      <c r="I540" s="63" t="s">
        <v>1197</v>
      </c>
      <c r="J540" s="65">
        <v>4700</v>
      </c>
      <c r="K540" s="65">
        <v>3283</v>
      </c>
      <c r="L540" s="26">
        <f t="shared" si="32"/>
        <v>7983</v>
      </c>
      <c r="M540" s="26">
        <f t="array" ref="M540">MEDIAN(IF($F$3:$F$810=F540,$L$3:$L$810))</f>
        <v>10079</v>
      </c>
      <c r="N540" s="65">
        <v>7983</v>
      </c>
      <c r="O540" s="62">
        <v>0</v>
      </c>
      <c r="P540" s="76">
        <f>IF(N540&lt;INDEX(Sectorwise!E:E,MATCH(F540,Sectorwise!A:A,0)),1,0)</f>
        <v>1</v>
      </c>
      <c r="Q540" s="76">
        <f>IF(AND(N540&gt;=INDEX(Sectorwise!E:E,MATCH(F540,Sectorwise!A:A,0)),N540&lt;=INDEX(Sectorwise!F:F,MATCH(F540,Sectorwise!A:A,0))),1,0)</f>
        <v>0</v>
      </c>
      <c r="R540" s="76">
        <f>IF(N540&gt;INDEX(Sectorwise!F:F,MATCH(F540,Sectorwise!A:A,0)),1,0)</f>
        <v>0</v>
      </c>
      <c r="S540" s="27">
        <f t="shared" si="33"/>
        <v>7983</v>
      </c>
      <c r="T540" s="27">
        <f t="shared" si="34"/>
        <v>0</v>
      </c>
      <c r="U540" s="27">
        <f t="shared" si="35"/>
        <v>0</v>
      </c>
      <c r="V540" s="95">
        <f>IF(R540=1,(N540-INDEX(Sectorwise!F:F,MATCH(F540,Sectorwise!A:A,0))),0)</f>
        <v>0</v>
      </c>
      <c r="W540" s="97">
        <f>POISSON(N540,INDEX(Sectorwise!D:D,MATCH(Travel!F452,Sectorwise!A:A,0)),TRUE)</f>
        <v>2.3801021598775214E-128</v>
      </c>
    </row>
    <row r="541" spans="1:24" ht="15.75" hidden="1" customHeight="1" x14ac:dyDescent="0.2">
      <c r="A541" s="21" t="s">
        <v>710</v>
      </c>
      <c r="B541" s="24" t="s">
        <v>716</v>
      </c>
      <c r="C541" s="22"/>
      <c r="D541" s="32"/>
      <c r="E541" s="63" t="s">
        <v>717</v>
      </c>
      <c r="F541" s="21" t="s">
        <v>2201</v>
      </c>
      <c r="G541" s="63" t="s">
        <v>2314</v>
      </c>
      <c r="H541" s="21" t="s">
        <v>718</v>
      </c>
      <c r="I541" s="21" t="s">
        <v>719</v>
      </c>
      <c r="J541" s="25">
        <v>0</v>
      </c>
      <c r="K541" s="25">
        <v>0</v>
      </c>
      <c r="L541" s="26">
        <f t="shared" si="32"/>
        <v>0</v>
      </c>
      <c r="M541" s="26">
        <f t="array" ref="M541">MEDIAN(IF($F$3:$F$810=F541,$L$3:$L$810))</f>
        <v>0</v>
      </c>
      <c r="N541" s="47">
        <v>0</v>
      </c>
      <c r="O541" s="55"/>
      <c r="P541" s="76">
        <f>IF(N541&lt;INDEX(Sectorwise!E:E,MATCH(F541,Sectorwise!A:A,0)),1,0)</f>
        <v>0</v>
      </c>
      <c r="Q541" s="76">
        <f>IF(AND(N541&gt;=INDEX(Sectorwise!E:E,MATCH(F541,Sectorwise!A:A,0)),N541&lt;=INDEX(Sectorwise!F:F,MATCH(F541,Sectorwise!A:A,0))),1,0)</f>
        <v>1</v>
      </c>
      <c r="R541" s="76">
        <f>IF(N541&gt;INDEX(Sectorwise!F:F,MATCH(F541,Sectorwise!A:A,0)),1,0)</f>
        <v>0</v>
      </c>
      <c r="S541" s="27">
        <f t="shared" si="33"/>
        <v>0</v>
      </c>
      <c r="T541" s="27">
        <f t="shared" si="34"/>
        <v>0</v>
      </c>
      <c r="U541" s="27">
        <f t="shared" si="35"/>
        <v>0</v>
      </c>
      <c r="V541" s="95">
        <f>IF(R541=1,(N541-INDEX(Sectorwise!F:F,MATCH(F541,Sectorwise!A:A,0))),0)</f>
        <v>0</v>
      </c>
      <c r="W541" s="97">
        <f>POISSON(N541,INDEX(Sectorwise!D:D,MATCH(Travel!F271,Sectorwise!A:A,0)),TRUE)</f>
        <v>0</v>
      </c>
    </row>
    <row r="542" spans="1:24" ht="15.75" hidden="1" customHeight="1" x14ac:dyDescent="0.2">
      <c r="A542" s="21" t="s">
        <v>710</v>
      </c>
      <c r="B542" s="24" t="s">
        <v>716</v>
      </c>
      <c r="C542" s="22"/>
      <c r="D542" s="32"/>
      <c r="E542" s="63" t="s">
        <v>717</v>
      </c>
      <c r="F542" s="21" t="s">
        <v>2187</v>
      </c>
      <c r="G542" s="63" t="s">
        <v>2314</v>
      </c>
      <c r="H542" s="21" t="s">
        <v>720</v>
      </c>
      <c r="I542" s="21" t="s">
        <v>721</v>
      </c>
      <c r="J542" s="25">
        <v>79250</v>
      </c>
      <c r="K542" s="25">
        <v>8250</v>
      </c>
      <c r="L542" s="26">
        <f t="shared" si="32"/>
        <v>87500</v>
      </c>
      <c r="M542" s="26">
        <f t="array" ref="M542">MEDIAN(IF($F$3:$F$810=F542,$L$3:$L$810))</f>
        <v>87500</v>
      </c>
      <c r="N542" s="47">
        <v>87500</v>
      </c>
      <c r="O542" s="55"/>
      <c r="P542" s="76">
        <f>IF(N542&lt;INDEX(Sectorwise!E:E,MATCH(F542,Sectorwise!A:A,0)),1,0)</f>
        <v>0</v>
      </c>
      <c r="Q542" s="76">
        <f>IF(AND(N542&gt;=INDEX(Sectorwise!E:E,MATCH(F542,Sectorwise!A:A,0)),N542&lt;=INDEX(Sectorwise!F:F,MATCH(F542,Sectorwise!A:A,0))),1,0)</f>
        <v>1</v>
      </c>
      <c r="R542" s="76">
        <f>IF(N542&gt;INDEX(Sectorwise!F:F,MATCH(F542,Sectorwise!A:A,0)),1,0)</f>
        <v>0</v>
      </c>
      <c r="S542" s="27">
        <f t="shared" si="33"/>
        <v>0</v>
      </c>
      <c r="T542" s="27">
        <f t="shared" si="34"/>
        <v>87500</v>
      </c>
      <c r="U542" s="27">
        <f t="shared" si="35"/>
        <v>0</v>
      </c>
      <c r="V542" s="95">
        <f>IF(R542=1,(N542-INDEX(Sectorwise!F:F,MATCH(F542,Sectorwise!A:A,0))),0)</f>
        <v>0</v>
      </c>
      <c r="W542" s="97">
        <f>POISSON(N542,INDEX(Sectorwise!D:D,MATCH(Travel!F272,Sectorwise!A:A,0)),TRUE)</f>
        <v>1</v>
      </c>
    </row>
    <row r="543" spans="1:24" ht="15.75" hidden="1" customHeight="1" x14ac:dyDescent="0.2">
      <c r="A543" s="63" t="s">
        <v>1771</v>
      </c>
      <c r="B543" s="63" t="s">
        <v>1789</v>
      </c>
      <c r="C543" s="63"/>
      <c r="E543" s="63" t="s">
        <v>717</v>
      </c>
      <c r="F543" s="63" t="s">
        <v>2189</v>
      </c>
      <c r="G543" s="63" t="s">
        <v>1787</v>
      </c>
      <c r="H543" s="63" t="s">
        <v>1790</v>
      </c>
      <c r="I543" s="63" t="s">
        <v>1782</v>
      </c>
      <c r="J543" s="65">
        <v>5675</v>
      </c>
      <c r="K543" s="65">
        <v>23225</v>
      </c>
      <c r="L543" s="26">
        <f t="shared" si="32"/>
        <v>28900</v>
      </c>
      <c r="M543" s="26">
        <f t="array" ref="M543">MEDIAN(IF($F$3:$F$810=F543,$L$3:$L$810))</f>
        <v>28900</v>
      </c>
      <c r="N543" s="65">
        <v>28900</v>
      </c>
      <c r="O543" s="62">
        <v>0</v>
      </c>
      <c r="P543" s="76">
        <f>IF(N543&lt;INDEX(Sectorwise!E:E,MATCH(F543,Sectorwise!A:A,0)),1,0)</f>
        <v>0</v>
      </c>
      <c r="Q543" s="76">
        <f>IF(AND(N543&gt;=INDEX(Sectorwise!E:E,MATCH(F543,Sectorwise!A:A,0)),N543&lt;=INDEX(Sectorwise!F:F,MATCH(F543,Sectorwise!A:A,0))),1,0)</f>
        <v>1</v>
      </c>
      <c r="R543" s="76">
        <f>IF(N543&gt;INDEX(Sectorwise!F:F,MATCH(F543,Sectorwise!A:A,0)),1,0)</f>
        <v>0</v>
      </c>
      <c r="S543" s="27">
        <f t="shared" si="33"/>
        <v>0</v>
      </c>
      <c r="T543" s="27">
        <f t="shared" si="34"/>
        <v>28900</v>
      </c>
      <c r="U543" s="27">
        <f t="shared" si="35"/>
        <v>0</v>
      </c>
      <c r="V543" s="95">
        <f>IF(R543=1,(N543-INDEX(Sectorwise!F:F,MATCH(F543,Sectorwise!A:A,0))),0)</f>
        <v>0</v>
      </c>
      <c r="W543" s="97">
        <f>POISSON(N543,INDEX(Sectorwise!D:D,MATCH(Travel!F679,Sectorwise!A:A,0)),TRUE)</f>
        <v>1</v>
      </c>
    </row>
    <row r="544" spans="1:24" ht="15.75" hidden="1" customHeight="1" x14ac:dyDescent="0.2">
      <c r="A544" s="21" t="s">
        <v>32</v>
      </c>
      <c r="B544" s="21" t="s">
        <v>37</v>
      </c>
      <c r="C544" s="22"/>
      <c r="D544" s="23" t="s">
        <v>16</v>
      </c>
      <c r="E544" s="63" t="s">
        <v>717</v>
      </c>
      <c r="F544" s="21" t="s">
        <v>2147</v>
      </c>
      <c r="G544" s="69" t="s">
        <v>2308</v>
      </c>
      <c r="H544" s="21" t="s">
        <v>38</v>
      </c>
      <c r="I544" s="21" t="s">
        <v>18</v>
      </c>
      <c r="J544" s="25">
        <v>5499</v>
      </c>
      <c r="K544" s="26">
        <v>5541</v>
      </c>
      <c r="L544" s="26">
        <f t="shared" si="32"/>
        <v>11040</v>
      </c>
      <c r="M544" s="26">
        <f t="array" ref="M544">MEDIAN(IF($F$3:$F$810=F544,$L$3:$L$810))</f>
        <v>10605</v>
      </c>
      <c r="N544" s="26">
        <v>11040</v>
      </c>
      <c r="O544" s="27"/>
      <c r="P544" s="76">
        <f>IF(N544&lt;INDEX(Sectorwise!E:E,MATCH(F544,Sectorwise!A:A,0)),1,0)</f>
        <v>0</v>
      </c>
      <c r="Q544" s="76">
        <f>IF(AND(N544&gt;=INDEX(Sectorwise!E:E,MATCH(F544,Sectorwise!A:A,0)),N544&lt;=INDEX(Sectorwise!F:F,MATCH(F544,Sectorwise!A:A,0))),1,0)</f>
        <v>1</v>
      </c>
      <c r="R544" s="76">
        <f>IF(N544&gt;INDEX(Sectorwise!F:F,MATCH(F544,Sectorwise!A:A,0)),1,0)</f>
        <v>0</v>
      </c>
      <c r="S544" s="27">
        <f t="shared" si="33"/>
        <v>0</v>
      </c>
      <c r="T544" s="27">
        <f t="shared" si="34"/>
        <v>11040</v>
      </c>
      <c r="U544" s="27">
        <f t="shared" si="35"/>
        <v>0</v>
      </c>
      <c r="V544" s="95">
        <f>IF(R544=1,(N544-INDEX(Sectorwise!F:F,MATCH(F544,Sectorwise!A:A,0))),0)</f>
        <v>0</v>
      </c>
      <c r="W544" s="97">
        <f>POISSON(N544,INDEX(Sectorwise!D:D,MATCH(Travel!F11,Sectorwise!A:A,0)),TRUE)</f>
        <v>2.0695911694375323E-188</v>
      </c>
      <c r="X544" s="28">
        <v>11040</v>
      </c>
    </row>
    <row r="545" spans="1:24" ht="15.75" hidden="1" customHeight="1" x14ac:dyDescent="0.2">
      <c r="A545" s="21" t="s">
        <v>59</v>
      </c>
      <c r="B545" s="21" t="s">
        <v>63</v>
      </c>
      <c r="C545" s="22"/>
      <c r="D545" s="23" t="s">
        <v>16</v>
      </c>
      <c r="E545" s="63" t="s">
        <v>717</v>
      </c>
      <c r="F545" s="21" t="s">
        <v>2149</v>
      </c>
      <c r="G545" s="69" t="s">
        <v>2308</v>
      </c>
      <c r="H545" s="21" t="s">
        <v>64</v>
      </c>
      <c r="I545" s="21" t="s">
        <v>65</v>
      </c>
      <c r="J545" s="25">
        <v>4400</v>
      </c>
      <c r="K545" s="26">
        <v>5320</v>
      </c>
      <c r="L545" s="26">
        <f t="shared" si="32"/>
        <v>9720</v>
      </c>
      <c r="M545" s="26">
        <f t="array" ref="M545">MEDIAN(IF($F$3:$F$810=F545,$L$3:$L$810))</f>
        <v>10332</v>
      </c>
      <c r="N545" s="26">
        <v>9720</v>
      </c>
      <c r="O545" s="27"/>
      <c r="P545" s="76">
        <f>IF(N545&lt;INDEX(Sectorwise!E:E,MATCH(F545,Sectorwise!A:A,0)),1,0)</f>
        <v>0</v>
      </c>
      <c r="Q545" s="76">
        <f>IF(AND(N545&gt;=INDEX(Sectorwise!E:E,MATCH(F545,Sectorwise!A:A,0)),N545&lt;=INDEX(Sectorwise!F:F,MATCH(F545,Sectorwise!A:A,0))),1,0)</f>
        <v>1</v>
      </c>
      <c r="R545" s="76">
        <f>IF(N545&gt;INDEX(Sectorwise!F:F,MATCH(F545,Sectorwise!A:A,0)),1,0)</f>
        <v>0</v>
      </c>
      <c r="S545" s="27">
        <f t="shared" si="33"/>
        <v>0</v>
      </c>
      <c r="T545" s="27">
        <f t="shared" si="34"/>
        <v>9720</v>
      </c>
      <c r="U545" s="27">
        <f t="shared" si="35"/>
        <v>0</v>
      </c>
      <c r="V545" s="95">
        <f>IF(R545=1,(N545-INDEX(Sectorwise!F:F,MATCH(F545,Sectorwise!A:A,0))),0)</f>
        <v>0</v>
      </c>
      <c r="W545" s="97">
        <f>POISSON(N545,INDEX(Sectorwise!D:D,MATCH(Travel!F19,Sectorwise!A:A,0)),TRUE)</f>
        <v>1</v>
      </c>
      <c r="X545" s="28">
        <v>9720</v>
      </c>
    </row>
    <row r="546" spans="1:24" ht="15.75" hidden="1" customHeight="1" x14ac:dyDescent="0.2">
      <c r="A546" s="21" t="s">
        <v>722</v>
      </c>
      <c r="B546" s="24" t="s">
        <v>740</v>
      </c>
      <c r="C546" s="22"/>
      <c r="D546" s="32"/>
      <c r="E546" s="63" t="s">
        <v>717</v>
      </c>
      <c r="F546" s="21" t="s">
        <v>2195</v>
      </c>
      <c r="G546" s="63" t="s">
        <v>2312</v>
      </c>
      <c r="H546" s="21" t="s">
        <v>741</v>
      </c>
      <c r="I546" s="21" t="s">
        <v>731</v>
      </c>
      <c r="J546" s="25">
        <v>1470</v>
      </c>
      <c r="K546" s="25">
        <v>3955</v>
      </c>
      <c r="L546" s="26">
        <f t="shared" si="32"/>
        <v>5425</v>
      </c>
      <c r="M546" s="26">
        <f t="array" ref="M546">MEDIAN(IF($F$3:$F$810=F546,$L$3:$L$810))</f>
        <v>7911</v>
      </c>
      <c r="N546" s="47">
        <v>5425</v>
      </c>
      <c r="O546" s="55"/>
      <c r="P546" s="76">
        <f>IF(N546&lt;INDEX(Sectorwise!E:E,MATCH(F546,Sectorwise!A:A,0)),1,0)</f>
        <v>1</v>
      </c>
      <c r="Q546" s="76">
        <f>IF(AND(N546&gt;=INDEX(Sectorwise!E:E,MATCH(F546,Sectorwise!A:A,0)),N546&lt;=INDEX(Sectorwise!F:F,MATCH(F546,Sectorwise!A:A,0))),1,0)</f>
        <v>0</v>
      </c>
      <c r="R546" s="76">
        <f>IF(N546&gt;INDEX(Sectorwise!F:F,MATCH(F546,Sectorwise!A:A,0)),1,0)</f>
        <v>0</v>
      </c>
      <c r="S546" s="27">
        <f t="shared" si="33"/>
        <v>5425</v>
      </c>
      <c r="T546" s="27">
        <f t="shared" si="34"/>
        <v>0</v>
      </c>
      <c r="U546" s="27">
        <f t="shared" si="35"/>
        <v>0</v>
      </c>
      <c r="V546" s="95">
        <f>IF(R546=1,(N546-INDEX(Sectorwise!F:F,MATCH(F546,Sectorwise!A:A,0))),0)</f>
        <v>0</v>
      </c>
      <c r="W546" s="97">
        <f>POISSON(N546,INDEX(Sectorwise!D:D,MATCH(Travel!F280,Sectorwise!A:A,0)),TRUE)</f>
        <v>5.0815103895725448E-110</v>
      </c>
    </row>
    <row r="547" spans="1:24" ht="15.75" hidden="1" customHeight="1" x14ac:dyDescent="0.2">
      <c r="A547" s="63" t="s">
        <v>1189</v>
      </c>
      <c r="B547" s="63" t="s">
        <v>1201</v>
      </c>
      <c r="C547" s="63"/>
      <c r="E547" s="63" t="s">
        <v>717</v>
      </c>
      <c r="F547" s="63" t="s">
        <v>2204</v>
      </c>
      <c r="G547" s="63" t="s">
        <v>2317</v>
      </c>
      <c r="H547" s="63" t="s">
        <v>1202</v>
      </c>
      <c r="I547" s="63" t="s">
        <v>1203</v>
      </c>
      <c r="J547" s="65">
        <v>32625</v>
      </c>
      <c r="K547" s="65">
        <v>35392</v>
      </c>
      <c r="L547" s="26">
        <f t="shared" si="32"/>
        <v>68017</v>
      </c>
      <c r="M547" s="26">
        <f t="array" ref="M547">MEDIAN(IF($F$3:$F$810=F547,$L$3:$L$810))</f>
        <v>68017</v>
      </c>
      <c r="N547" s="65">
        <v>68017</v>
      </c>
      <c r="O547" s="62">
        <v>0</v>
      </c>
      <c r="P547" s="76">
        <f>IF(N547&lt;INDEX(Sectorwise!E:E,MATCH(F547,Sectorwise!A:A,0)),1,0)</f>
        <v>0</v>
      </c>
      <c r="Q547" s="76">
        <f>IF(AND(N547&gt;=INDEX(Sectorwise!E:E,MATCH(F547,Sectorwise!A:A,0)),N547&lt;=INDEX(Sectorwise!F:F,MATCH(F547,Sectorwise!A:A,0))),1,0)</f>
        <v>1</v>
      </c>
      <c r="R547" s="76">
        <f>IF(N547&gt;INDEX(Sectorwise!F:F,MATCH(F547,Sectorwise!A:A,0)),1,0)</f>
        <v>0</v>
      </c>
      <c r="S547" s="27">
        <f t="shared" si="33"/>
        <v>0</v>
      </c>
      <c r="T547" s="27">
        <f t="shared" si="34"/>
        <v>68017</v>
      </c>
      <c r="U547" s="27">
        <f t="shared" si="35"/>
        <v>0</v>
      </c>
      <c r="V547" s="95">
        <f>IF(R547=1,(N547-INDEX(Sectorwise!F:F,MATCH(F547,Sectorwise!A:A,0))),0)</f>
        <v>0</v>
      </c>
      <c r="W547" s="97">
        <f>POISSON(N547,INDEX(Sectorwise!D:D,MATCH(Travel!F455,Sectorwise!A:A,0)),TRUE)</f>
        <v>1</v>
      </c>
    </row>
    <row r="548" spans="1:24" ht="15.75" hidden="1" customHeight="1" x14ac:dyDescent="0.2">
      <c r="A548" s="63" t="s">
        <v>1756</v>
      </c>
      <c r="B548" s="63" t="s">
        <v>1766</v>
      </c>
      <c r="C548" s="63"/>
      <c r="E548" s="63" t="s">
        <v>1767</v>
      </c>
      <c r="F548" s="21" t="s">
        <v>2136</v>
      </c>
      <c r="G548" s="69" t="s">
        <v>2308</v>
      </c>
      <c r="H548" s="63" t="s">
        <v>1768</v>
      </c>
      <c r="I548" s="63" t="s">
        <v>1750</v>
      </c>
      <c r="J548" s="65">
        <v>11582</v>
      </c>
      <c r="K548" s="65">
        <v>2189</v>
      </c>
      <c r="L548" s="26">
        <f t="shared" si="32"/>
        <v>13771</v>
      </c>
      <c r="M548" s="26">
        <f t="array" ref="M548">MEDIAN(IF($F$3:$F$810=F548,$L$3:$L$810))</f>
        <v>14406</v>
      </c>
      <c r="N548" s="65">
        <v>41313</v>
      </c>
      <c r="O548" s="62">
        <v>0</v>
      </c>
      <c r="P548" s="76">
        <f>IF(N548&lt;INDEX(Sectorwise!E:E,MATCH(F548,Sectorwise!A:A,0)),1,0)</f>
        <v>0</v>
      </c>
      <c r="Q548" s="76">
        <f>IF(AND(N548&gt;=INDEX(Sectorwise!E:E,MATCH(F548,Sectorwise!A:A,0)),N548&lt;=INDEX(Sectorwise!F:F,MATCH(F548,Sectorwise!A:A,0))),1,0)</f>
        <v>0</v>
      </c>
      <c r="R548" s="76">
        <f>IF(N548&gt;INDEX(Sectorwise!F:F,MATCH(F548,Sectorwise!A:A,0)),1,0)</f>
        <v>1</v>
      </c>
      <c r="S548" s="27">
        <f t="shared" si="33"/>
        <v>0</v>
      </c>
      <c r="T548" s="27">
        <f t="shared" si="34"/>
        <v>0</v>
      </c>
      <c r="U548" s="27">
        <f t="shared" si="35"/>
        <v>41313</v>
      </c>
      <c r="V548" s="95">
        <f>IF(R548=1,(N548-INDEX(Sectorwise!F:F,MATCH(F548,Sectorwise!A:A,0))),0)</f>
        <v>25413</v>
      </c>
      <c r="W548" s="97">
        <f>POISSON(N548,INDEX(Sectorwise!D:D,MATCH(Travel!F669,Sectorwise!A:A,0)),TRUE)</f>
        <v>1</v>
      </c>
    </row>
    <row r="549" spans="1:24" ht="15.75" hidden="1" customHeight="1" x14ac:dyDescent="0.2">
      <c r="A549" s="63" t="s">
        <v>1134</v>
      </c>
      <c r="B549" s="63" t="s">
        <v>1137</v>
      </c>
      <c r="C549" s="63"/>
      <c r="E549" s="63" t="s">
        <v>110</v>
      </c>
      <c r="F549" s="63" t="s">
        <v>2238</v>
      </c>
      <c r="G549" s="56" t="s">
        <v>2309</v>
      </c>
      <c r="H549" s="63" t="s">
        <v>1138</v>
      </c>
      <c r="I549" s="63" t="s">
        <v>1139</v>
      </c>
      <c r="J549" s="65">
        <v>6400</v>
      </c>
      <c r="K549" s="65">
        <v>3539</v>
      </c>
      <c r="L549" s="26">
        <f t="shared" si="32"/>
        <v>9939</v>
      </c>
      <c r="M549" s="26">
        <f t="array" ref="M549">MEDIAN(IF($F$3:$F$810=F549,$L$3:$L$810))</f>
        <v>9939</v>
      </c>
      <c r="N549" s="65">
        <v>35294</v>
      </c>
      <c r="O549" s="62">
        <v>0</v>
      </c>
      <c r="P549" s="76">
        <f>IF(N549&lt;INDEX(Sectorwise!E:E,MATCH(F549,Sectorwise!A:A,0)),1,0)</f>
        <v>0</v>
      </c>
      <c r="Q549" s="76">
        <f>IF(AND(N549&gt;=INDEX(Sectorwise!E:E,MATCH(F549,Sectorwise!A:A,0)),N549&lt;=INDEX(Sectorwise!F:F,MATCH(F549,Sectorwise!A:A,0))),1,0)</f>
        <v>0</v>
      </c>
      <c r="R549" s="76">
        <f>IF(N549&gt;INDEX(Sectorwise!F:F,MATCH(F549,Sectorwise!A:A,0)),1,0)</f>
        <v>1</v>
      </c>
      <c r="S549" s="27">
        <f t="shared" si="33"/>
        <v>0</v>
      </c>
      <c r="T549" s="27">
        <f t="shared" si="34"/>
        <v>0</v>
      </c>
      <c r="U549" s="27">
        <f t="shared" si="35"/>
        <v>35294</v>
      </c>
      <c r="V549" s="95">
        <f>IF(R549=1,(N549-INDEX(Sectorwise!F:F,MATCH(F549,Sectorwise!A:A,0))),0)</f>
        <v>24294</v>
      </c>
      <c r="W549" s="97">
        <f>POISSON(N549,INDEX(Sectorwise!D:D,MATCH(Travel!F429,Sectorwise!A:A,0)),TRUE)</f>
        <v>1</v>
      </c>
    </row>
    <row r="550" spans="1:24" ht="15.75" hidden="1" customHeight="1" x14ac:dyDescent="0.2">
      <c r="A550" s="21" t="s">
        <v>108</v>
      </c>
      <c r="B550" s="21" t="s">
        <v>109</v>
      </c>
      <c r="C550" s="22"/>
      <c r="D550" s="23" t="s">
        <v>16</v>
      </c>
      <c r="E550" s="63" t="s">
        <v>110</v>
      </c>
      <c r="F550" s="21" t="s">
        <v>2170</v>
      </c>
      <c r="G550" s="60" t="s">
        <v>2316</v>
      </c>
      <c r="H550" s="21" t="s">
        <v>111</v>
      </c>
      <c r="I550" s="21" t="s">
        <v>43</v>
      </c>
      <c r="J550" s="25">
        <v>9800</v>
      </c>
      <c r="K550" s="26">
        <v>10022</v>
      </c>
      <c r="L550" s="26">
        <f t="shared" si="32"/>
        <v>19822</v>
      </c>
      <c r="M550" s="26">
        <f t="array" ref="M550">MEDIAN(IF($F$3:$F$810=F550,$L$3:$L$810))</f>
        <v>19822</v>
      </c>
      <c r="N550" s="26">
        <v>19822</v>
      </c>
      <c r="O550" s="27"/>
      <c r="P550" s="76">
        <f>IF(N550&lt;INDEX(Sectorwise!E:E,MATCH(F550,Sectorwise!A:A,0)),1,0)</f>
        <v>0</v>
      </c>
      <c r="Q550" s="76">
        <f>IF(AND(N550&gt;=INDEX(Sectorwise!E:E,MATCH(F550,Sectorwise!A:A,0)),N550&lt;=INDEX(Sectorwise!F:F,MATCH(F550,Sectorwise!A:A,0))),1,0)</f>
        <v>1</v>
      </c>
      <c r="R550" s="76">
        <f>IF(N550&gt;INDEX(Sectorwise!F:F,MATCH(F550,Sectorwise!A:A,0)),1,0)</f>
        <v>0</v>
      </c>
      <c r="S550" s="27">
        <f t="shared" si="33"/>
        <v>0</v>
      </c>
      <c r="T550" s="27">
        <f t="shared" si="34"/>
        <v>19822</v>
      </c>
      <c r="U550" s="27">
        <f t="shared" si="35"/>
        <v>0</v>
      </c>
      <c r="V550" s="95">
        <f>IF(R550=1,(N550-INDEX(Sectorwise!F:F,MATCH(F550,Sectorwise!A:A,0))),0)</f>
        <v>0</v>
      </c>
      <c r="W550" s="97">
        <f>POISSON(N550,INDEX(Sectorwise!D:D,MATCH(Travel!F35,Sectorwise!A:A,0)),TRUE)</f>
        <v>0</v>
      </c>
      <c r="X550" s="28">
        <v>19822</v>
      </c>
    </row>
    <row r="551" spans="1:24" ht="15.75" hidden="1" customHeight="1" x14ac:dyDescent="0.2">
      <c r="A551" s="63" t="s">
        <v>1134</v>
      </c>
      <c r="B551" s="63" t="s">
        <v>1137</v>
      </c>
      <c r="C551" s="63"/>
      <c r="E551" s="63" t="s">
        <v>110</v>
      </c>
      <c r="F551" s="63" t="s">
        <v>2165</v>
      </c>
      <c r="G551" s="60" t="s">
        <v>2316</v>
      </c>
      <c r="H551" s="63" t="s">
        <v>1144</v>
      </c>
      <c r="I551" s="63" t="s">
        <v>1142</v>
      </c>
      <c r="J551" s="65">
        <v>3050</v>
      </c>
      <c r="K551" s="65">
        <v>4658</v>
      </c>
      <c r="L551" s="26">
        <f t="shared" si="32"/>
        <v>7708</v>
      </c>
      <c r="M551" s="26">
        <f t="array" ref="M551">MEDIAN(IF($F$3:$F$810=F551,$L$3:$L$810))</f>
        <v>7708</v>
      </c>
      <c r="N551" s="57">
        <f>J551+K551</f>
        <v>7708</v>
      </c>
      <c r="O551" s="62">
        <v>0</v>
      </c>
      <c r="P551" s="76">
        <f>IF(N551&lt;INDEX(Sectorwise!E:E,MATCH(F551,Sectorwise!A:A,0)),1,0)</f>
        <v>0</v>
      </c>
      <c r="Q551" s="76">
        <f>IF(AND(N551&gt;=INDEX(Sectorwise!E:E,MATCH(F551,Sectorwise!A:A,0)),N551&lt;=INDEX(Sectorwise!F:F,MATCH(F551,Sectorwise!A:A,0))),1,0)</f>
        <v>1</v>
      </c>
      <c r="R551" s="76">
        <f>IF(N551&gt;INDEX(Sectorwise!F:F,MATCH(F551,Sectorwise!A:A,0)),1,0)</f>
        <v>0</v>
      </c>
      <c r="S551" s="27">
        <f t="shared" si="33"/>
        <v>0</v>
      </c>
      <c r="T551" s="27">
        <f t="shared" si="34"/>
        <v>7708</v>
      </c>
      <c r="U551" s="27">
        <f t="shared" si="35"/>
        <v>0</v>
      </c>
      <c r="V551" s="95">
        <f>IF(R551=1,(N551-INDEX(Sectorwise!F:F,MATCH(F551,Sectorwise!A:A,0))),0)</f>
        <v>0</v>
      </c>
      <c r="W551" s="97">
        <f>POISSON(N551,INDEX(Sectorwise!D:D,MATCH(Travel!F432,Sectorwise!A:A,0)),TRUE)</f>
        <v>1.2826257247172481E-191</v>
      </c>
    </row>
    <row r="552" spans="1:24" ht="15.75" hidden="1" customHeight="1" x14ac:dyDescent="0.2">
      <c r="A552" s="33" t="s">
        <v>430</v>
      </c>
      <c r="B552" s="33" t="s">
        <v>431</v>
      </c>
      <c r="C552" s="40"/>
      <c r="D552" s="35"/>
      <c r="E552" s="33" t="s">
        <v>432</v>
      </c>
      <c r="F552" s="33" t="s">
        <v>2171</v>
      </c>
      <c r="G552" s="33" t="s">
        <v>2321</v>
      </c>
      <c r="H552" s="33" t="s">
        <v>433</v>
      </c>
      <c r="I552" s="33" t="s">
        <v>418</v>
      </c>
      <c r="J552" s="36">
        <v>2097</v>
      </c>
      <c r="K552" s="36">
        <v>2810</v>
      </c>
      <c r="L552" s="26">
        <f t="shared" si="32"/>
        <v>4907</v>
      </c>
      <c r="M552" s="26">
        <f t="array" ref="M552">MEDIAN(IF($F$3:$F$810=F552,$L$3:$L$810))</f>
        <v>5042</v>
      </c>
      <c r="N552" s="47">
        <f>+J552+K552</f>
        <v>4907</v>
      </c>
      <c r="O552" s="27"/>
      <c r="P552" s="76">
        <f>IF(N552&lt;INDEX(Sectorwise!E:E,MATCH(F552,Sectorwise!A:A,0)),1,0)</f>
        <v>0</v>
      </c>
      <c r="Q552" s="76">
        <f>IF(AND(N552&gt;=INDEX(Sectorwise!E:E,MATCH(F552,Sectorwise!A:A,0)),N552&lt;=INDEX(Sectorwise!F:F,MATCH(F552,Sectorwise!A:A,0))),1,0)</f>
        <v>1</v>
      </c>
      <c r="R552" s="76">
        <f>IF(N552&gt;INDEX(Sectorwise!F:F,MATCH(F552,Sectorwise!A:A,0)),1,0)</f>
        <v>0</v>
      </c>
      <c r="S552" s="27">
        <f t="shared" si="33"/>
        <v>0</v>
      </c>
      <c r="T552" s="27">
        <f t="shared" si="34"/>
        <v>4907</v>
      </c>
      <c r="U552" s="27">
        <f t="shared" si="35"/>
        <v>0</v>
      </c>
      <c r="V552" s="95">
        <f>IF(R552=1,(N552-INDEX(Sectorwise!F:F,MATCH(F552,Sectorwise!A:A,0))),0)</f>
        <v>0</v>
      </c>
      <c r="W552" s="97">
        <f>POISSON(N552,INDEX(Sectorwise!D:D,MATCH(Travel!F162,Sectorwise!A:A,0)),TRUE)</f>
        <v>1.3002097513141771E-13</v>
      </c>
    </row>
    <row r="553" spans="1:24" ht="15.75" hidden="1" customHeight="1" x14ac:dyDescent="0.2">
      <c r="A553" s="33" t="s">
        <v>430</v>
      </c>
      <c r="B553" s="33" t="s">
        <v>434</v>
      </c>
      <c r="C553" s="40"/>
      <c r="D553" s="35"/>
      <c r="E553" s="33" t="s">
        <v>432</v>
      </c>
      <c r="F553" s="33" t="s">
        <v>2214</v>
      </c>
      <c r="G553" s="69" t="s">
        <v>2308</v>
      </c>
      <c r="H553" s="33" t="s">
        <v>435</v>
      </c>
      <c r="I553" s="33" t="s">
        <v>418</v>
      </c>
      <c r="J553" s="36">
        <v>2140</v>
      </c>
      <c r="K553" s="36">
        <v>2660</v>
      </c>
      <c r="L553" s="26">
        <f t="shared" si="32"/>
        <v>4800</v>
      </c>
      <c r="M553" s="26">
        <f t="array" ref="M553">MEDIAN(IF($F$3:$F$810=F553,$L$3:$L$810))</f>
        <v>4873</v>
      </c>
      <c r="N553" s="47">
        <f>+J553+K553</f>
        <v>4800</v>
      </c>
      <c r="O553" s="27"/>
      <c r="P553" s="76">
        <f>IF(N553&lt;INDEX(Sectorwise!E:E,MATCH(F553,Sectorwise!A:A,0)),1,0)</f>
        <v>0</v>
      </c>
      <c r="Q553" s="76">
        <f>IF(AND(N553&gt;=INDEX(Sectorwise!E:E,MATCH(F553,Sectorwise!A:A,0)),N553&lt;=INDEX(Sectorwise!F:F,MATCH(F553,Sectorwise!A:A,0))),1,0)</f>
        <v>1</v>
      </c>
      <c r="R553" s="76">
        <f>IF(N553&gt;INDEX(Sectorwise!F:F,MATCH(F553,Sectorwise!A:A,0)),1,0)</f>
        <v>0</v>
      </c>
      <c r="S553" s="27">
        <f t="shared" si="33"/>
        <v>0</v>
      </c>
      <c r="T553" s="27">
        <f t="shared" si="34"/>
        <v>4800</v>
      </c>
      <c r="U553" s="27">
        <f t="shared" si="35"/>
        <v>0</v>
      </c>
      <c r="V553" s="95">
        <f>IF(R553=1,(N553-INDEX(Sectorwise!F:F,MATCH(F553,Sectorwise!A:A,0))),0)</f>
        <v>0</v>
      </c>
      <c r="W553" s="97">
        <f>POISSON(N553,INDEX(Sectorwise!D:D,MATCH(Travel!F163,Sectorwise!A:A,0)),TRUE)</f>
        <v>5.7054929777268534E-19</v>
      </c>
    </row>
    <row r="554" spans="1:24" ht="15.75" hidden="1" customHeight="1" x14ac:dyDescent="0.2">
      <c r="A554" s="63" t="s">
        <v>1089</v>
      </c>
      <c r="B554" s="63" t="s">
        <v>1090</v>
      </c>
      <c r="C554" s="63"/>
      <c r="E554" s="63" t="s">
        <v>1091</v>
      </c>
      <c r="F554" s="63" t="s">
        <v>2157</v>
      </c>
      <c r="G554" s="63" t="s">
        <v>2313</v>
      </c>
      <c r="H554" s="63" t="s">
        <v>1092</v>
      </c>
      <c r="I554" s="63" t="s">
        <v>1074</v>
      </c>
      <c r="J554" s="65">
        <v>43380</v>
      </c>
      <c r="K554" s="65">
        <v>50620</v>
      </c>
      <c r="L554" s="26">
        <f t="shared" si="32"/>
        <v>94000</v>
      </c>
      <c r="M554" s="26">
        <f t="array" ref="M554">MEDIAN(IF($F$3:$F$810=F554,$L$3:$L$810))</f>
        <v>83000</v>
      </c>
      <c r="N554" s="65">
        <v>94000</v>
      </c>
      <c r="O554" s="62">
        <v>0</v>
      </c>
      <c r="P554" s="76">
        <f>IF(N554&lt;INDEX(Sectorwise!E:E,MATCH(F554,Sectorwise!A:A,0)),1,0)</f>
        <v>0</v>
      </c>
      <c r="Q554" s="76">
        <f>IF(AND(N554&gt;=INDEX(Sectorwise!E:E,MATCH(F554,Sectorwise!A:A,0)),N554&lt;=INDEX(Sectorwise!F:F,MATCH(F554,Sectorwise!A:A,0))),1,0)</f>
        <v>0</v>
      </c>
      <c r="R554" s="76">
        <f>IF(N554&gt;INDEX(Sectorwise!F:F,MATCH(F554,Sectorwise!A:A,0)),1,0)</f>
        <v>1</v>
      </c>
      <c r="S554" s="27">
        <f t="shared" si="33"/>
        <v>0</v>
      </c>
      <c r="T554" s="27">
        <f t="shared" si="34"/>
        <v>0</v>
      </c>
      <c r="U554" s="27">
        <f t="shared" si="35"/>
        <v>94000</v>
      </c>
      <c r="V554" s="95">
        <f>IF(R554=1,(N554-INDEX(Sectorwise!F:F,MATCH(F554,Sectorwise!A:A,0))),0)</f>
        <v>2700</v>
      </c>
      <c r="W554" s="97">
        <f>POISSON(N554,INDEX(Sectorwise!D:D,MATCH(Travel!F411,Sectorwise!A:A,0)),TRUE)</f>
        <v>1</v>
      </c>
    </row>
    <row r="555" spans="1:24" ht="15.75" hidden="1" customHeight="1" x14ac:dyDescent="0.2">
      <c r="A555" s="63" t="s">
        <v>1134</v>
      </c>
      <c r="B555" s="63" t="s">
        <v>1155</v>
      </c>
      <c r="C555" s="63"/>
      <c r="E555" s="63" t="s">
        <v>1091</v>
      </c>
      <c r="F555" s="63" t="s">
        <v>2203</v>
      </c>
      <c r="G555" s="63" t="s">
        <v>2313</v>
      </c>
      <c r="H555" s="63" t="s">
        <v>1156</v>
      </c>
      <c r="I555" s="63" t="s">
        <v>1110</v>
      </c>
      <c r="J555" s="65">
        <v>4000</v>
      </c>
      <c r="K555" s="65">
        <v>5000</v>
      </c>
      <c r="L555" s="26">
        <f t="shared" si="32"/>
        <v>9000</v>
      </c>
      <c r="M555" s="26">
        <f t="array" ref="M555">MEDIAN(IF($F$3:$F$810=F555,$L$3:$L$810))</f>
        <v>9000</v>
      </c>
      <c r="N555" s="65">
        <v>9000</v>
      </c>
      <c r="O555" s="62">
        <v>0</v>
      </c>
      <c r="P555" s="76">
        <f>IF(N555&lt;INDEX(Sectorwise!E:E,MATCH(F555,Sectorwise!A:A,0)),1,0)</f>
        <v>0</v>
      </c>
      <c r="Q555" s="76">
        <f>IF(AND(N555&gt;=INDEX(Sectorwise!E:E,MATCH(F555,Sectorwise!A:A,0)),N555&lt;=INDEX(Sectorwise!F:F,MATCH(F555,Sectorwise!A:A,0))),1,0)</f>
        <v>1</v>
      </c>
      <c r="R555" s="76">
        <f>IF(N555&gt;INDEX(Sectorwise!F:F,MATCH(F555,Sectorwise!A:A,0)),1,0)</f>
        <v>0</v>
      </c>
      <c r="S555" s="27">
        <f t="shared" si="33"/>
        <v>0</v>
      </c>
      <c r="T555" s="27">
        <f t="shared" si="34"/>
        <v>9000</v>
      </c>
      <c r="U555" s="27">
        <f t="shared" si="35"/>
        <v>0</v>
      </c>
      <c r="V555" s="95">
        <f>IF(R555=1,(N555-INDEX(Sectorwise!F:F,MATCH(F555,Sectorwise!A:A,0))),0)</f>
        <v>0</v>
      </c>
      <c r="W555" s="97">
        <f>POISSON(N555,INDEX(Sectorwise!D:D,MATCH(Travel!F437,Sectorwise!A:A,0)),TRUE)</f>
        <v>1</v>
      </c>
    </row>
    <row r="556" spans="1:24" ht="15.75" hidden="1" customHeight="1" x14ac:dyDescent="0.2">
      <c r="A556" s="63" t="s">
        <v>1756</v>
      </c>
      <c r="B556" s="63" t="s">
        <v>1759</v>
      </c>
      <c r="C556" s="63"/>
      <c r="E556" s="63" t="s">
        <v>978</v>
      </c>
      <c r="F556" s="60" t="s">
        <v>2237</v>
      </c>
      <c r="G556" s="69" t="s">
        <v>2308</v>
      </c>
      <c r="H556" s="63" t="s">
        <v>1760</v>
      </c>
      <c r="I556" s="63" t="s">
        <v>1716</v>
      </c>
      <c r="J556" s="65">
        <v>16848</v>
      </c>
      <c r="K556" s="65">
        <v>2383</v>
      </c>
      <c r="L556" s="26">
        <f t="shared" si="32"/>
        <v>19231</v>
      </c>
      <c r="M556" s="26">
        <f t="array" ref="M556">MEDIAN(IF($F$3:$F$810=F556,$L$3:$L$810))</f>
        <v>19030</v>
      </c>
      <c r="N556" s="65">
        <v>19231</v>
      </c>
      <c r="O556" s="62">
        <v>0</v>
      </c>
      <c r="P556" s="76">
        <f>IF(N556&lt;INDEX(Sectorwise!E:E,MATCH(F556,Sectorwise!A:A,0)),1,0)</f>
        <v>0</v>
      </c>
      <c r="Q556" s="76">
        <f>IF(AND(N556&gt;=INDEX(Sectorwise!E:E,MATCH(F556,Sectorwise!A:A,0)),N556&lt;=INDEX(Sectorwise!F:F,MATCH(F556,Sectorwise!A:A,0))),1,0)</f>
        <v>1</v>
      </c>
      <c r="R556" s="76">
        <f>IF(N556&gt;INDEX(Sectorwise!F:F,MATCH(F556,Sectorwise!A:A,0)),1,0)</f>
        <v>0</v>
      </c>
      <c r="S556" s="27">
        <f t="shared" si="33"/>
        <v>0</v>
      </c>
      <c r="T556" s="27">
        <f t="shared" si="34"/>
        <v>19231</v>
      </c>
      <c r="U556" s="27">
        <f t="shared" si="35"/>
        <v>0</v>
      </c>
      <c r="V556" s="95">
        <f>IF(R556=1,(N556-INDEX(Sectorwise!F:F,MATCH(F556,Sectorwise!A:A,0))),0)</f>
        <v>0</v>
      </c>
      <c r="W556" s="97">
        <f>POISSON(N556,INDEX(Sectorwise!D:D,MATCH(Travel!F666,Sectorwise!A:A,0)),TRUE)</f>
        <v>1</v>
      </c>
    </row>
    <row r="557" spans="1:24" ht="15.75" hidden="1" customHeight="1" x14ac:dyDescent="0.2">
      <c r="A557" s="21" t="s">
        <v>449</v>
      </c>
      <c r="B557" s="21" t="s">
        <v>450</v>
      </c>
      <c r="C557" s="22"/>
      <c r="D557" s="32"/>
      <c r="E557" s="21" t="s">
        <v>451</v>
      </c>
      <c r="F557" s="29" t="s">
        <v>2134</v>
      </c>
      <c r="G557" s="56" t="s">
        <v>2309</v>
      </c>
      <c r="H557" s="21" t="s">
        <v>452</v>
      </c>
      <c r="I557" s="21" t="s">
        <v>453</v>
      </c>
      <c r="J557" s="25">
        <v>4550</v>
      </c>
      <c r="K557" s="25">
        <v>3122</v>
      </c>
      <c r="L557" s="26">
        <f t="shared" si="32"/>
        <v>7672</v>
      </c>
      <c r="M557" s="26">
        <f t="array" ref="M557">MEDIAN(IF($F$3:$F$810=F557,$L$3:$L$810))</f>
        <v>7412.5</v>
      </c>
      <c r="N557" s="47">
        <f>J557+K557</f>
        <v>7672</v>
      </c>
      <c r="O557" s="27"/>
      <c r="P557" s="76">
        <f>IF(N557&lt;INDEX(Sectorwise!E:E,MATCH(F557,Sectorwise!A:A,0)),1,0)</f>
        <v>0</v>
      </c>
      <c r="Q557" s="76">
        <f>IF(AND(N557&gt;=INDEX(Sectorwise!E:E,MATCH(F557,Sectorwise!A:A,0)),N557&lt;=INDEX(Sectorwise!F:F,MATCH(F557,Sectorwise!A:A,0))),1,0)</f>
        <v>1</v>
      </c>
      <c r="R557" s="76">
        <f>IF(N557&gt;INDEX(Sectorwise!F:F,MATCH(F557,Sectorwise!A:A,0)),1,0)</f>
        <v>0</v>
      </c>
      <c r="S557" s="27">
        <f t="shared" si="33"/>
        <v>0</v>
      </c>
      <c r="T557" s="27">
        <f t="shared" si="34"/>
        <v>7672</v>
      </c>
      <c r="U557" s="27">
        <f t="shared" si="35"/>
        <v>0</v>
      </c>
      <c r="V557" s="95">
        <f>IF(R557=1,(N557-INDEX(Sectorwise!F:F,MATCH(F557,Sectorwise!A:A,0))),0)</f>
        <v>0</v>
      </c>
      <c r="W557" s="97">
        <f>POISSON(N557,INDEX(Sectorwise!D:D,MATCH(Travel!F168,Sectorwise!A:A,0)),TRUE)</f>
        <v>0.99866952951150978</v>
      </c>
    </row>
    <row r="558" spans="1:24" ht="15.75" hidden="1" customHeight="1" x14ac:dyDescent="0.2">
      <c r="A558" s="21" t="s">
        <v>449</v>
      </c>
      <c r="B558" s="21" t="s">
        <v>450</v>
      </c>
      <c r="C558" s="22"/>
      <c r="D558" s="32"/>
      <c r="E558" s="21" t="s">
        <v>451</v>
      </c>
      <c r="F558" s="21" t="s">
        <v>2135</v>
      </c>
      <c r="G558" s="33" t="s">
        <v>2321</v>
      </c>
      <c r="H558" s="21" t="s">
        <v>454</v>
      </c>
      <c r="I558" s="21" t="s">
        <v>453</v>
      </c>
      <c r="J558" s="25">
        <v>3646</v>
      </c>
      <c r="K558" s="25">
        <v>3471</v>
      </c>
      <c r="L558" s="26">
        <f t="shared" si="32"/>
        <v>7117</v>
      </c>
      <c r="M558" s="26">
        <f t="array" ref="M558">MEDIAN(IF($F$3:$F$810=F558,$L$3:$L$810))</f>
        <v>7234</v>
      </c>
      <c r="N558" s="47">
        <f>J558+K558</f>
        <v>7117</v>
      </c>
      <c r="O558" s="27"/>
      <c r="P558" s="76">
        <f>IF(N558&lt;INDEX(Sectorwise!E:E,MATCH(F558,Sectorwise!A:A,0)),1,0)</f>
        <v>0</v>
      </c>
      <c r="Q558" s="76">
        <f>IF(AND(N558&gt;=INDEX(Sectorwise!E:E,MATCH(F558,Sectorwise!A:A,0)),N558&lt;=INDEX(Sectorwise!F:F,MATCH(F558,Sectorwise!A:A,0))),1,0)</f>
        <v>1</v>
      </c>
      <c r="R558" s="76">
        <f>IF(N558&gt;INDEX(Sectorwise!F:F,MATCH(F558,Sectorwise!A:A,0)),1,0)</f>
        <v>0</v>
      </c>
      <c r="S558" s="27">
        <f t="shared" si="33"/>
        <v>0</v>
      </c>
      <c r="T558" s="27">
        <f t="shared" si="34"/>
        <v>7117</v>
      </c>
      <c r="U558" s="27">
        <f t="shared" si="35"/>
        <v>0</v>
      </c>
      <c r="V558" s="95">
        <f>IF(R558=1,(N558-INDEX(Sectorwise!F:F,MATCH(F558,Sectorwise!A:A,0))),0)</f>
        <v>0</v>
      </c>
      <c r="W558" s="97">
        <f>POISSON(N558,INDEX(Sectorwise!D:D,MATCH(Travel!F169,Sectorwise!A:A,0)),TRUE)</f>
        <v>2.8282032737342923E-4</v>
      </c>
    </row>
    <row r="559" spans="1:24" ht="15.75" hidden="1" customHeight="1" x14ac:dyDescent="0.2">
      <c r="A559" s="60" t="s">
        <v>1006</v>
      </c>
      <c r="B559" s="60" t="s">
        <v>1009</v>
      </c>
      <c r="C559" s="60"/>
      <c r="E559" s="60" t="s">
        <v>1010</v>
      </c>
      <c r="F559" s="21" t="s">
        <v>2135</v>
      </c>
      <c r="G559" s="56" t="s">
        <v>2309</v>
      </c>
      <c r="H559" s="60" t="s">
        <v>1011</v>
      </c>
      <c r="I559" s="60" t="s">
        <v>1012</v>
      </c>
      <c r="J559" s="61">
        <v>5500</v>
      </c>
      <c r="K559" s="61">
        <v>1945</v>
      </c>
      <c r="L559" s="26">
        <f t="shared" si="32"/>
        <v>7445</v>
      </c>
      <c r="M559" s="26">
        <f t="array" ref="M559">MEDIAN(IF($F$3:$F$810=F559,$L$3:$L$810))</f>
        <v>7234</v>
      </c>
      <c r="N559" s="61">
        <v>7445</v>
      </c>
      <c r="O559" s="62">
        <v>0</v>
      </c>
      <c r="P559" s="76">
        <f>IF(N559&lt;INDEX(Sectorwise!E:E,MATCH(F559,Sectorwise!A:A,0)),1,0)</f>
        <v>0</v>
      </c>
      <c r="Q559" s="76">
        <f>IF(AND(N559&gt;=INDEX(Sectorwise!E:E,MATCH(F559,Sectorwise!A:A,0)),N559&lt;=INDEX(Sectorwise!F:F,MATCH(F559,Sectorwise!A:A,0))),1,0)</f>
        <v>1</v>
      </c>
      <c r="R559" s="76">
        <f>IF(N559&gt;INDEX(Sectorwise!F:F,MATCH(F559,Sectorwise!A:A,0)),1,0)</f>
        <v>0</v>
      </c>
      <c r="S559" s="27">
        <f t="shared" si="33"/>
        <v>0</v>
      </c>
      <c r="T559" s="27">
        <f t="shared" si="34"/>
        <v>7445</v>
      </c>
      <c r="U559" s="27">
        <f t="shared" si="35"/>
        <v>0</v>
      </c>
      <c r="V559" s="95">
        <f>IF(R559=1,(N559-INDEX(Sectorwise!F:F,MATCH(F559,Sectorwise!A:A,0))),0)</f>
        <v>0</v>
      </c>
      <c r="W559" s="97">
        <f>POISSON(N559,INDEX(Sectorwise!D:D,MATCH(Travel!F378,Sectorwise!A:A,0)),TRUE)</f>
        <v>0</v>
      </c>
    </row>
    <row r="560" spans="1:24" ht="15.75" hidden="1" customHeight="1" x14ac:dyDescent="0.2">
      <c r="A560" s="21" t="s">
        <v>176</v>
      </c>
      <c r="B560" s="21" t="s">
        <v>180</v>
      </c>
      <c r="C560" s="22"/>
      <c r="D560" s="32"/>
      <c r="E560" s="60" t="s">
        <v>1010</v>
      </c>
      <c r="F560" s="29" t="s">
        <v>2134</v>
      </c>
      <c r="G560" s="56" t="s">
        <v>2309</v>
      </c>
      <c r="H560" s="21" t="s">
        <v>181</v>
      </c>
      <c r="I560" s="21" t="s">
        <v>179</v>
      </c>
      <c r="J560" s="25">
        <v>4500</v>
      </c>
      <c r="K560" s="25">
        <v>3171</v>
      </c>
      <c r="L560" s="26">
        <f t="shared" si="32"/>
        <v>7671</v>
      </c>
      <c r="M560" s="26">
        <f t="array" ref="M560">MEDIAN(IF($F$3:$F$810=F560,$L$3:$L$810))</f>
        <v>7412.5</v>
      </c>
      <c r="N560" s="26">
        <v>7671</v>
      </c>
      <c r="O560" s="27"/>
      <c r="P560" s="76">
        <f>IF(N560&lt;INDEX(Sectorwise!E:E,MATCH(F560,Sectorwise!A:A,0)),1,0)</f>
        <v>0</v>
      </c>
      <c r="Q560" s="76">
        <f>IF(AND(N560&gt;=INDEX(Sectorwise!E:E,MATCH(F560,Sectorwise!A:A,0)),N560&lt;=INDEX(Sectorwise!F:F,MATCH(F560,Sectorwise!A:A,0))),1,0)</f>
        <v>1</v>
      </c>
      <c r="R560" s="76">
        <f>IF(N560&gt;INDEX(Sectorwise!F:F,MATCH(F560,Sectorwise!A:A,0)),1,0)</f>
        <v>0</v>
      </c>
      <c r="S560" s="27">
        <f t="shared" si="33"/>
        <v>0</v>
      </c>
      <c r="T560" s="27">
        <f t="shared" si="34"/>
        <v>7671</v>
      </c>
      <c r="U560" s="27">
        <f t="shared" si="35"/>
        <v>0</v>
      </c>
      <c r="V560" s="95">
        <f>IF(R560=1,(N560-INDEX(Sectorwise!F:F,MATCH(F560,Sectorwise!A:A,0))),0)</f>
        <v>0</v>
      </c>
      <c r="W560" s="97">
        <f>POISSON(N560,INDEX(Sectorwise!D:D,MATCH(Travel!F63,Sectorwise!A:A,0)),TRUE)</f>
        <v>2.8410463021271722E-116</v>
      </c>
      <c r="X560" s="28">
        <v>7671</v>
      </c>
    </row>
    <row r="561" spans="1:24" ht="15.75" hidden="1" customHeight="1" x14ac:dyDescent="0.2">
      <c r="A561" s="63" t="s">
        <v>1172</v>
      </c>
      <c r="B561" s="63" t="s">
        <v>1173</v>
      </c>
      <c r="C561" s="63"/>
      <c r="E561" s="60" t="s">
        <v>1010</v>
      </c>
      <c r="F561" s="29" t="s">
        <v>2134</v>
      </c>
      <c r="G561" s="63" t="s">
        <v>2312</v>
      </c>
      <c r="H561" s="63" t="s">
        <v>1174</v>
      </c>
      <c r="I561" s="63" t="s">
        <v>1175</v>
      </c>
      <c r="J561" s="65">
        <v>4620</v>
      </c>
      <c r="K561" s="65">
        <v>3125</v>
      </c>
      <c r="L561" s="26">
        <f t="shared" si="32"/>
        <v>7745</v>
      </c>
      <c r="M561" s="26">
        <f t="array" ref="M561">MEDIAN(IF($F$3:$F$810=F561,$L$3:$L$810))</f>
        <v>7412.5</v>
      </c>
      <c r="N561" s="65">
        <v>7745</v>
      </c>
      <c r="O561" s="62">
        <v>0</v>
      </c>
      <c r="P561" s="76">
        <f>IF(N561&lt;INDEX(Sectorwise!E:E,MATCH(F561,Sectorwise!A:A,0)),1,0)</f>
        <v>0</v>
      </c>
      <c r="Q561" s="76">
        <f>IF(AND(N561&gt;=INDEX(Sectorwise!E:E,MATCH(F561,Sectorwise!A:A,0)),N561&lt;=INDEX(Sectorwise!F:F,MATCH(F561,Sectorwise!A:A,0))),1,0)</f>
        <v>1</v>
      </c>
      <c r="R561" s="76">
        <f>IF(N561&gt;INDEX(Sectorwise!F:F,MATCH(F561,Sectorwise!A:A,0)),1,0)</f>
        <v>0</v>
      </c>
      <c r="S561" s="27">
        <f t="shared" si="33"/>
        <v>0</v>
      </c>
      <c r="T561" s="27">
        <f t="shared" si="34"/>
        <v>7745</v>
      </c>
      <c r="U561" s="27">
        <f t="shared" si="35"/>
        <v>0</v>
      </c>
      <c r="V561" s="95">
        <f>IF(R561=1,(N561-INDEX(Sectorwise!F:F,MATCH(F561,Sectorwise!A:A,0))),0)</f>
        <v>0</v>
      </c>
      <c r="W561" s="97">
        <f>POISSON(N561,INDEX(Sectorwise!D:D,MATCH(Travel!F443,Sectorwise!A:A,0)),TRUE)</f>
        <v>2.308527166303933E-108</v>
      </c>
    </row>
    <row r="562" spans="1:24" ht="15.75" hidden="1" customHeight="1" x14ac:dyDescent="0.2">
      <c r="A562" s="63" t="s">
        <v>1246</v>
      </c>
      <c r="B562" s="63" t="s">
        <v>1247</v>
      </c>
      <c r="C562" s="63"/>
      <c r="E562" s="60" t="s">
        <v>1010</v>
      </c>
      <c r="F562" s="29" t="s">
        <v>2134</v>
      </c>
      <c r="G562" s="56" t="s">
        <v>2309</v>
      </c>
      <c r="H562" s="63" t="s">
        <v>1250</v>
      </c>
      <c r="I562" s="63" t="s">
        <v>1251</v>
      </c>
      <c r="J562" s="65">
        <v>6100</v>
      </c>
      <c r="K562" s="65">
        <v>1896</v>
      </c>
      <c r="L562" s="26">
        <f t="shared" si="32"/>
        <v>7996</v>
      </c>
      <c r="M562" s="26">
        <f t="array" ref="M562">MEDIAN(IF($F$3:$F$810=F562,$L$3:$L$810))</f>
        <v>7412.5</v>
      </c>
      <c r="N562" s="57">
        <f>J562+K562</f>
        <v>7996</v>
      </c>
      <c r="O562" s="62">
        <v>0</v>
      </c>
      <c r="P562" s="76">
        <f>IF(N562&lt;INDEX(Sectorwise!E:E,MATCH(F562,Sectorwise!A:A,0)),1,0)</f>
        <v>0</v>
      </c>
      <c r="Q562" s="76">
        <f>IF(AND(N562&gt;=INDEX(Sectorwise!E:E,MATCH(F562,Sectorwise!A:A,0)),N562&lt;=INDEX(Sectorwise!F:F,MATCH(F562,Sectorwise!A:A,0))),1,0)</f>
        <v>1</v>
      </c>
      <c r="R562" s="76">
        <f>IF(N562&gt;INDEX(Sectorwise!F:F,MATCH(F562,Sectorwise!A:A,0)),1,0)</f>
        <v>0</v>
      </c>
      <c r="S562" s="27">
        <f t="shared" si="33"/>
        <v>0</v>
      </c>
      <c r="T562" s="27">
        <f t="shared" si="34"/>
        <v>7996</v>
      </c>
      <c r="U562" s="27">
        <f t="shared" si="35"/>
        <v>0</v>
      </c>
      <c r="V562" s="95">
        <f>IF(R562=1,(N562-INDEX(Sectorwise!F:F,MATCH(F562,Sectorwise!A:A,0))),0)</f>
        <v>0</v>
      </c>
      <c r="W562" s="97">
        <f>POISSON(N562,INDEX(Sectorwise!D:D,MATCH(Travel!F470,Sectorwise!A:A,0)),TRUE)</f>
        <v>0.99999999998949174</v>
      </c>
    </row>
    <row r="563" spans="1:24" ht="15.75" hidden="1" customHeight="1" x14ac:dyDescent="0.2">
      <c r="A563" s="63" t="s">
        <v>1533</v>
      </c>
      <c r="B563" s="63" t="s">
        <v>1534</v>
      </c>
      <c r="C563" s="63"/>
      <c r="E563" s="60" t="s">
        <v>1010</v>
      </c>
      <c r="F563" s="29" t="s">
        <v>2134</v>
      </c>
      <c r="G563" s="56" t="s">
        <v>2309</v>
      </c>
      <c r="H563" s="63" t="s">
        <v>1535</v>
      </c>
      <c r="I563" s="63" t="s">
        <v>1476</v>
      </c>
      <c r="J563" s="65">
        <v>6100</v>
      </c>
      <c r="K563" s="65">
        <v>1896</v>
      </c>
      <c r="L563" s="26">
        <f t="shared" si="32"/>
        <v>7996</v>
      </c>
      <c r="M563" s="26">
        <f t="array" ref="M563">MEDIAN(IF($F$3:$F$810=F563,$L$3:$L$810))</f>
        <v>7412.5</v>
      </c>
      <c r="N563" s="65">
        <v>7996</v>
      </c>
      <c r="O563" s="62">
        <v>0</v>
      </c>
      <c r="P563" s="76">
        <f>IF(N563&lt;INDEX(Sectorwise!E:E,MATCH(F563,Sectorwise!A:A,0)),1,0)</f>
        <v>0</v>
      </c>
      <c r="Q563" s="76">
        <f>IF(AND(N563&gt;=INDEX(Sectorwise!E:E,MATCH(F563,Sectorwise!A:A,0)),N563&lt;=INDEX(Sectorwise!F:F,MATCH(F563,Sectorwise!A:A,0))),1,0)</f>
        <v>1</v>
      </c>
      <c r="R563" s="76">
        <f>IF(N563&gt;INDEX(Sectorwise!F:F,MATCH(F563,Sectorwise!A:A,0)),1,0)</f>
        <v>0</v>
      </c>
      <c r="S563" s="27">
        <f t="shared" si="33"/>
        <v>0</v>
      </c>
      <c r="T563" s="27">
        <f t="shared" si="34"/>
        <v>7996</v>
      </c>
      <c r="U563" s="27">
        <f t="shared" si="35"/>
        <v>0</v>
      </c>
      <c r="V563" s="95">
        <f>IF(R563=1,(N563-INDEX(Sectorwise!F:F,MATCH(F563,Sectorwise!A:A,0))),0)</f>
        <v>0</v>
      </c>
      <c r="W563" s="97">
        <f>POISSON(N563,INDEX(Sectorwise!D:D,MATCH(Travel!F581,Sectorwise!A:A,0)),TRUE)</f>
        <v>0</v>
      </c>
    </row>
    <row r="564" spans="1:24" ht="15.75" hidden="1" customHeight="1" x14ac:dyDescent="0.2">
      <c r="A564" s="21" t="s">
        <v>176</v>
      </c>
      <c r="B564" s="21" t="s">
        <v>180</v>
      </c>
      <c r="C564" s="22"/>
      <c r="D564" s="32"/>
      <c r="E564" s="60" t="s">
        <v>1010</v>
      </c>
      <c r="F564" s="21" t="s">
        <v>2135</v>
      </c>
      <c r="G564" s="69" t="s">
        <v>2308</v>
      </c>
      <c r="H564" s="21" t="s">
        <v>182</v>
      </c>
      <c r="I564" s="21" t="s">
        <v>183</v>
      </c>
      <c r="J564" s="25">
        <v>3720</v>
      </c>
      <c r="K564" s="25">
        <v>3481</v>
      </c>
      <c r="L564" s="26">
        <f t="shared" si="32"/>
        <v>7201</v>
      </c>
      <c r="M564" s="26">
        <f t="array" ref="M564">MEDIAN(IF($F$3:$F$810=F564,$L$3:$L$810))</f>
        <v>7234</v>
      </c>
      <c r="N564" s="26">
        <v>7201</v>
      </c>
      <c r="O564" s="27"/>
      <c r="P564" s="76">
        <f>IF(N564&lt;INDEX(Sectorwise!E:E,MATCH(F564,Sectorwise!A:A,0)),1,0)</f>
        <v>0</v>
      </c>
      <c r="Q564" s="76">
        <f>IF(AND(N564&gt;=INDEX(Sectorwise!E:E,MATCH(F564,Sectorwise!A:A,0)),N564&lt;=INDEX(Sectorwise!F:F,MATCH(F564,Sectorwise!A:A,0))),1,0)</f>
        <v>1</v>
      </c>
      <c r="R564" s="76">
        <f>IF(N564&gt;INDEX(Sectorwise!F:F,MATCH(F564,Sectorwise!A:A,0)),1,0)</f>
        <v>0</v>
      </c>
      <c r="S564" s="27">
        <f t="shared" si="33"/>
        <v>0</v>
      </c>
      <c r="T564" s="27">
        <f t="shared" si="34"/>
        <v>7201</v>
      </c>
      <c r="U564" s="27">
        <f t="shared" si="35"/>
        <v>0</v>
      </c>
      <c r="V564" s="95">
        <f>IF(R564=1,(N564-INDEX(Sectorwise!F:F,MATCH(F564,Sectorwise!A:A,0))),0)</f>
        <v>0</v>
      </c>
      <c r="W564" s="97">
        <f>POISSON(N564,INDEX(Sectorwise!D:D,MATCH(Travel!F64,Sectorwise!A:A,0)),TRUE)</f>
        <v>1</v>
      </c>
      <c r="X564" s="28">
        <v>7201</v>
      </c>
    </row>
    <row r="565" spans="1:24" ht="15.75" hidden="1" customHeight="1" x14ac:dyDescent="0.2">
      <c r="A565" s="56" t="s">
        <v>770</v>
      </c>
      <c r="B565" s="56" t="s">
        <v>771</v>
      </c>
      <c r="C565" s="56"/>
      <c r="E565" s="60" t="s">
        <v>1010</v>
      </c>
      <c r="F565" s="21" t="s">
        <v>2135</v>
      </c>
      <c r="G565" s="56" t="s">
        <v>2309</v>
      </c>
      <c r="H565" s="56" t="s">
        <v>772</v>
      </c>
      <c r="I565" s="56" t="s">
        <v>773</v>
      </c>
      <c r="J565" s="57">
        <v>5490</v>
      </c>
      <c r="K565" s="57">
        <v>1944</v>
      </c>
      <c r="L565" s="26">
        <f t="shared" si="32"/>
        <v>7434</v>
      </c>
      <c r="M565" s="26">
        <f t="array" ref="M565">MEDIAN(IF($F$3:$F$810=F565,$L$3:$L$810))</f>
        <v>7234</v>
      </c>
      <c r="N565" s="57">
        <v>7434</v>
      </c>
      <c r="O565" s="58">
        <v>0</v>
      </c>
      <c r="P565" s="76">
        <f>IF(N565&lt;INDEX(Sectorwise!E:E,MATCH(F565,Sectorwise!A:A,0)),1,0)</f>
        <v>0</v>
      </c>
      <c r="Q565" s="76">
        <f>IF(AND(N565&gt;=INDEX(Sectorwise!E:E,MATCH(F565,Sectorwise!A:A,0)),N565&lt;=INDEX(Sectorwise!F:F,MATCH(F565,Sectorwise!A:A,0))),1,0)</f>
        <v>1</v>
      </c>
      <c r="R565" s="76">
        <f>IF(N565&gt;INDEX(Sectorwise!F:F,MATCH(F565,Sectorwise!A:A,0)),1,0)</f>
        <v>0</v>
      </c>
      <c r="S565" s="27">
        <f t="shared" si="33"/>
        <v>0</v>
      </c>
      <c r="T565" s="27">
        <f t="shared" si="34"/>
        <v>7434</v>
      </c>
      <c r="U565" s="27">
        <f t="shared" si="35"/>
        <v>0</v>
      </c>
      <c r="V565" s="95">
        <f>IF(R565=1,(N565-INDEX(Sectorwise!F:F,MATCH(F565,Sectorwise!A:A,0))),0)</f>
        <v>0</v>
      </c>
      <c r="W565" s="97">
        <f>POISSON(N565,INDEX(Sectorwise!D:D,MATCH(Travel!F291,Sectorwise!A:A,0)),TRUE)</f>
        <v>0</v>
      </c>
    </row>
    <row r="566" spans="1:24" ht="15.75" hidden="1" customHeight="1" x14ac:dyDescent="0.2">
      <c r="A566" s="63" t="s">
        <v>1157</v>
      </c>
      <c r="B566" s="63" t="s">
        <v>1158</v>
      </c>
      <c r="C566" s="63"/>
      <c r="E566" s="60" t="s">
        <v>1010</v>
      </c>
      <c r="F566" s="21" t="s">
        <v>2135</v>
      </c>
      <c r="G566" s="56" t="s">
        <v>2309</v>
      </c>
      <c r="H566" s="63" t="s">
        <v>1159</v>
      </c>
      <c r="I566" s="63" t="s">
        <v>899</v>
      </c>
      <c r="J566" s="65">
        <v>5800</v>
      </c>
      <c r="K566" s="65">
        <v>1962</v>
      </c>
      <c r="L566" s="26">
        <f t="shared" si="32"/>
        <v>7762</v>
      </c>
      <c r="M566" s="26">
        <f t="array" ref="M566">MEDIAN(IF($F$3:$F$810=F566,$L$3:$L$810))</f>
        <v>7234</v>
      </c>
      <c r="N566" s="65">
        <v>7762</v>
      </c>
      <c r="O566" s="62">
        <v>0</v>
      </c>
      <c r="P566" s="76">
        <f>IF(N566&lt;INDEX(Sectorwise!E:E,MATCH(F566,Sectorwise!A:A,0)),1,0)</f>
        <v>0</v>
      </c>
      <c r="Q566" s="76">
        <f>IF(AND(N566&gt;=INDEX(Sectorwise!E:E,MATCH(F566,Sectorwise!A:A,0)),N566&lt;=INDEX(Sectorwise!F:F,MATCH(F566,Sectorwise!A:A,0))),1,0)</f>
        <v>1</v>
      </c>
      <c r="R566" s="76">
        <f>IF(N566&gt;INDEX(Sectorwise!F:F,MATCH(F566,Sectorwise!A:A,0)),1,0)</f>
        <v>0</v>
      </c>
      <c r="S566" s="27">
        <f t="shared" si="33"/>
        <v>0</v>
      </c>
      <c r="T566" s="27">
        <f t="shared" si="34"/>
        <v>7762</v>
      </c>
      <c r="U566" s="27">
        <f t="shared" si="35"/>
        <v>0</v>
      </c>
      <c r="V566" s="95">
        <f>IF(R566=1,(N566-INDEX(Sectorwise!F:F,MATCH(F566,Sectorwise!A:A,0))),0)</f>
        <v>0</v>
      </c>
      <c r="W566" s="97">
        <f>POISSON(N566,INDEX(Sectorwise!D:D,MATCH(Travel!F438,Sectorwise!A:A,0)),TRUE)</f>
        <v>0.99999999959324259</v>
      </c>
    </row>
    <row r="567" spans="1:24" ht="15.75" hidden="1" customHeight="1" x14ac:dyDescent="0.2">
      <c r="A567" s="63" t="s">
        <v>1246</v>
      </c>
      <c r="B567" s="63" t="s">
        <v>1247</v>
      </c>
      <c r="C567" s="63"/>
      <c r="E567" s="60" t="s">
        <v>1010</v>
      </c>
      <c r="F567" s="21" t="s">
        <v>2135</v>
      </c>
      <c r="G567" s="56" t="s">
        <v>2309</v>
      </c>
      <c r="H567" s="63" t="s">
        <v>1248</v>
      </c>
      <c r="I567" s="63" t="s">
        <v>1249</v>
      </c>
      <c r="J567" s="65">
        <v>7500</v>
      </c>
      <c r="K567" s="65">
        <v>2056</v>
      </c>
      <c r="L567" s="26">
        <f t="shared" si="32"/>
        <v>9556</v>
      </c>
      <c r="M567" s="26">
        <f t="array" ref="M567">MEDIAN(IF($F$3:$F$810=F567,$L$3:$L$810))</f>
        <v>7234</v>
      </c>
      <c r="N567" s="65">
        <v>17552</v>
      </c>
      <c r="O567" s="62">
        <v>0</v>
      </c>
      <c r="P567" s="76">
        <f>IF(N567&lt;INDEX(Sectorwise!E:E,MATCH(F567,Sectorwise!A:A,0)),1,0)</f>
        <v>0</v>
      </c>
      <c r="Q567" s="76">
        <f>IF(AND(N567&gt;=INDEX(Sectorwise!E:E,MATCH(F567,Sectorwise!A:A,0)),N567&lt;=INDEX(Sectorwise!F:F,MATCH(F567,Sectorwise!A:A,0))),1,0)</f>
        <v>0</v>
      </c>
      <c r="R567" s="76">
        <f>IF(N567&gt;INDEX(Sectorwise!F:F,MATCH(F567,Sectorwise!A:A,0)),1,0)</f>
        <v>1</v>
      </c>
      <c r="S567" s="27">
        <f t="shared" si="33"/>
        <v>0</v>
      </c>
      <c r="T567" s="27">
        <f t="shared" si="34"/>
        <v>0</v>
      </c>
      <c r="U567" s="27">
        <f t="shared" si="35"/>
        <v>17552</v>
      </c>
      <c r="V567" s="95">
        <f>IF(R567=1,(N567-INDEX(Sectorwise!F:F,MATCH(F567,Sectorwise!A:A,0))),0)</f>
        <v>9552</v>
      </c>
      <c r="W567" s="97">
        <f>POISSON(N567,INDEX(Sectorwise!D:D,MATCH(Travel!F469,Sectorwise!A:A,0)),TRUE)</f>
        <v>1</v>
      </c>
    </row>
    <row r="568" spans="1:24" ht="15.75" hidden="1" customHeight="1" x14ac:dyDescent="0.2">
      <c r="A568" s="63" t="s">
        <v>1533</v>
      </c>
      <c r="B568" s="63" t="s">
        <v>1536</v>
      </c>
      <c r="C568" s="63"/>
      <c r="E568" s="60" t="s">
        <v>1010</v>
      </c>
      <c r="F568" s="21" t="s">
        <v>2135</v>
      </c>
      <c r="G568" s="60" t="s">
        <v>2316</v>
      </c>
      <c r="H568" s="63" t="s">
        <v>1537</v>
      </c>
      <c r="I568" s="63" t="s">
        <v>1476</v>
      </c>
      <c r="J568" s="65">
        <v>4450</v>
      </c>
      <c r="K568" s="65">
        <v>3559</v>
      </c>
      <c r="L568" s="26">
        <f t="shared" si="32"/>
        <v>8009</v>
      </c>
      <c r="M568" s="26">
        <f t="array" ref="M568">MEDIAN(IF($F$3:$F$810=F568,$L$3:$L$810))</f>
        <v>7234</v>
      </c>
      <c r="N568" s="65">
        <v>8009</v>
      </c>
      <c r="O568" s="62">
        <v>0</v>
      </c>
      <c r="P568" s="76">
        <f>IF(N568&lt;INDEX(Sectorwise!E:E,MATCH(F568,Sectorwise!A:A,0)),1,0)</f>
        <v>0</v>
      </c>
      <c r="Q568" s="76">
        <f>IF(AND(N568&gt;=INDEX(Sectorwise!E:E,MATCH(F568,Sectorwise!A:A,0)),N568&lt;=INDEX(Sectorwise!F:F,MATCH(F568,Sectorwise!A:A,0))),1,0)</f>
        <v>0</v>
      </c>
      <c r="R568" s="76">
        <f>IF(N568&gt;INDEX(Sectorwise!F:F,MATCH(F568,Sectorwise!A:A,0)),1,0)</f>
        <v>1</v>
      </c>
      <c r="S568" s="27">
        <f t="shared" si="33"/>
        <v>0</v>
      </c>
      <c r="T568" s="27">
        <f t="shared" si="34"/>
        <v>0</v>
      </c>
      <c r="U568" s="27">
        <f t="shared" si="35"/>
        <v>8009</v>
      </c>
      <c r="V568" s="95">
        <f>IF(R568=1,(N568-INDEX(Sectorwise!F:F,MATCH(F568,Sectorwise!A:A,0))),0)</f>
        <v>9</v>
      </c>
      <c r="W568" s="97">
        <f>POISSON(N568,INDEX(Sectorwise!D:D,MATCH(Travel!F582,Sectorwise!A:A,0)),TRUE)</f>
        <v>0</v>
      </c>
    </row>
    <row r="569" spans="1:24" ht="15.75" hidden="1" customHeight="1" x14ac:dyDescent="0.2">
      <c r="A569" s="63" t="s">
        <v>1582</v>
      </c>
      <c r="B569" s="63" t="s">
        <v>1583</v>
      </c>
      <c r="C569" s="63"/>
      <c r="E569" s="60" t="s">
        <v>1010</v>
      </c>
      <c r="F569" s="21" t="s">
        <v>2135</v>
      </c>
      <c r="G569" s="60" t="s">
        <v>2316</v>
      </c>
      <c r="H569" s="63" t="s">
        <v>1584</v>
      </c>
      <c r="I569" s="63" t="s">
        <v>1563</v>
      </c>
      <c r="J569" s="65">
        <v>4850</v>
      </c>
      <c r="K569" s="65">
        <v>3607</v>
      </c>
      <c r="L569" s="26">
        <f t="shared" si="32"/>
        <v>8457</v>
      </c>
      <c r="M569" s="26">
        <f t="array" ref="M569">MEDIAN(IF($F$3:$F$810=F569,$L$3:$L$810))</f>
        <v>7234</v>
      </c>
      <c r="N569" s="65">
        <v>8457</v>
      </c>
      <c r="O569" s="62">
        <v>0</v>
      </c>
      <c r="P569" s="76">
        <f>IF(N569&lt;INDEX(Sectorwise!E:E,MATCH(F569,Sectorwise!A:A,0)),1,0)</f>
        <v>0</v>
      </c>
      <c r="Q569" s="76">
        <f>IF(AND(N569&gt;=INDEX(Sectorwise!E:E,MATCH(F569,Sectorwise!A:A,0)),N569&lt;=INDEX(Sectorwise!F:F,MATCH(F569,Sectorwise!A:A,0))),1,0)</f>
        <v>0</v>
      </c>
      <c r="R569" s="76">
        <f>IF(N569&gt;INDEX(Sectorwise!F:F,MATCH(F569,Sectorwise!A:A,0)),1,0)</f>
        <v>1</v>
      </c>
      <c r="S569" s="27">
        <f t="shared" si="33"/>
        <v>0</v>
      </c>
      <c r="T569" s="27">
        <f t="shared" si="34"/>
        <v>0</v>
      </c>
      <c r="U569" s="27">
        <f t="shared" si="35"/>
        <v>8457</v>
      </c>
      <c r="V569" s="95">
        <f>IF(R569=1,(N569-INDEX(Sectorwise!F:F,MATCH(F569,Sectorwise!A:A,0))),0)</f>
        <v>457</v>
      </c>
      <c r="W569" s="97">
        <f>POISSON(N569,INDEX(Sectorwise!D:D,MATCH(Travel!F600,Sectorwise!A:A,0)),TRUE)</f>
        <v>0</v>
      </c>
    </row>
    <row r="570" spans="1:24" ht="15.75" hidden="1" customHeight="1" x14ac:dyDescent="0.2">
      <c r="A570" s="63" t="s">
        <v>1771</v>
      </c>
      <c r="B570" s="63" t="s">
        <v>1786</v>
      </c>
      <c r="C570" s="63"/>
      <c r="E570" s="60" t="s">
        <v>1010</v>
      </c>
      <c r="F570" s="63" t="s">
        <v>2163</v>
      </c>
      <c r="G570" s="63" t="s">
        <v>1787</v>
      </c>
      <c r="H570" s="63" t="s">
        <v>1788</v>
      </c>
      <c r="I570" s="63" t="s">
        <v>1782</v>
      </c>
      <c r="J570" s="65">
        <v>1440</v>
      </c>
      <c r="K570" s="65">
        <v>12060</v>
      </c>
      <c r="L570" s="26">
        <f t="shared" si="32"/>
        <v>13500</v>
      </c>
      <c r="M570" s="26">
        <f t="array" ref="M570">MEDIAN(IF($F$3:$F$810=F570,$L$3:$L$810))</f>
        <v>13500</v>
      </c>
      <c r="N570" s="65">
        <v>13500</v>
      </c>
      <c r="O570" s="62">
        <v>0</v>
      </c>
      <c r="P570" s="76">
        <f>IF(N570&lt;INDEX(Sectorwise!E:E,MATCH(F570,Sectorwise!A:A,0)),1,0)</f>
        <v>0</v>
      </c>
      <c r="Q570" s="76">
        <f>IF(AND(N570&gt;=INDEX(Sectorwise!E:E,MATCH(F570,Sectorwise!A:A,0)),N570&lt;=INDEX(Sectorwise!F:F,MATCH(F570,Sectorwise!A:A,0))),1,0)</f>
        <v>1</v>
      </c>
      <c r="R570" s="76">
        <f>IF(N570&gt;INDEX(Sectorwise!F:F,MATCH(F570,Sectorwise!A:A,0)),1,0)</f>
        <v>0</v>
      </c>
      <c r="S570" s="27">
        <f t="shared" si="33"/>
        <v>0</v>
      </c>
      <c r="T570" s="27">
        <f t="shared" si="34"/>
        <v>13500</v>
      </c>
      <c r="U570" s="27">
        <f t="shared" si="35"/>
        <v>0</v>
      </c>
      <c r="V570" s="95">
        <f>IF(R570=1,(N570-INDEX(Sectorwise!F:F,MATCH(F570,Sectorwise!A:A,0))),0)</f>
        <v>0</v>
      </c>
      <c r="W570" s="97">
        <f>POISSON(N570,INDEX(Sectorwise!D:D,MATCH(Travel!F678,Sectorwise!A:A,0)),TRUE)</f>
        <v>1</v>
      </c>
    </row>
    <row r="571" spans="1:24" ht="15.75" hidden="1" customHeight="1" x14ac:dyDescent="0.2">
      <c r="A571" s="63" t="s">
        <v>1407</v>
      </c>
      <c r="B571" s="63" t="s">
        <v>1411</v>
      </c>
      <c r="C571" s="63"/>
      <c r="E571" s="60" t="s">
        <v>1010</v>
      </c>
      <c r="F571" s="29" t="s">
        <v>2134</v>
      </c>
      <c r="G571" s="56" t="s">
        <v>2309</v>
      </c>
      <c r="H571" s="63" t="s">
        <v>1412</v>
      </c>
      <c r="I571" s="63" t="s">
        <v>1316</v>
      </c>
      <c r="J571" s="65">
        <v>12740</v>
      </c>
      <c r="K571" s="65">
        <v>2264</v>
      </c>
      <c r="L571" s="26">
        <f t="shared" si="32"/>
        <v>15004</v>
      </c>
      <c r="M571" s="26">
        <f t="array" ref="M571">MEDIAN(IF($F$3:$F$810=F571,$L$3:$L$810))</f>
        <v>7412.5</v>
      </c>
      <c r="N571" s="65">
        <v>15004</v>
      </c>
      <c r="O571" s="62">
        <v>0</v>
      </c>
      <c r="P571" s="76">
        <f>IF(N571&lt;INDEX(Sectorwise!E:E,MATCH(F571,Sectorwise!A:A,0)),1,0)</f>
        <v>0</v>
      </c>
      <c r="Q571" s="76">
        <f>IF(AND(N571&gt;=INDEX(Sectorwise!E:E,MATCH(F571,Sectorwise!A:A,0)),N571&lt;=INDEX(Sectorwise!F:F,MATCH(F571,Sectorwise!A:A,0))),1,0)</f>
        <v>0</v>
      </c>
      <c r="R571" s="76">
        <f>IF(N571&gt;INDEX(Sectorwise!F:F,MATCH(F571,Sectorwise!A:A,0)),1,0)</f>
        <v>1</v>
      </c>
      <c r="S571" s="27">
        <f t="shared" si="33"/>
        <v>0</v>
      </c>
      <c r="T571" s="27">
        <f t="shared" si="34"/>
        <v>0</v>
      </c>
      <c r="U571" s="27">
        <f t="shared" si="35"/>
        <v>15004</v>
      </c>
      <c r="V571" s="95">
        <f>IF(R571=1,(N571-INDEX(Sectorwise!F:F,MATCH(F571,Sectorwise!A:A,0))),0)</f>
        <v>6804</v>
      </c>
      <c r="W571" s="97">
        <f>POISSON(N571,INDEX(Sectorwise!D:D,MATCH(Travel!F529,Sectorwise!A:A,0)),TRUE)</f>
        <v>1</v>
      </c>
    </row>
    <row r="572" spans="1:24" ht="15.75" hidden="1" customHeight="1" x14ac:dyDescent="0.2">
      <c r="A572" s="21" t="s">
        <v>597</v>
      </c>
      <c r="B572" s="21" t="s">
        <v>612</v>
      </c>
      <c r="C572" s="22"/>
      <c r="E572" s="21" t="s">
        <v>613</v>
      </c>
      <c r="F572" s="29" t="s">
        <v>2134</v>
      </c>
      <c r="G572" s="69" t="s">
        <v>2308</v>
      </c>
      <c r="H572" s="21" t="s">
        <v>614</v>
      </c>
      <c r="I572" s="21" t="s">
        <v>578</v>
      </c>
      <c r="J572" s="25">
        <v>482</v>
      </c>
      <c r="K572" s="25">
        <v>2396</v>
      </c>
      <c r="L572" s="26">
        <f t="shared" si="32"/>
        <v>2878</v>
      </c>
      <c r="M572" s="26">
        <f t="array" ref="M572">MEDIAN(IF($F$3:$F$810=F572,$L$3:$L$810))</f>
        <v>7412.5</v>
      </c>
      <c r="N572" s="47">
        <v>2878</v>
      </c>
      <c r="O572" s="55"/>
      <c r="P572" s="76">
        <f>IF(N572&lt;INDEX(Sectorwise!E:E,MATCH(F572,Sectorwise!A:A,0)),1,0)</f>
        <v>1</v>
      </c>
      <c r="Q572" s="76">
        <f>IF(AND(N572&gt;=INDEX(Sectorwise!E:E,MATCH(F572,Sectorwise!A:A,0)),N572&lt;=INDEX(Sectorwise!F:F,MATCH(F572,Sectorwise!A:A,0))),1,0)</f>
        <v>0</v>
      </c>
      <c r="R572" s="76">
        <f>IF(N572&gt;INDEX(Sectorwise!F:F,MATCH(F572,Sectorwise!A:A,0)),1,0)</f>
        <v>0</v>
      </c>
      <c r="S572" s="27">
        <f t="shared" si="33"/>
        <v>2878</v>
      </c>
      <c r="T572" s="27">
        <f t="shared" si="34"/>
        <v>0</v>
      </c>
      <c r="U572" s="27">
        <f t="shared" si="35"/>
        <v>0</v>
      </c>
      <c r="V572" s="95">
        <f>IF(R572=1,(N572-INDEX(Sectorwise!F:F,MATCH(F572,Sectorwise!A:A,0))),0)</f>
        <v>0</v>
      </c>
      <c r="W572" s="97">
        <f>POISSON(N572,INDEX(Sectorwise!D:D,MATCH(Travel!F230,Sectorwise!A:A,0)),TRUE)</f>
        <v>0</v>
      </c>
    </row>
    <row r="573" spans="1:24" ht="15.75" hidden="1" customHeight="1" x14ac:dyDescent="0.2">
      <c r="A573" s="21" t="s">
        <v>615</v>
      </c>
      <c r="B573" s="21" t="s">
        <v>618</v>
      </c>
      <c r="C573" s="30" t="s">
        <v>619</v>
      </c>
      <c r="E573" s="21" t="s">
        <v>613</v>
      </c>
      <c r="F573" s="21" t="s">
        <v>2135</v>
      </c>
      <c r="G573" s="33" t="s">
        <v>2321</v>
      </c>
      <c r="H573" s="53" t="s">
        <v>620</v>
      </c>
      <c r="I573" s="21" t="s">
        <v>621</v>
      </c>
      <c r="J573" s="25">
        <v>1354</v>
      </c>
      <c r="K573" s="25">
        <v>2645</v>
      </c>
      <c r="L573" s="26">
        <f t="shared" si="32"/>
        <v>3999</v>
      </c>
      <c r="M573" s="26">
        <f t="array" ref="M573">MEDIAN(IF($F$3:$F$810=F573,$L$3:$L$810))</f>
        <v>7234</v>
      </c>
      <c r="N573" s="47">
        <v>3999</v>
      </c>
      <c r="O573" s="55">
        <v>568</v>
      </c>
      <c r="P573" s="76">
        <f>IF(N573&lt;INDEX(Sectorwise!E:E,MATCH(F573,Sectorwise!A:A,0)),1,0)</f>
        <v>1</v>
      </c>
      <c r="Q573" s="76">
        <f>IF(AND(N573&gt;=INDEX(Sectorwise!E:E,MATCH(F573,Sectorwise!A:A,0)),N573&lt;=INDEX(Sectorwise!F:F,MATCH(F573,Sectorwise!A:A,0))),1,0)</f>
        <v>0</v>
      </c>
      <c r="R573" s="76">
        <f>IF(N573&gt;INDEX(Sectorwise!F:F,MATCH(F573,Sectorwise!A:A,0)),1,0)</f>
        <v>0</v>
      </c>
      <c r="S573" s="27">
        <f t="shared" si="33"/>
        <v>3999</v>
      </c>
      <c r="T573" s="27">
        <f t="shared" si="34"/>
        <v>0</v>
      </c>
      <c r="U573" s="27">
        <f t="shared" si="35"/>
        <v>0</v>
      </c>
      <c r="V573" s="95">
        <f>IF(R573=1,(N573-INDEX(Sectorwise!F:F,MATCH(F573,Sectorwise!A:A,0))),0)</f>
        <v>0</v>
      </c>
      <c r="W573" s="97">
        <f>POISSON(N573,INDEX(Sectorwise!D:D,MATCH(Travel!F232,Sectorwise!A:A,0)),TRUE)</f>
        <v>1</v>
      </c>
    </row>
    <row r="574" spans="1:24" ht="15.75" hidden="1" customHeight="1" x14ac:dyDescent="0.2">
      <c r="A574" s="21" t="s">
        <v>615</v>
      </c>
      <c r="B574" s="21" t="s">
        <v>622</v>
      </c>
      <c r="C574" s="22"/>
      <c r="E574" s="21" t="s">
        <v>613</v>
      </c>
      <c r="F574" s="21" t="s">
        <v>2135</v>
      </c>
      <c r="G574" s="33" t="s">
        <v>2321</v>
      </c>
      <c r="H574" s="21" t="s">
        <v>623</v>
      </c>
      <c r="I574" s="21" t="s">
        <v>624</v>
      </c>
      <c r="J574" s="25">
        <v>1024</v>
      </c>
      <c r="K574" s="25">
        <v>2606</v>
      </c>
      <c r="L574" s="26">
        <f t="shared" si="32"/>
        <v>3630</v>
      </c>
      <c r="M574" s="26">
        <f t="array" ref="M574">MEDIAN(IF($F$3:$F$810=F574,$L$3:$L$810))</f>
        <v>7234</v>
      </c>
      <c r="N574" s="47">
        <v>3630</v>
      </c>
      <c r="O574" s="55"/>
      <c r="P574" s="76">
        <f>IF(N574&lt;INDEX(Sectorwise!E:E,MATCH(F574,Sectorwise!A:A,0)),1,0)</f>
        <v>1</v>
      </c>
      <c r="Q574" s="76">
        <f>IF(AND(N574&gt;=INDEX(Sectorwise!E:E,MATCH(F574,Sectorwise!A:A,0)),N574&lt;=INDEX(Sectorwise!F:F,MATCH(F574,Sectorwise!A:A,0))),1,0)</f>
        <v>0</v>
      </c>
      <c r="R574" s="76">
        <f>IF(N574&gt;INDEX(Sectorwise!F:F,MATCH(F574,Sectorwise!A:A,0)),1,0)</f>
        <v>0</v>
      </c>
      <c r="S574" s="27">
        <f t="shared" si="33"/>
        <v>3630</v>
      </c>
      <c r="T574" s="27">
        <f t="shared" si="34"/>
        <v>0</v>
      </c>
      <c r="U574" s="27">
        <f t="shared" si="35"/>
        <v>0</v>
      </c>
      <c r="V574" s="95">
        <f>IF(R574=1,(N574-INDEX(Sectorwise!F:F,MATCH(F574,Sectorwise!A:A,0))),0)</f>
        <v>0</v>
      </c>
      <c r="W574" s="97">
        <f>POISSON(N574,INDEX(Sectorwise!D:D,MATCH(Travel!F233,Sectorwise!A:A,0)),TRUE)</f>
        <v>0</v>
      </c>
    </row>
    <row r="575" spans="1:24" ht="15.75" hidden="1" customHeight="1" x14ac:dyDescent="0.2">
      <c r="A575" s="63" t="s">
        <v>1496</v>
      </c>
      <c r="B575" s="63" t="s">
        <v>1499</v>
      </c>
      <c r="C575" s="63"/>
      <c r="E575" s="21" t="s">
        <v>613</v>
      </c>
      <c r="F575" s="63" t="s">
        <v>2180</v>
      </c>
      <c r="G575" s="63" t="s">
        <v>2325</v>
      </c>
      <c r="H575" s="63" t="s">
        <v>1500</v>
      </c>
      <c r="I575" s="63" t="s">
        <v>1501</v>
      </c>
      <c r="J575" s="65">
        <v>60845</v>
      </c>
      <c r="K575" s="65">
        <v>14155</v>
      </c>
      <c r="L575" s="26">
        <f t="shared" si="32"/>
        <v>75000</v>
      </c>
      <c r="M575" s="26">
        <f t="array" ref="M575">MEDIAN(IF($F$3:$F$810=F575,$L$3:$L$810))</f>
        <v>75000</v>
      </c>
      <c r="N575" s="65">
        <v>75000</v>
      </c>
      <c r="O575" s="62">
        <v>0</v>
      </c>
      <c r="P575" s="76">
        <f>IF(N575&lt;INDEX(Sectorwise!E:E,MATCH(F575,Sectorwise!A:A,0)),1,0)</f>
        <v>0</v>
      </c>
      <c r="Q575" s="76">
        <f>IF(AND(N575&gt;=INDEX(Sectorwise!E:E,MATCH(F575,Sectorwise!A:A,0)),N575&lt;=INDEX(Sectorwise!F:F,MATCH(F575,Sectorwise!A:A,0))),1,0)</f>
        <v>1</v>
      </c>
      <c r="R575" s="76">
        <f>IF(N575&gt;INDEX(Sectorwise!F:F,MATCH(F575,Sectorwise!A:A,0)),1,0)</f>
        <v>0</v>
      </c>
      <c r="S575" s="27">
        <f t="shared" si="33"/>
        <v>0</v>
      </c>
      <c r="T575" s="27">
        <f t="shared" si="34"/>
        <v>75000</v>
      </c>
      <c r="U575" s="27">
        <f t="shared" si="35"/>
        <v>0</v>
      </c>
      <c r="V575" s="95">
        <f>IF(R575=1,(N575-INDEX(Sectorwise!F:F,MATCH(F575,Sectorwise!A:A,0))),0)</f>
        <v>0</v>
      </c>
      <c r="W575" s="97">
        <f>POISSON(N575,INDEX(Sectorwise!D:D,MATCH(Travel!F566,Sectorwise!A:A,0)),TRUE)</f>
        <v>1</v>
      </c>
    </row>
    <row r="576" spans="1:24" ht="15.75" hidden="1" customHeight="1" x14ac:dyDescent="0.2">
      <c r="A576" s="60" t="s">
        <v>1306</v>
      </c>
      <c r="B576" s="60" t="s">
        <v>1307</v>
      </c>
      <c r="C576" s="60"/>
      <c r="E576" s="60" t="s">
        <v>1308</v>
      </c>
      <c r="F576" s="60" t="s">
        <v>2172</v>
      </c>
      <c r="G576" s="60" t="s">
        <v>2316</v>
      </c>
      <c r="H576" s="60" t="s">
        <v>1309</v>
      </c>
      <c r="I576" s="60" t="s">
        <v>1310</v>
      </c>
      <c r="J576" s="61">
        <v>4900</v>
      </c>
      <c r="K576" s="61">
        <v>5197</v>
      </c>
      <c r="L576" s="26">
        <f t="shared" si="32"/>
        <v>10097</v>
      </c>
      <c r="M576" s="26">
        <f t="array" ref="M576">MEDIAN(IF($F$3:$F$810=F576,$L$3:$L$810))</f>
        <v>10097</v>
      </c>
      <c r="N576" s="61">
        <v>10097</v>
      </c>
      <c r="O576" s="62">
        <v>0</v>
      </c>
      <c r="P576" s="76">
        <f>IF(N576&lt;INDEX(Sectorwise!E:E,MATCH(F576,Sectorwise!A:A,0)),1,0)</f>
        <v>0</v>
      </c>
      <c r="Q576" s="76">
        <f>IF(AND(N576&gt;=INDEX(Sectorwise!E:E,MATCH(F576,Sectorwise!A:A,0)),N576&lt;=INDEX(Sectorwise!F:F,MATCH(F576,Sectorwise!A:A,0))),1,0)</f>
        <v>1</v>
      </c>
      <c r="R576" s="76">
        <f>IF(N576&gt;INDEX(Sectorwise!F:F,MATCH(F576,Sectorwise!A:A,0)),1,0)</f>
        <v>0</v>
      </c>
      <c r="S576" s="27">
        <f t="shared" si="33"/>
        <v>0</v>
      </c>
      <c r="T576" s="27">
        <f t="shared" si="34"/>
        <v>10097</v>
      </c>
      <c r="U576" s="27">
        <f t="shared" si="35"/>
        <v>0</v>
      </c>
      <c r="V576" s="95">
        <f>IF(R576=1,(N576-INDEX(Sectorwise!F:F,MATCH(F576,Sectorwise!A:A,0))),0)</f>
        <v>0</v>
      </c>
      <c r="W576" s="97">
        <f>POISSON(N576,INDEX(Sectorwise!D:D,MATCH(Travel!F490,Sectorwise!A:A,0)),TRUE)</f>
        <v>0</v>
      </c>
    </row>
    <row r="577" spans="1:24" ht="15.75" hidden="1" customHeight="1" x14ac:dyDescent="0.2">
      <c r="A577" s="33" t="s">
        <v>384</v>
      </c>
      <c r="B577" s="33" t="s">
        <v>388</v>
      </c>
      <c r="C577" s="40"/>
      <c r="D577" s="35"/>
      <c r="E577" s="33" t="s">
        <v>389</v>
      </c>
      <c r="F577" s="33" t="s">
        <v>2136</v>
      </c>
      <c r="G577" s="33" t="s">
        <v>2321</v>
      </c>
      <c r="H577" s="33" t="s">
        <v>390</v>
      </c>
      <c r="I577" s="33" t="s">
        <v>387</v>
      </c>
      <c r="J577" s="36">
        <v>7292</v>
      </c>
      <c r="K577" s="36">
        <v>6798</v>
      </c>
      <c r="L577" s="26">
        <f t="shared" si="32"/>
        <v>14090</v>
      </c>
      <c r="M577" s="26">
        <f t="array" ref="M577">MEDIAN(IF($F$3:$F$810=F577,$L$3:$L$810))</f>
        <v>14406</v>
      </c>
      <c r="N577" s="47">
        <f>+J577+K577</f>
        <v>14090</v>
      </c>
      <c r="O577" s="27"/>
      <c r="P577" s="76">
        <f>IF(N577&lt;INDEX(Sectorwise!E:E,MATCH(F577,Sectorwise!A:A,0)),1,0)</f>
        <v>0</v>
      </c>
      <c r="Q577" s="76">
        <f>IF(AND(N577&gt;=INDEX(Sectorwise!E:E,MATCH(F577,Sectorwise!A:A,0)),N577&lt;=INDEX(Sectorwise!F:F,MATCH(F577,Sectorwise!A:A,0))),1,0)</f>
        <v>1</v>
      </c>
      <c r="R577" s="76">
        <f>IF(N577&gt;INDEX(Sectorwise!F:F,MATCH(F577,Sectorwise!A:A,0)),1,0)</f>
        <v>0</v>
      </c>
      <c r="S577" s="27">
        <f t="shared" si="33"/>
        <v>0</v>
      </c>
      <c r="T577" s="27">
        <f t="shared" si="34"/>
        <v>14090</v>
      </c>
      <c r="U577" s="27">
        <f t="shared" si="35"/>
        <v>0</v>
      </c>
      <c r="V577" s="95">
        <f>IF(R577=1,(N577-INDEX(Sectorwise!F:F,MATCH(F577,Sectorwise!A:A,0))),0)</f>
        <v>0</v>
      </c>
      <c r="W577" s="97">
        <f>POISSON(N577,INDEX(Sectorwise!D:D,MATCH(Travel!F146,Sectorwise!A:A,0)),TRUE)</f>
        <v>1</v>
      </c>
    </row>
    <row r="578" spans="1:24" ht="15.75" hidden="1" customHeight="1" x14ac:dyDescent="0.2">
      <c r="A578" s="60" t="s">
        <v>1031</v>
      </c>
      <c r="B578" s="60" t="s">
        <v>1039</v>
      </c>
      <c r="C578" s="60"/>
      <c r="E578" s="60" t="s">
        <v>1036</v>
      </c>
      <c r="F578" s="29" t="s">
        <v>2134</v>
      </c>
      <c r="G578" s="56" t="s">
        <v>2309</v>
      </c>
      <c r="H578" s="60" t="s">
        <v>1040</v>
      </c>
      <c r="I578" s="60" t="s">
        <v>1038</v>
      </c>
      <c r="J578" s="61">
        <v>5050</v>
      </c>
      <c r="K578" s="61">
        <v>1838</v>
      </c>
      <c r="L578" s="26">
        <f t="shared" si="32"/>
        <v>6888</v>
      </c>
      <c r="M578" s="26">
        <f t="array" ref="M578">MEDIAN(IF($F$3:$F$810=F578,$L$3:$L$810))</f>
        <v>7412.5</v>
      </c>
      <c r="N578" s="61">
        <v>6888</v>
      </c>
      <c r="O578" s="62">
        <v>0</v>
      </c>
      <c r="P578" s="76">
        <f>IF(N578&lt;INDEX(Sectorwise!E:E,MATCH(F578,Sectorwise!A:A,0)),1,0)</f>
        <v>0</v>
      </c>
      <c r="Q578" s="76">
        <f>IF(AND(N578&gt;=INDEX(Sectorwise!E:E,MATCH(F578,Sectorwise!A:A,0)),N578&lt;=INDEX(Sectorwise!F:F,MATCH(F578,Sectorwise!A:A,0))),1,0)</f>
        <v>1</v>
      </c>
      <c r="R578" s="76">
        <f>IF(N578&gt;INDEX(Sectorwise!F:F,MATCH(F578,Sectorwise!A:A,0)),1,0)</f>
        <v>0</v>
      </c>
      <c r="S578" s="27">
        <f t="shared" si="33"/>
        <v>0</v>
      </c>
      <c r="T578" s="27">
        <f t="shared" si="34"/>
        <v>6888</v>
      </c>
      <c r="U578" s="27">
        <f t="shared" si="35"/>
        <v>0</v>
      </c>
      <c r="V578" s="95">
        <f>IF(R578=1,(N578-INDEX(Sectorwise!F:F,MATCH(F578,Sectorwise!A:A,0))),0)</f>
        <v>0</v>
      </c>
      <c r="W578" s="97">
        <f>POISSON(N578,INDEX(Sectorwise!D:D,MATCH(Travel!F389,Sectorwise!A:A,0)),TRUE)</f>
        <v>2.1273260645105902E-5</v>
      </c>
    </row>
    <row r="579" spans="1:24" ht="15.75" hidden="1" customHeight="1" x14ac:dyDescent="0.2">
      <c r="A579" s="60" t="s">
        <v>1031</v>
      </c>
      <c r="B579" s="60" t="s">
        <v>1035</v>
      </c>
      <c r="C579" s="60"/>
      <c r="E579" s="60" t="s">
        <v>1036</v>
      </c>
      <c r="F579" s="60" t="s">
        <v>2220</v>
      </c>
      <c r="G579" s="60" t="s">
        <v>2316</v>
      </c>
      <c r="H579" s="60" t="s">
        <v>1037</v>
      </c>
      <c r="I579" s="60" t="s">
        <v>1038</v>
      </c>
      <c r="J579" s="61">
        <v>2250</v>
      </c>
      <c r="K579" s="61">
        <v>2966</v>
      </c>
      <c r="L579" s="26">
        <f t="shared" ref="L579:L642" si="36">J579+K579</f>
        <v>5216</v>
      </c>
      <c r="M579" s="26">
        <f t="array" ref="M579">MEDIAN(IF($F$3:$F$810=F579,$L$3:$L$810))</f>
        <v>6944</v>
      </c>
      <c r="N579" s="61">
        <v>5216</v>
      </c>
      <c r="O579" s="62">
        <v>0</v>
      </c>
      <c r="P579" s="76">
        <f>IF(N579&lt;INDEX(Sectorwise!E:E,MATCH(F579,Sectorwise!A:A,0)),1,0)</f>
        <v>1</v>
      </c>
      <c r="Q579" s="76">
        <f>IF(AND(N579&gt;=INDEX(Sectorwise!E:E,MATCH(F579,Sectorwise!A:A,0)),N579&lt;=INDEX(Sectorwise!F:F,MATCH(F579,Sectorwise!A:A,0))),1,0)</f>
        <v>0</v>
      </c>
      <c r="R579" s="76">
        <f>IF(N579&gt;INDEX(Sectorwise!F:F,MATCH(F579,Sectorwise!A:A,0)),1,0)</f>
        <v>0</v>
      </c>
      <c r="S579" s="27">
        <f t="shared" ref="S579:S642" si="37">IF(P579=0,0,N579)</f>
        <v>5216</v>
      </c>
      <c r="T579" s="27">
        <f t="shared" ref="T579:T642" si="38">IF(Q579=0,0,N579)</f>
        <v>0</v>
      </c>
      <c r="U579" s="27">
        <f t="shared" ref="U579:U642" si="39">IF(R579=0,0,N579)</f>
        <v>0</v>
      </c>
      <c r="V579" s="95">
        <f>IF(R579=1,(N579-INDEX(Sectorwise!F:F,MATCH(F579,Sectorwise!A:A,0))),0)</f>
        <v>0</v>
      </c>
      <c r="W579" s="97">
        <f>POISSON(N579,INDEX(Sectorwise!D:D,MATCH(Travel!F388,Sectorwise!A:A,0)),TRUE)</f>
        <v>2.7877090432481636E-160</v>
      </c>
    </row>
    <row r="580" spans="1:24" ht="15.75" hidden="1" customHeight="1" x14ac:dyDescent="0.2">
      <c r="A580" s="63" t="s">
        <v>1837</v>
      </c>
      <c r="B580" s="63" t="s">
        <v>1845</v>
      </c>
      <c r="C580" s="63"/>
      <c r="E580" s="63" t="s">
        <v>1036</v>
      </c>
      <c r="F580" s="63" t="s">
        <v>2207</v>
      </c>
      <c r="G580" s="56" t="s">
        <v>2309</v>
      </c>
      <c r="H580" s="63" t="s">
        <v>1846</v>
      </c>
      <c r="I580" s="63" t="s">
        <v>1807</v>
      </c>
      <c r="J580" s="65">
        <v>4300</v>
      </c>
      <c r="K580" s="65">
        <v>1564</v>
      </c>
      <c r="L580" s="26">
        <f t="shared" si="36"/>
        <v>5864</v>
      </c>
      <c r="M580" s="26">
        <f t="array" ref="M580">MEDIAN(IF($F$3:$F$810=F580,$L$3:$L$810))</f>
        <v>5864</v>
      </c>
      <c r="N580" s="65">
        <v>5864</v>
      </c>
      <c r="O580" s="62">
        <v>0</v>
      </c>
      <c r="P580" s="76">
        <f>IF(N580&lt;INDEX(Sectorwise!E:E,MATCH(F580,Sectorwise!A:A,0)),1,0)</f>
        <v>0</v>
      </c>
      <c r="Q580" s="76">
        <f>IF(AND(N580&gt;=INDEX(Sectorwise!E:E,MATCH(F580,Sectorwise!A:A,0)),N580&lt;=INDEX(Sectorwise!F:F,MATCH(F580,Sectorwise!A:A,0))),1,0)</f>
        <v>1</v>
      </c>
      <c r="R580" s="76">
        <f>IF(N580&gt;INDEX(Sectorwise!F:F,MATCH(F580,Sectorwise!A:A,0)),1,0)</f>
        <v>0</v>
      </c>
      <c r="S580" s="27">
        <f t="shared" si="37"/>
        <v>0</v>
      </c>
      <c r="T580" s="27">
        <f t="shared" si="38"/>
        <v>5864</v>
      </c>
      <c r="U580" s="27">
        <f t="shared" si="39"/>
        <v>0</v>
      </c>
      <c r="V580" s="95">
        <f>IF(R580=1,(N580-INDEX(Sectorwise!F:F,MATCH(F580,Sectorwise!A:A,0))),0)</f>
        <v>0</v>
      </c>
      <c r="W580" s="97">
        <f>POISSON(N580,INDEX(Sectorwise!D:D,MATCH(Travel!F700,Sectorwise!A:A,0)),TRUE)</f>
        <v>1.4482351134374962E-62</v>
      </c>
    </row>
    <row r="581" spans="1:24" ht="15.75" hidden="1" customHeight="1" x14ac:dyDescent="0.2">
      <c r="A581" s="63" t="s">
        <v>1837</v>
      </c>
      <c r="B581" s="63" t="s">
        <v>1870</v>
      </c>
      <c r="C581" s="63" t="s">
        <v>1871</v>
      </c>
      <c r="E581" s="63" t="s">
        <v>1872</v>
      </c>
      <c r="F581" s="63" t="s">
        <v>2197</v>
      </c>
      <c r="G581" s="63" t="s">
        <v>2318</v>
      </c>
      <c r="H581" s="63" t="s">
        <v>1873</v>
      </c>
      <c r="I581" s="63" t="s">
        <v>1822</v>
      </c>
      <c r="J581" s="65">
        <v>26900</v>
      </c>
      <c r="K581" s="65">
        <v>36900</v>
      </c>
      <c r="L581" s="26">
        <f t="shared" si="36"/>
        <v>63800</v>
      </c>
      <c r="M581" s="26">
        <f t="array" ref="M581">MEDIAN(IF($F$3:$F$810=F581,$L$3:$L$810))</f>
        <v>63800</v>
      </c>
      <c r="N581" s="65">
        <v>63800</v>
      </c>
      <c r="O581" s="62">
        <v>51800</v>
      </c>
      <c r="P581" s="76">
        <f>IF(N581&lt;INDEX(Sectorwise!E:E,MATCH(F581,Sectorwise!A:A,0)),1,0)</f>
        <v>0</v>
      </c>
      <c r="Q581" s="76">
        <f>IF(AND(N581&gt;=INDEX(Sectorwise!E:E,MATCH(F581,Sectorwise!A:A,0)),N581&lt;=INDEX(Sectorwise!F:F,MATCH(F581,Sectorwise!A:A,0))),1,0)</f>
        <v>1</v>
      </c>
      <c r="R581" s="76">
        <f>IF(N581&gt;INDEX(Sectorwise!F:F,MATCH(F581,Sectorwise!A:A,0)),1,0)</f>
        <v>0</v>
      </c>
      <c r="S581" s="27">
        <f t="shared" si="37"/>
        <v>0</v>
      </c>
      <c r="T581" s="27">
        <f t="shared" si="38"/>
        <v>63800</v>
      </c>
      <c r="U581" s="27">
        <f t="shared" si="39"/>
        <v>0</v>
      </c>
      <c r="V581" s="95">
        <f>IF(R581=1,(N581-INDEX(Sectorwise!F:F,MATCH(F581,Sectorwise!A:A,0))),0)</f>
        <v>0</v>
      </c>
      <c r="W581" s="97">
        <f>POISSON(N581,INDEX(Sectorwise!D:D,MATCH(Travel!F711,Sectorwise!A:A,0)),TRUE)</f>
        <v>1</v>
      </c>
    </row>
    <row r="582" spans="1:24" ht="15.75" hidden="1" customHeight="1" x14ac:dyDescent="0.2">
      <c r="A582" s="63" t="s">
        <v>1893</v>
      </c>
      <c r="B582" s="63" t="s">
        <v>1913</v>
      </c>
      <c r="C582" s="63" t="s">
        <v>1914</v>
      </c>
      <c r="E582" s="63" t="s">
        <v>1872</v>
      </c>
      <c r="F582" s="63" t="s">
        <v>2233</v>
      </c>
      <c r="G582" s="63" t="s">
        <v>2314</v>
      </c>
      <c r="H582" s="63" t="s">
        <v>1915</v>
      </c>
      <c r="I582" s="63" t="s">
        <v>1822</v>
      </c>
      <c r="J582" s="65">
        <v>52160</v>
      </c>
      <c r="K582" s="65">
        <v>10840</v>
      </c>
      <c r="L582" s="26">
        <f t="shared" si="36"/>
        <v>63000</v>
      </c>
      <c r="M582" s="26">
        <f t="array" ref="M582">MEDIAN(IF($F$3:$F$810=F582,$L$3:$L$810))</f>
        <v>63000</v>
      </c>
      <c r="N582" s="65">
        <v>63000</v>
      </c>
      <c r="O582" s="62">
        <v>55820</v>
      </c>
      <c r="P582" s="76">
        <f>IF(N582&lt;INDEX(Sectorwise!E:E,MATCH(F582,Sectorwise!A:A,0)),1,0)</f>
        <v>0</v>
      </c>
      <c r="Q582" s="76">
        <f>IF(AND(N582&gt;=INDEX(Sectorwise!E:E,MATCH(F582,Sectorwise!A:A,0)),N582&lt;=INDEX(Sectorwise!F:F,MATCH(F582,Sectorwise!A:A,0))),1,0)</f>
        <v>1</v>
      </c>
      <c r="R582" s="76">
        <f>IF(N582&gt;INDEX(Sectorwise!F:F,MATCH(F582,Sectorwise!A:A,0)),1,0)</f>
        <v>0</v>
      </c>
      <c r="S582" s="27">
        <f t="shared" si="37"/>
        <v>0</v>
      </c>
      <c r="T582" s="27">
        <f t="shared" si="38"/>
        <v>63000</v>
      </c>
      <c r="U582" s="27">
        <f t="shared" si="39"/>
        <v>0</v>
      </c>
      <c r="V582" s="95">
        <f>IF(R582=1,(N582-INDEX(Sectorwise!F:F,MATCH(F582,Sectorwise!A:A,0))),0)</f>
        <v>0</v>
      </c>
      <c r="W582" s="97">
        <f>POISSON(N582,INDEX(Sectorwise!D:D,MATCH(Travel!F729,Sectorwise!A:A,0)),TRUE)</f>
        <v>0</v>
      </c>
    </row>
    <row r="583" spans="1:24" ht="15.75" hidden="1" customHeight="1" x14ac:dyDescent="0.2">
      <c r="A583" s="63" t="s">
        <v>1815</v>
      </c>
      <c r="B583" s="63" t="s">
        <v>1816</v>
      </c>
      <c r="C583" s="63" t="s">
        <v>1817</v>
      </c>
      <c r="E583" s="63" t="s">
        <v>1872</v>
      </c>
      <c r="F583" s="63" t="s">
        <v>2236</v>
      </c>
      <c r="G583" s="63" t="s">
        <v>2312</v>
      </c>
      <c r="H583" s="63" t="s">
        <v>1818</v>
      </c>
      <c r="I583" s="63" t="s">
        <v>1819</v>
      </c>
      <c r="J583" s="65">
        <v>33000</v>
      </c>
      <c r="K583" s="65">
        <v>35000</v>
      </c>
      <c r="L583" s="26">
        <f t="shared" si="36"/>
        <v>68000</v>
      </c>
      <c r="M583" s="26">
        <f t="array" ref="M583">MEDIAN(IF($F$3:$F$810=F583,$L$3:$L$810))</f>
        <v>68000</v>
      </c>
      <c r="N583" s="65">
        <v>68000</v>
      </c>
      <c r="O583" s="62">
        <v>59500</v>
      </c>
      <c r="P583" s="76">
        <f>IF(N583&lt;INDEX(Sectorwise!E:E,MATCH(F583,Sectorwise!A:A,0)),1,0)</f>
        <v>0</v>
      </c>
      <c r="Q583" s="76">
        <f>IF(AND(N583&gt;=INDEX(Sectorwise!E:E,MATCH(F583,Sectorwise!A:A,0)),N583&lt;=INDEX(Sectorwise!F:F,MATCH(F583,Sectorwise!A:A,0))),1,0)</f>
        <v>1</v>
      </c>
      <c r="R583" s="76">
        <f>IF(N583&gt;INDEX(Sectorwise!F:F,MATCH(F583,Sectorwise!A:A,0)),1,0)</f>
        <v>0</v>
      </c>
      <c r="S583" s="27">
        <f t="shared" si="37"/>
        <v>0</v>
      </c>
      <c r="T583" s="27">
        <f t="shared" si="38"/>
        <v>68000</v>
      </c>
      <c r="U583" s="27">
        <f t="shared" si="39"/>
        <v>0</v>
      </c>
      <c r="V583" s="95">
        <f>IF(R583=1,(N583-INDEX(Sectorwise!F:F,MATCH(F583,Sectorwise!A:A,0))),0)</f>
        <v>0</v>
      </c>
      <c r="W583" s="97">
        <f>POISSON(N583,INDEX(Sectorwise!D:D,MATCH(Travel!F687,Sectorwise!A:A,0)),TRUE)</f>
        <v>1</v>
      </c>
    </row>
    <row r="584" spans="1:24" ht="15.75" hidden="1" customHeight="1" x14ac:dyDescent="0.2">
      <c r="A584" s="60" t="s">
        <v>1365</v>
      </c>
      <c r="B584" s="60" t="s">
        <v>1380</v>
      </c>
      <c r="C584" s="60"/>
      <c r="E584" s="60" t="s">
        <v>1381</v>
      </c>
      <c r="F584" s="21" t="s">
        <v>2152</v>
      </c>
      <c r="G584" s="69" t="s">
        <v>2308</v>
      </c>
      <c r="H584" s="60" t="s">
        <v>1382</v>
      </c>
      <c r="I584" s="60" t="s">
        <v>1358</v>
      </c>
      <c r="J584" s="61">
        <v>4360</v>
      </c>
      <c r="K584" s="61">
        <v>1078</v>
      </c>
      <c r="L584" s="26">
        <f t="shared" si="36"/>
        <v>5438</v>
      </c>
      <c r="M584" s="26">
        <f t="array" ref="M584">MEDIAN(IF($F$3:$F$810=F584,$L$3:$L$810))</f>
        <v>5438</v>
      </c>
      <c r="N584" s="61">
        <v>5438</v>
      </c>
      <c r="O584" s="62">
        <v>0</v>
      </c>
      <c r="P584" s="76">
        <f>IF(N584&lt;INDEX(Sectorwise!E:E,MATCH(F584,Sectorwise!A:A,0)),1,0)</f>
        <v>0</v>
      </c>
      <c r="Q584" s="76">
        <f>IF(AND(N584&gt;=INDEX(Sectorwise!E:E,MATCH(F584,Sectorwise!A:A,0)),N584&lt;=INDEX(Sectorwise!F:F,MATCH(F584,Sectorwise!A:A,0))),1,0)</f>
        <v>1</v>
      </c>
      <c r="R584" s="76">
        <f>IF(N584&gt;INDEX(Sectorwise!F:F,MATCH(F584,Sectorwise!A:A,0)),1,0)</f>
        <v>0</v>
      </c>
      <c r="S584" s="27">
        <f t="shared" si="37"/>
        <v>0</v>
      </c>
      <c r="T584" s="27">
        <f t="shared" si="38"/>
        <v>5438</v>
      </c>
      <c r="U584" s="27">
        <f t="shared" si="39"/>
        <v>0</v>
      </c>
      <c r="V584" s="95">
        <f>IF(R584=1,(N584-INDEX(Sectorwise!F:F,MATCH(F584,Sectorwise!A:A,0))),0)</f>
        <v>0</v>
      </c>
      <c r="W584" s="97">
        <f>POISSON(N584,INDEX(Sectorwise!D:D,MATCH(Travel!F517,Sectorwise!A:A,0)),TRUE)</f>
        <v>2.1210844586045114E-108</v>
      </c>
    </row>
    <row r="585" spans="1:24" ht="15.75" hidden="1" customHeight="1" x14ac:dyDescent="0.2">
      <c r="A585" s="63" t="s">
        <v>1545</v>
      </c>
      <c r="B585" s="63" t="s">
        <v>1546</v>
      </c>
      <c r="C585" s="63"/>
      <c r="E585" s="63" t="s">
        <v>1547</v>
      </c>
      <c r="F585" s="21" t="s">
        <v>2136</v>
      </c>
      <c r="G585" s="69" t="s">
        <v>2308</v>
      </c>
      <c r="H585" s="63" t="s">
        <v>1548</v>
      </c>
      <c r="I585" s="63" t="s">
        <v>1540</v>
      </c>
      <c r="J585" s="65">
        <v>11880</v>
      </c>
      <c r="K585" s="65">
        <v>2492</v>
      </c>
      <c r="L585" s="26">
        <f t="shared" si="36"/>
        <v>14372</v>
      </c>
      <c r="M585" s="26">
        <f t="array" ref="M585">MEDIAN(IF($F$3:$F$810=F585,$L$3:$L$810))</f>
        <v>14406</v>
      </c>
      <c r="N585" s="65">
        <v>14372</v>
      </c>
      <c r="O585" s="62">
        <v>0</v>
      </c>
      <c r="P585" s="76">
        <f>IF(N585&lt;INDEX(Sectorwise!E:E,MATCH(F585,Sectorwise!A:A,0)),1,0)</f>
        <v>0</v>
      </c>
      <c r="Q585" s="76">
        <f>IF(AND(N585&gt;=INDEX(Sectorwise!E:E,MATCH(F585,Sectorwise!A:A,0)),N585&lt;=INDEX(Sectorwise!F:F,MATCH(F585,Sectorwise!A:A,0))),1,0)</f>
        <v>1</v>
      </c>
      <c r="R585" s="76">
        <f>IF(N585&gt;INDEX(Sectorwise!F:F,MATCH(F585,Sectorwise!A:A,0)),1,0)</f>
        <v>0</v>
      </c>
      <c r="S585" s="27">
        <f t="shared" si="37"/>
        <v>0</v>
      </c>
      <c r="T585" s="27">
        <f t="shared" si="38"/>
        <v>14372</v>
      </c>
      <c r="U585" s="27">
        <f t="shared" si="39"/>
        <v>0</v>
      </c>
      <c r="V585" s="95">
        <f>IF(R585=1,(N585-INDEX(Sectorwise!F:F,MATCH(F585,Sectorwise!A:A,0))),0)</f>
        <v>0</v>
      </c>
      <c r="W585" s="97">
        <f>POISSON(N585,INDEX(Sectorwise!D:D,MATCH(Travel!F585,Sectorwise!A:A,0)),TRUE)</f>
        <v>0.39057233074334691</v>
      </c>
    </row>
    <row r="586" spans="1:24" ht="15.75" hidden="1" customHeight="1" x14ac:dyDescent="0.2">
      <c r="A586" s="63" t="s">
        <v>1756</v>
      </c>
      <c r="B586" s="63" t="s">
        <v>1766</v>
      </c>
      <c r="C586" s="63"/>
      <c r="E586" s="63" t="s">
        <v>1547</v>
      </c>
      <c r="F586" s="21" t="s">
        <v>2136</v>
      </c>
      <c r="G586" s="69" t="s">
        <v>2308</v>
      </c>
      <c r="H586" s="63" t="s">
        <v>1768</v>
      </c>
      <c r="I586" s="63" t="s">
        <v>1750</v>
      </c>
      <c r="J586" s="65">
        <v>11582</v>
      </c>
      <c r="K586" s="65">
        <v>2189</v>
      </c>
      <c r="L586" s="26">
        <f t="shared" si="36"/>
        <v>13771</v>
      </c>
      <c r="M586" s="26">
        <f t="array" ref="M586">MEDIAN(IF($F$3:$F$810=F586,$L$3:$L$810))</f>
        <v>14406</v>
      </c>
      <c r="N586" s="57">
        <f>J586+K586</f>
        <v>13771</v>
      </c>
      <c r="O586" s="62">
        <v>0</v>
      </c>
      <c r="P586" s="76">
        <f>IF(N586&lt;INDEX(Sectorwise!E:E,MATCH(F586,Sectorwise!A:A,0)),1,0)</f>
        <v>0</v>
      </c>
      <c r="Q586" s="76">
        <f>IF(AND(N586&gt;=INDEX(Sectorwise!E:E,MATCH(F586,Sectorwise!A:A,0)),N586&lt;=INDEX(Sectorwise!F:F,MATCH(F586,Sectorwise!A:A,0))),1,0)</f>
        <v>1</v>
      </c>
      <c r="R586" s="76">
        <f>IF(N586&gt;INDEX(Sectorwise!F:F,MATCH(F586,Sectorwise!A:A,0)),1,0)</f>
        <v>0</v>
      </c>
      <c r="S586" s="27">
        <f t="shared" si="37"/>
        <v>0</v>
      </c>
      <c r="T586" s="27">
        <f t="shared" si="38"/>
        <v>13771</v>
      </c>
      <c r="U586" s="27">
        <f t="shared" si="39"/>
        <v>0</v>
      </c>
      <c r="V586" s="95">
        <f>IF(R586=1,(N586-INDEX(Sectorwise!F:F,MATCH(F586,Sectorwise!A:A,0))),0)</f>
        <v>0</v>
      </c>
      <c r="W586" s="97">
        <f>POISSON(N586,INDEX(Sectorwise!D:D,MATCH(Travel!F671,Sectorwise!A:A,0)),TRUE)</f>
        <v>0</v>
      </c>
    </row>
    <row r="587" spans="1:24" ht="15.75" hidden="1" customHeight="1" x14ac:dyDescent="0.2">
      <c r="A587" s="60" t="s">
        <v>948</v>
      </c>
      <c r="B587" s="60" t="s">
        <v>952</v>
      </c>
      <c r="C587" s="64" t="s">
        <v>953</v>
      </c>
      <c r="E587" s="60" t="s">
        <v>954</v>
      </c>
      <c r="F587" s="60" t="s">
        <v>2158</v>
      </c>
      <c r="G587" s="69" t="s">
        <v>2308</v>
      </c>
      <c r="H587" s="60" t="s">
        <v>955</v>
      </c>
      <c r="I587" s="60" t="s">
        <v>903</v>
      </c>
      <c r="J587" s="61">
        <v>18306</v>
      </c>
      <c r="K587" s="61">
        <v>3030</v>
      </c>
      <c r="L587" s="26">
        <f t="shared" si="36"/>
        <v>21336</v>
      </c>
      <c r="M587" s="26">
        <f t="array" ref="M587">MEDIAN(IF($F$3:$F$810=F587,$L$3:$L$810))</f>
        <v>20521</v>
      </c>
      <c r="N587" s="61">
        <v>21336</v>
      </c>
      <c r="O587" s="62">
        <v>10399</v>
      </c>
      <c r="P587" s="76">
        <f>IF(N587&lt;INDEX(Sectorwise!E:E,MATCH(F587,Sectorwise!A:A,0)),1,0)</f>
        <v>0</v>
      </c>
      <c r="Q587" s="76">
        <f>IF(AND(N587&gt;=INDEX(Sectorwise!E:E,MATCH(F587,Sectorwise!A:A,0)),N587&lt;=INDEX(Sectorwise!F:F,MATCH(F587,Sectorwise!A:A,0))),1,0)</f>
        <v>1</v>
      </c>
      <c r="R587" s="76">
        <f>IF(N587&gt;INDEX(Sectorwise!F:F,MATCH(F587,Sectorwise!A:A,0)),1,0)</f>
        <v>0</v>
      </c>
      <c r="S587" s="27">
        <f t="shared" si="37"/>
        <v>0</v>
      </c>
      <c r="T587" s="27">
        <f t="shared" si="38"/>
        <v>21336</v>
      </c>
      <c r="U587" s="27">
        <f t="shared" si="39"/>
        <v>0</v>
      </c>
      <c r="V587" s="95">
        <f>IF(R587=1,(N587-INDEX(Sectorwise!F:F,MATCH(F587,Sectorwise!A:A,0))),0)</f>
        <v>0</v>
      </c>
      <c r="W587" s="97">
        <f>POISSON(N587,INDEX(Sectorwise!D:D,MATCH(Travel!F355,Sectorwise!A:A,0)),TRUE)</f>
        <v>1</v>
      </c>
    </row>
    <row r="588" spans="1:24" ht="15.75" hidden="1" customHeight="1" x14ac:dyDescent="0.2">
      <c r="A588" s="60" t="s">
        <v>964</v>
      </c>
      <c r="B588" s="60" t="s">
        <v>965</v>
      </c>
      <c r="C588" s="60"/>
      <c r="E588" s="60" t="s">
        <v>954</v>
      </c>
      <c r="F588" s="21" t="s">
        <v>2149</v>
      </c>
      <c r="G588" s="69" t="s">
        <v>2308</v>
      </c>
      <c r="H588" s="60" t="s">
        <v>966</v>
      </c>
      <c r="I588" s="60" t="s">
        <v>918</v>
      </c>
      <c r="J588" s="61">
        <v>9178</v>
      </c>
      <c r="K588" s="61">
        <v>1446</v>
      </c>
      <c r="L588" s="26">
        <f t="shared" si="36"/>
        <v>10624</v>
      </c>
      <c r="M588" s="26">
        <f t="array" ref="M588">MEDIAN(IF($F$3:$F$810=F588,$L$3:$L$810))</f>
        <v>10332</v>
      </c>
      <c r="N588" s="61">
        <v>21248</v>
      </c>
      <c r="O588" s="62">
        <v>0</v>
      </c>
      <c r="P588" s="76">
        <f>IF(N588&lt;INDEX(Sectorwise!E:E,MATCH(F588,Sectorwise!A:A,0)),1,0)</f>
        <v>0</v>
      </c>
      <c r="Q588" s="76">
        <f>IF(AND(N588&gt;=INDEX(Sectorwise!E:E,MATCH(F588,Sectorwise!A:A,0)),N588&lt;=INDEX(Sectorwise!F:F,MATCH(F588,Sectorwise!A:A,0))),1,0)</f>
        <v>0</v>
      </c>
      <c r="R588" s="76">
        <f>IF(N588&gt;INDEX(Sectorwise!F:F,MATCH(F588,Sectorwise!A:A,0)),1,0)</f>
        <v>1</v>
      </c>
      <c r="S588" s="27">
        <f t="shared" si="37"/>
        <v>0</v>
      </c>
      <c r="T588" s="27">
        <f t="shared" si="38"/>
        <v>0</v>
      </c>
      <c r="U588" s="27">
        <f t="shared" si="39"/>
        <v>21248</v>
      </c>
      <c r="V588" s="95">
        <f>IF(R588=1,(N588-INDEX(Sectorwise!F:F,MATCH(F588,Sectorwise!A:A,0))),0)</f>
        <v>9848</v>
      </c>
      <c r="W588" s="97">
        <f>POISSON(N588,INDEX(Sectorwise!D:D,MATCH(Travel!F359,Sectorwise!A:A,0)),TRUE)</f>
        <v>1</v>
      </c>
    </row>
    <row r="589" spans="1:24" ht="15.75" hidden="1" customHeight="1" x14ac:dyDescent="0.2">
      <c r="A589" s="63" t="s">
        <v>1229</v>
      </c>
      <c r="B589" s="63" t="s">
        <v>1230</v>
      </c>
      <c r="C589" s="63"/>
      <c r="E589" s="63" t="s">
        <v>1231</v>
      </c>
      <c r="F589" s="63" t="s">
        <v>2219</v>
      </c>
      <c r="G589" s="63" t="s">
        <v>2314</v>
      </c>
      <c r="H589" s="63" t="s">
        <v>1232</v>
      </c>
      <c r="I589" s="63" t="s">
        <v>1233</v>
      </c>
      <c r="J589" s="65">
        <v>74335</v>
      </c>
      <c r="K589" s="65">
        <v>11865</v>
      </c>
      <c r="L589" s="26">
        <f t="shared" si="36"/>
        <v>86200</v>
      </c>
      <c r="M589" s="26">
        <f t="array" ref="M589">MEDIAN(IF($F$3:$F$810=F589,$L$3:$L$810))</f>
        <v>86200</v>
      </c>
      <c r="N589" s="65">
        <v>86200</v>
      </c>
      <c r="O589" s="62">
        <v>0</v>
      </c>
      <c r="P589" s="76">
        <f>IF(N589&lt;INDEX(Sectorwise!E:E,MATCH(F589,Sectorwise!A:A,0)),1,0)</f>
        <v>0</v>
      </c>
      <c r="Q589" s="76">
        <f>IF(AND(N589&gt;=INDEX(Sectorwise!E:E,MATCH(F589,Sectorwise!A:A,0)),N589&lt;=INDEX(Sectorwise!F:F,MATCH(F589,Sectorwise!A:A,0))),1,0)</f>
        <v>1</v>
      </c>
      <c r="R589" s="76">
        <f>IF(N589&gt;INDEX(Sectorwise!F:F,MATCH(F589,Sectorwise!A:A,0)),1,0)</f>
        <v>0</v>
      </c>
      <c r="S589" s="27">
        <f t="shared" si="37"/>
        <v>0</v>
      </c>
      <c r="T589" s="27">
        <f t="shared" si="38"/>
        <v>86200</v>
      </c>
      <c r="U589" s="27">
        <f t="shared" si="39"/>
        <v>0</v>
      </c>
      <c r="V589" s="95">
        <f>IF(R589=1,(N589-INDEX(Sectorwise!F:F,MATCH(F589,Sectorwise!A:A,0))),0)</f>
        <v>0</v>
      </c>
      <c r="W589" s="97">
        <f>POISSON(N589,INDEX(Sectorwise!D:D,MATCH(Travel!F464,Sectorwise!A:A,0)),TRUE)</f>
        <v>1</v>
      </c>
    </row>
    <row r="590" spans="1:24" ht="15.75" hidden="1" customHeight="1" x14ac:dyDescent="0.2">
      <c r="A590" s="33" t="s">
        <v>306</v>
      </c>
      <c r="B590" s="33" t="s">
        <v>309</v>
      </c>
      <c r="C590" s="40"/>
      <c r="D590" s="35"/>
      <c r="E590" s="63" t="s">
        <v>1231</v>
      </c>
      <c r="F590" s="29" t="s">
        <v>2134</v>
      </c>
      <c r="G590" s="56" t="s">
        <v>2309</v>
      </c>
      <c r="H590" s="33" t="s">
        <v>310</v>
      </c>
      <c r="I590" s="33" t="s">
        <v>298</v>
      </c>
      <c r="J590" s="42">
        <v>4500</v>
      </c>
      <c r="K590" s="45">
        <v>3196</v>
      </c>
      <c r="L590" s="26">
        <f t="shared" si="36"/>
        <v>7696</v>
      </c>
      <c r="M590" s="26">
        <f t="array" ref="M590">MEDIAN(IF($F$3:$F$810=F590,$L$3:$L$810))</f>
        <v>7412.5</v>
      </c>
      <c r="N590" s="43">
        <f>+J590+K590</f>
        <v>7696</v>
      </c>
      <c r="O590" s="38"/>
      <c r="P590" s="76">
        <f>IF(N590&lt;INDEX(Sectorwise!E:E,MATCH(F590,Sectorwise!A:A,0)),1,0)</f>
        <v>0</v>
      </c>
      <c r="Q590" s="76">
        <f>IF(AND(N590&gt;=INDEX(Sectorwise!E:E,MATCH(F590,Sectorwise!A:A,0)),N590&lt;=INDEX(Sectorwise!F:F,MATCH(F590,Sectorwise!A:A,0))),1,0)</f>
        <v>1</v>
      </c>
      <c r="R590" s="76">
        <f>IF(N590&gt;INDEX(Sectorwise!F:F,MATCH(F590,Sectorwise!A:A,0)),1,0)</f>
        <v>0</v>
      </c>
      <c r="S590" s="27">
        <f t="shared" si="37"/>
        <v>0</v>
      </c>
      <c r="T590" s="27">
        <f t="shared" si="38"/>
        <v>7696</v>
      </c>
      <c r="U590" s="27">
        <f t="shared" si="39"/>
        <v>0</v>
      </c>
      <c r="V590" s="95">
        <f>IF(R590=1,(N590-INDEX(Sectorwise!F:F,MATCH(F590,Sectorwise!A:A,0))),0)</f>
        <v>0</v>
      </c>
      <c r="W590" s="97">
        <f>POISSON(N590,INDEX(Sectorwise!D:D,MATCH(Travel!F116,Sectorwise!A:A,0)),TRUE)</f>
        <v>0.99999996342919306</v>
      </c>
      <c r="X590" s="44">
        <f>+N590-O590</f>
        <v>7696</v>
      </c>
    </row>
    <row r="591" spans="1:24" ht="15.75" hidden="1" customHeight="1" x14ac:dyDescent="0.2">
      <c r="A591" s="33" t="s">
        <v>306</v>
      </c>
      <c r="B591" s="33" t="s">
        <v>313</v>
      </c>
      <c r="C591" s="40"/>
      <c r="D591" s="35"/>
      <c r="E591" s="63" t="s">
        <v>1231</v>
      </c>
      <c r="F591" s="21" t="s">
        <v>2135</v>
      </c>
      <c r="G591" s="56" t="s">
        <v>2309</v>
      </c>
      <c r="H591" s="33" t="s">
        <v>314</v>
      </c>
      <c r="I591" s="33" t="s">
        <v>298</v>
      </c>
      <c r="J591" s="42">
        <v>5110</v>
      </c>
      <c r="K591" s="45">
        <v>3313</v>
      </c>
      <c r="L591" s="26">
        <f t="shared" si="36"/>
        <v>8423</v>
      </c>
      <c r="M591" s="26">
        <f t="array" ref="M591">MEDIAN(IF($F$3:$F$810=F591,$L$3:$L$810))</f>
        <v>7234</v>
      </c>
      <c r="N591" s="43">
        <f>+J591+K591</f>
        <v>8423</v>
      </c>
      <c r="O591" s="38"/>
      <c r="P591" s="76">
        <f>IF(N591&lt;INDEX(Sectorwise!E:E,MATCH(F591,Sectorwise!A:A,0)),1,0)</f>
        <v>0</v>
      </c>
      <c r="Q591" s="76">
        <f>IF(AND(N591&gt;=INDEX(Sectorwise!E:E,MATCH(F591,Sectorwise!A:A,0)),N591&lt;=INDEX(Sectorwise!F:F,MATCH(F591,Sectorwise!A:A,0))),1,0)</f>
        <v>0</v>
      </c>
      <c r="R591" s="76">
        <f>IF(N591&gt;INDEX(Sectorwise!F:F,MATCH(F591,Sectorwise!A:A,0)),1,0)</f>
        <v>1</v>
      </c>
      <c r="S591" s="27">
        <f t="shared" si="37"/>
        <v>0</v>
      </c>
      <c r="T591" s="27">
        <f t="shared" si="38"/>
        <v>0</v>
      </c>
      <c r="U591" s="27">
        <f t="shared" si="39"/>
        <v>8423</v>
      </c>
      <c r="V591" s="95">
        <f>IF(R591=1,(N591-INDEX(Sectorwise!F:F,MATCH(F591,Sectorwise!A:A,0))),0)</f>
        <v>423</v>
      </c>
      <c r="W591" s="97">
        <f>POISSON(N591,INDEX(Sectorwise!D:D,MATCH(Travel!F118,Sectorwise!A:A,0)),TRUE)</f>
        <v>3.7213952166567829E-84</v>
      </c>
      <c r="X591" s="44">
        <f>+N591-O591</f>
        <v>8423</v>
      </c>
    </row>
    <row r="592" spans="1:24" ht="15.75" hidden="1" customHeight="1" x14ac:dyDescent="0.2">
      <c r="A592" s="33" t="s">
        <v>358</v>
      </c>
      <c r="B592" s="33" t="s">
        <v>359</v>
      </c>
      <c r="C592" s="40"/>
      <c r="D592" s="35"/>
      <c r="E592" s="63" t="s">
        <v>1231</v>
      </c>
      <c r="F592" s="29" t="s">
        <v>2134</v>
      </c>
      <c r="G592" s="56" t="s">
        <v>2309</v>
      </c>
      <c r="H592" s="33" t="s">
        <v>360</v>
      </c>
      <c r="I592" s="33" t="s">
        <v>361</v>
      </c>
      <c r="J592" s="42">
        <v>4550</v>
      </c>
      <c r="K592" s="45">
        <v>3122</v>
      </c>
      <c r="L592" s="26">
        <f t="shared" si="36"/>
        <v>7672</v>
      </c>
      <c r="M592" s="26">
        <f t="array" ref="M592">MEDIAN(IF($F$3:$F$810=F592,$L$3:$L$810))</f>
        <v>7412.5</v>
      </c>
      <c r="N592" s="43">
        <f>+J592+K592</f>
        <v>7672</v>
      </c>
      <c r="O592" s="38"/>
      <c r="P592" s="76">
        <f>IF(N592&lt;INDEX(Sectorwise!E:E,MATCH(F592,Sectorwise!A:A,0)),1,0)</f>
        <v>0</v>
      </c>
      <c r="Q592" s="76">
        <f>IF(AND(N592&gt;=INDEX(Sectorwise!E:E,MATCH(F592,Sectorwise!A:A,0)),N592&lt;=INDEX(Sectorwise!F:F,MATCH(F592,Sectorwise!A:A,0))),1,0)</f>
        <v>1</v>
      </c>
      <c r="R592" s="76">
        <f>IF(N592&gt;INDEX(Sectorwise!F:F,MATCH(F592,Sectorwise!A:A,0)),1,0)</f>
        <v>0</v>
      </c>
      <c r="S592" s="27">
        <f t="shared" si="37"/>
        <v>0</v>
      </c>
      <c r="T592" s="27">
        <f t="shared" si="38"/>
        <v>7672</v>
      </c>
      <c r="U592" s="27">
        <f t="shared" si="39"/>
        <v>0</v>
      </c>
      <c r="V592" s="95">
        <f>IF(R592=1,(N592-INDEX(Sectorwise!F:F,MATCH(F592,Sectorwise!A:A,0))),0)</f>
        <v>0</v>
      </c>
      <c r="W592" s="97">
        <f>POISSON(N592,INDEX(Sectorwise!D:D,MATCH(Travel!F133,Sectorwise!A:A,0)),TRUE)</f>
        <v>0.99866952951150978</v>
      </c>
      <c r="X592" s="44">
        <f>+N592-O592</f>
        <v>7672</v>
      </c>
    </row>
    <row r="593" spans="1:24" ht="15.75" hidden="1" customHeight="1" x14ac:dyDescent="0.2">
      <c r="A593" s="60" t="s">
        <v>964</v>
      </c>
      <c r="B593" s="60" t="s">
        <v>969</v>
      </c>
      <c r="C593" s="60"/>
      <c r="E593" s="63" t="s">
        <v>1231</v>
      </c>
      <c r="F593" s="29" t="s">
        <v>2134</v>
      </c>
      <c r="G593" s="63" t="s">
        <v>2312</v>
      </c>
      <c r="H593" s="60" t="s">
        <v>971</v>
      </c>
      <c r="I593" s="60" t="s">
        <v>922</v>
      </c>
      <c r="J593" s="61">
        <v>4250</v>
      </c>
      <c r="K593" s="61">
        <v>3105</v>
      </c>
      <c r="L593" s="26">
        <f t="shared" si="36"/>
        <v>7355</v>
      </c>
      <c r="M593" s="26">
        <f t="array" ref="M593">MEDIAN(IF($F$3:$F$810=F593,$L$3:$L$810))</f>
        <v>7412.5</v>
      </c>
      <c r="N593" s="57">
        <f>J593+K593</f>
        <v>7355</v>
      </c>
      <c r="O593" s="62">
        <v>0</v>
      </c>
      <c r="P593" s="76">
        <f>IF(N593&lt;INDEX(Sectorwise!E:E,MATCH(F593,Sectorwise!A:A,0)),1,0)</f>
        <v>0</v>
      </c>
      <c r="Q593" s="76">
        <f>IF(AND(N593&gt;=INDEX(Sectorwise!E:E,MATCH(F593,Sectorwise!A:A,0)),N593&lt;=INDEX(Sectorwise!F:F,MATCH(F593,Sectorwise!A:A,0))),1,0)</f>
        <v>1</v>
      </c>
      <c r="R593" s="76">
        <f>IF(N593&gt;INDEX(Sectorwise!F:F,MATCH(F593,Sectorwise!A:A,0)),1,0)</f>
        <v>0</v>
      </c>
      <c r="S593" s="27">
        <f t="shared" si="37"/>
        <v>0</v>
      </c>
      <c r="T593" s="27">
        <f t="shared" si="38"/>
        <v>7355</v>
      </c>
      <c r="U593" s="27">
        <f t="shared" si="39"/>
        <v>0</v>
      </c>
      <c r="V593" s="95">
        <f>IF(R593=1,(N593-INDEX(Sectorwise!F:F,MATCH(F593,Sectorwise!A:A,0))),0)</f>
        <v>0</v>
      </c>
      <c r="W593" s="97">
        <f>POISSON(N593,INDEX(Sectorwise!D:D,MATCH(Travel!F363,Sectorwise!A:A,0)),TRUE)</f>
        <v>0.92313873764972132</v>
      </c>
    </row>
    <row r="594" spans="1:24" ht="15.75" hidden="1" customHeight="1" x14ac:dyDescent="0.2">
      <c r="A594" s="60" t="s">
        <v>985</v>
      </c>
      <c r="B594" s="60" t="s">
        <v>995</v>
      </c>
      <c r="C594" s="64" t="s">
        <v>996</v>
      </c>
      <c r="E594" s="63" t="s">
        <v>1231</v>
      </c>
      <c r="F594" s="29" t="s">
        <v>2134</v>
      </c>
      <c r="G594" s="56" t="s">
        <v>2309</v>
      </c>
      <c r="H594" s="60" t="s">
        <v>997</v>
      </c>
      <c r="I594" s="60" t="s">
        <v>998</v>
      </c>
      <c r="J594" s="61">
        <v>5540</v>
      </c>
      <c r="K594" s="61">
        <v>1865</v>
      </c>
      <c r="L594" s="26">
        <f t="shared" si="36"/>
        <v>7405</v>
      </c>
      <c r="M594" s="26">
        <f t="array" ref="M594">MEDIAN(IF($F$3:$F$810=F594,$L$3:$L$810))</f>
        <v>7412.5</v>
      </c>
      <c r="N594" s="61">
        <v>14852</v>
      </c>
      <c r="O594" s="62">
        <v>6347</v>
      </c>
      <c r="P594" s="76">
        <f>IF(N594&lt;INDEX(Sectorwise!E:E,MATCH(F594,Sectorwise!A:A,0)),1,0)</f>
        <v>0</v>
      </c>
      <c r="Q594" s="76">
        <f>IF(AND(N594&gt;=INDEX(Sectorwise!E:E,MATCH(F594,Sectorwise!A:A,0)),N594&lt;=INDEX(Sectorwise!F:F,MATCH(F594,Sectorwise!A:A,0))),1,0)</f>
        <v>0</v>
      </c>
      <c r="R594" s="76">
        <f>IF(N594&gt;INDEX(Sectorwise!F:F,MATCH(F594,Sectorwise!A:A,0)),1,0)</f>
        <v>1</v>
      </c>
      <c r="S594" s="27">
        <f t="shared" si="37"/>
        <v>0</v>
      </c>
      <c r="T594" s="27">
        <f t="shared" si="38"/>
        <v>0</v>
      </c>
      <c r="U594" s="27">
        <f t="shared" si="39"/>
        <v>14852</v>
      </c>
      <c r="V594" s="95">
        <f>IF(R594=1,(N594-INDEX(Sectorwise!F:F,MATCH(F594,Sectorwise!A:A,0))),0)</f>
        <v>6652</v>
      </c>
      <c r="W594" s="97">
        <f>POISSON(N594,INDEX(Sectorwise!D:D,MATCH(Travel!F373,Sectorwise!A:A,0)),TRUE)</f>
        <v>1</v>
      </c>
    </row>
    <row r="595" spans="1:24" ht="15.75" hidden="1" customHeight="1" x14ac:dyDescent="0.2">
      <c r="A595" s="33" t="s">
        <v>358</v>
      </c>
      <c r="B595" s="33" t="s">
        <v>359</v>
      </c>
      <c r="C595" s="40"/>
      <c r="D595" s="35"/>
      <c r="E595" s="63" t="s">
        <v>1231</v>
      </c>
      <c r="F595" s="21" t="s">
        <v>2135</v>
      </c>
      <c r="G595" s="69" t="s">
        <v>2308</v>
      </c>
      <c r="H595" s="33" t="s">
        <v>362</v>
      </c>
      <c r="I595" s="33" t="s">
        <v>363</v>
      </c>
      <c r="J595" s="42">
        <v>3720</v>
      </c>
      <c r="K595" s="45">
        <v>3481</v>
      </c>
      <c r="L595" s="26">
        <f t="shared" si="36"/>
        <v>7201</v>
      </c>
      <c r="M595" s="26">
        <f t="array" ref="M595">MEDIAN(IF($F$3:$F$810=F595,$L$3:$L$810))</f>
        <v>7234</v>
      </c>
      <c r="N595" s="43">
        <f>+J595+K595</f>
        <v>7201</v>
      </c>
      <c r="O595" s="38"/>
      <c r="P595" s="76">
        <f>IF(N595&lt;INDEX(Sectorwise!E:E,MATCH(F595,Sectorwise!A:A,0)),1,0)</f>
        <v>0</v>
      </c>
      <c r="Q595" s="76">
        <f>IF(AND(N595&gt;=INDEX(Sectorwise!E:E,MATCH(F595,Sectorwise!A:A,0)),N595&lt;=INDEX(Sectorwise!F:F,MATCH(F595,Sectorwise!A:A,0))),1,0)</f>
        <v>1</v>
      </c>
      <c r="R595" s="76">
        <f>IF(N595&gt;INDEX(Sectorwise!F:F,MATCH(F595,Sectorwise!A:A,0)),1,0)</f>
        <v>0</v>
      </c>
      <c r="S595" s="27">
        <f t="shared" si="37"/>
        <v>0</v>
      </c>
      <c r="T595" s="27">
        <f t="shared" si="38"/>
        <v>7201</v>
      </c>
      <c r="U595" s="27">
        <f t="shared" si="39"/>
        <v>0</v>
      </c>
      <c r="V595" s="95">
        <f>IF(R595=1,(N595-INDEX(Sectorwise!F:F,MATCH(F595,Sectorwise!A:A,0))),0)</f>
        <v>0</v>
      </c>
      <c r="W595" s="97">
        <f>POISSON(N595,INDEX(Sectorwise!D:D,MATCH(Travel!F134,Sectorwise!A:A,0)),TRUE)</f>
        <v>6.9356692112945298E-3</v>
      </c>
      <c r="X595" s="44">
        <f>+N595-O595</f>
        <v>7201</v>
      </c>
    </row>
    <row r="596" spans="1:24" ht="15.75" hidden="1" customHeight="1" x14ac:dyDescent="0.2">
      <c r="A596" s="60" t="s">
        <v>964</v>
      </c>
      <c r="B596" s="60" t="s">
        <v>972</v>
      </c>
      <c r="C596" s="64" t="s">
        <v>973</v>
      </c>
      <c r="E596" s="63" t="s">
        <v>1231</v>
      </c>
      <c r="F596" s="21" t="s">
        <v>2135</v>
      </c>
      <c r="G596" s="63" t="s">
        <v>2312</v>
      </c>
      <c r="H596" s="60" t="s">
        <v>974</v>
      </c>
      <c r="I596" s="60" t="s">
        <v>938</v>
      </c>
      <c r="J596" s="61">
        <v>4700</v>
      </c>
      <c r="K596" s="61">
        <v>3213</v>
      </c>
      <c r="L596" s="26">
        <f t="shared" si="36"/>
        <v>7913</v>
      </c>
      <c r="M596" s="26">
        <f t="array" ref="M596">MEDIAN(IF($F$3:$F$810=F596,$L$3:$L$810))</f>
        <v>7234</v>
      </c>
      <c r="N596" s="61">
        <v>7913</v>
      </c>
      <c r="O596" s="62">
        <v>6763</v>
      </c>
      <c r="P596" s="76">
        <f>IF(N596&lt;INDEX(Sectorwise!E:E,MATCH(F596,Sectorwise!A:A,0)),1,0)</f>
        <v>0</v>
      </c>
      <c r="Q596" s="76">
        <f>IF(AND(N596&gt;=INDEX(Sectorwise!E:E,MATCH(F596,Sectorwise!A:A,0)),N596&lt;=INDEX(Sectorwise!F:F,MATCH(F596,Sectorwise!A:A,0))),1,0)</f>
        <v>1</v>
      </c>
      <c r="R596" s="76">
        <f>IF(N596&gt;INDEX(Sectorwise!F:F,MATCH(F596,Sectorwise!A:A,0)),1,0)</f>
        <v>0</v>
      </c>
      <c r="S596" s="27">
        <f t="shared" si="37"/>
        <v>0</v>
      </c>
      <c r="T596" s="27">
        <f t="shared" si="38"/>
        <v>7913</v>
      </c>
      <c r="U596" s="27">
        <f t="shared" si="39"/>
        <v>0</v>
      </c>
      <c r="V596" s="95">
        <f>IF(R596=1,(N596-INDEX(Sectorwise!F:F,MATCH(F596,Sectorwise!A:A,0))),0)</f>
        <v>0</v>
      </c>
      <c r="W596" s="97">
        <f>POISSON(N596,INDEX(Sectorwise!D:D,MATCH(Travel!F364,Sectorwise!A:A,0)),TRUE)</f>
        <v>0.99999999999999822</v>
      </c>
    </row>
    <row r="597" spans="1:24" ht="15.75" hidden="1" customHeight="1" x14ac:dyDescent="0.2">
      <c r="A597" s="60" t="s">
        <v>985</v>
      </c>
      <c r="B597" s="60" t="s">
        <v>986</v>
      </c>
      <c r="C597" s="60"/>
      <c r="E597" s="63" t="s">
        <v>1231</v>
      </c>
      <c r="F597" s="21" t="s">
        <v>2135</v>
      </c>
      <c r="G597" s="69" t="s">
        <v>2308</v>
      </c>
      <c r="H597" s="60" t="s">
        <v>987</v>
      </c>
      <c r="I597" s="60" t="s">
        <v>938</v>
      </c>
      <c r="J597" s="61">
        <v>3940</v>
      </c>
      <c r="K597" s="61">
        <v>3507</v>
      </c>
      <c r="L597" s="26">
        <f t="shared" si="36"/>
        <v>7447</v>
      </c>
      <c r="M597" s="26">
        <f t="array" ref="M597">MEDIAN(IF($F$3:$F$810=F597,$L$3:$L$810))</f>
        <v>7234</v>
      </c>
      <c r="N597" s="61">
        <v>7447</v>
      </c>
      <c r="O597" s="62">
        <v>0</v>
      </c>
      <c r="P597" s="76">
        <f>IF(N597&lt;INDEX(Sectorwise!E:E,MATCH(F597,Sectorwise!A:A,0)),1,0)</f>
        <v>0</v>
      </c>
      <c r="Q597" s="76">
        <f>IF(AND(N597&gt;=INDEX(Sectorwise!E:E,MATCH(F597,Sectorwise!A:A,0)),N597&lt;=INDEX(Sectorwise!F:F,MATCH(F597,Sectorwise!A:A,0))),1,0)</f>
        <v>1</v>
      </c>
      <c r="R597" s="76">
        <f>IF(N597&gt;INDEX(Sectorwise!F:F,MATCH(F597,Sectorwise!A:A,0)),1,0)</f>
        <v>0</v>
      </c>
      <c r="S597" s="27">
        <f t="shared" si="37"/>
        <v>0</v>
      </c>
      <c r="T597" s="27">
        <f t="shared" si="38"/>
        <v>7447</v>
      </c>
      <c r="U597" s="27">
        <f t="shared" si="39"/>
        <v>0</v>
      </c>
      <c r="V597" s="95">
        <f>IF(R597=1,(N597-INDEX(Sectorwise!F:F,MATCH(F597,Sectorwise!A:A,0))),0)</f>
        <v>0</v>
      </c>
      <c r="W597" s="97">
        <f>POISSON(N597,INDEX(Sectorwise!D:D,MATCH(Travel!F370,Sectorwise!A:A,0)),TRUE)</f>
        <v>0.99378952472491666</v>
      </c>
    </row>
    <row r="598" spans="1:24" ht="15.75" hidden="1" customHeight="1" x14ac:dyDescent="0.2">
      <c r="A598" s="60" t="s">
        <v>985</v>
      </c>
      <c r="B598" s="60" t="s">
        <v>995</v>
      </c>
      <c r="C598" s="60"/>
      <c r="E598" s="63" t="s">
        <v>1231</v>
      </c>
      <c r="F598" s="21" t="s">
        <v>2135</v>
      </c>
      <c r="G598" s="69" t="s">
        <v>2308</v>
      </c>
      <c r="H598" s="60" t="s">
        <v>999</v>
      </c>
      <c r="I598" s="60" t="s">
        <v>998</v>
      </c>
      <c r="J598" s="61">
        <v>3940</v>
      </c>
      <c r="K598" s="61">
        <v>3507</v>
      </c>
      <c r="L598" s="26">
        <f t="shared" si="36"/>
        <v>7447</v>
      </c>
      <c r="M598" s="26">
        <f t="array" ref="M598">MEDIAN(IF($F$3:$F$810=F598,$L$3:$L$810))</f>
        <v>7234</v>
      </c>
      <c r="N598" s="57">
        <f>J598+K598</f>
        <v>7447</v>
      </c>
      <c r="O598" s="62">
        <v>0</v>
      </c>
      <c r="P598" s="76">
        <f>IF(N598&lt;INDEX(Sectorwise!E:E,MATCH(F598,Sectorwise!A:A,0)),1,0)</f>
        <v>0</v>
      </c>
      <c r="Q598" s="76">
        <f>IF(AND(N598&gt;=INDEX(Sectorwise!E:E,MATCH(F598,Sectorwise!A:A,0)),N598&lt;=INDEX(Sectorwise!F:F,MATCH(F598,Sectorwise!A:A,0))),1,0)</f>
        <v>1</v>
      </c>
      <c r="R598" s="76">
        <f>IF(N598&gt;INDEX(Sectorwise!F:F,MATCH(F598,Sectorwise!A:A,0)),1,0)</f>
        <v>0</v>
      </c>
      <c r="S598" s="27">
        <f t="shared" si="37"/>
        <v>0</v>
      </c>
      <c r="T598" s="27">
        <f t="shared" si="38"/>
        <v>7447</v>
      </c>
      <c r="U598" s="27">
        <f t="shared" si="39"/>
        <v>0</v>
      </c>
      <c r="V598" s="95">
        <f>IF(R598=1,(N598-INDEX(Sectorwise!F:F,MATCH(F598,Sectorwise!A:A,0))),0)</f>
        <v>0</v>
      </c>
      <c r="W598" s="97">
        <f>POISSON(N598,INDEX(Sectorwise!D:D,MATCH(Travel!F374,Sectorwise!A:A,0)),TRUE)</f>
        <v>0.99378952472491666</v>
      </c>
    </row>
    <row r="599" spans="1:24" ht="15.75" hidden="1" customHeight="1" x14ac:dyDescent="0.2">
      <c r="A599" s="29" t="s">
        <v>2074</v>
      </c>
      <c r="B599" s="29" t="s">
        <v>2075</v>
      </c>
      <c r="C599" s="29" t="s">
        <v>2076</v>
      </c>
      <c r="E599" s="29" t="s">
        <v>2077</v>
      </c>
      <c r="F599" s="29" t="s">
        <v>2173</v>
      </c>
      <c r="G599" s="69" t="s">
        <v>2308</v>
      </c>
      <c r="H599" s="29" t="s">
        <v>2078</v>
      </c>
      <c r="I599" s="29" t="s">
        <v>2079</v>
      </c>
      <c r="J599" s="65">
        <v>5926</v>
      </c>
      <c r="K599" s="65">
        <v>2634</v>
      </c>
      <c r="L599" s="26">
        <f t="shared" si="36"/>
        <v>8560</v>
      </c>
      <c r="M599" s="26">
        <f t="array" ref="M599">MEDIAN(IF($F$3:$F$810=F599,$L$3:$L$810))</f>
        <v>11722</v>
      </c>
      <c r="N599" s="65">
        <v>8560</v>
      </c>
      <c r="O599" s="65" t="e">
        <f>N599-#REF!</f>
        <v>#REF!</v>
      </c>
      <c r="P599" s="76">
        <f>IF(N599&lt;INDEX(Sectorwise!E:E,MATCH(F599,Sectorwise!A:A,0)),1,0)</f>
        <v>1</v>
      </c>
      <c r="Q599" s="76">
        <f>IF(AND(N599&gt;=INDEX(Sectorwise!E:E,MATCH(F599,Sectorwise!A:A,0)),N599&lt;=INDEX(Sectorwise!F:F,MATCH(F599,Sectorwise!A:A,0))),1,0)</f>
        <v>0</v>
      </c>
      <c r="R599" s="76">
        <f>IF(N599&gt;INDEX(Sectorwise!F:F,MATCH(F599,Sectorwise!A:A,0)),1,0)</f>
        <v>0</v>
      </c>
      <c r="S599" s="27">
        <f t="shared" si="37"/>
        <v>8560</v>
      </c>
      <c r="T599" s="27">
        <f t="shared" si="38"/>
        <v>0</v>
      </c>
      <c r="U599" s="27">
        <f t="shared" si="39"/>
        <v>0</v>
      </c>
      <c r="V599" s="95">
        <f>IF(R599=1,(N599-INDEX(Sectorwise!F:F,MATCH(F599,Sectorwise!A:A,0))),0)</f>
        <v>0</v>
      </c>
      <c r="W599" s="97">
        <f>POISSON(N599,INDEX(Sectorwise!D:D,MATCH(Travel!F789,Sectorwise!A:A,0)),TRUE)</f>
        <v>1</v>
      </c>
    </row>
    <row r="600" spans="1:24" ht="15.75" hidden="1" customHeight="1" x14ac:dyDescent="0.2">
      <c r="A600" s="21" t="s">
        <v>722</v>
      </c>
      <c r="B600" s="24" t="s">
        <v>728</v>
      </c>
      <c r="C600" s="30"/>
      <c r="D600" s="32"/>
      <c r="E600" s="21" t="s">
        <v>729</v>
      </c>
      <c r="F600" s="21" t="s">
        <v>2206</v>
      </c>
      <c r="G600" s="21" t="s">
        <v>2310</v>
      </c>
      <c r="H600" s="21" t="s">
        <v>730</v>
      </c>
      <c r="I600" s="21" t="s">
        <v>731</v>
      </c>
      <c r="J600" s="25">
        <v>90245</v>
      </c>
      <c r="K600" s="25">
        <v>52755</v>
      </c>
      <c r="L600" s="26">
        <f t="shared" si="36"/>
        <v>143000</v>
      </c>
      <c r="M600" s="26">
        <f t="array" ref="M600">MEDIAN(IF($F$3:$F$810=F600,$L$3:$L$810))</f>
        <v>143000</v>
      </c>
      <c r="N600" s="47">
        <v>143000</v>
      </c>
      <c r="O600" s="55"/>
      <c r="P600" s="76">
        <f>IF(N600&lt;INDEX(Sectorwise!E:E,MATCH(F600,Sectorwise!A:A,0)),1,0)</f>
        <v>0</v>
      </c>
      <c r="Q600" s="76">
        <f>IF(AND(N600&gt;=INDEX(Sectorwise!E:E,MATCH(F600,Sectorwise!A:A,0)),N600&lt;=INDEX(Sectorwise!F:F,MATCH(F600,Sectorwise!A:A,0))),1,0)</f>
        <v>1</v>
      </c>
      <c r="R600" s="76">
        <f>IF(N600&gt;INDEX(Sectorwise!F:F,MATCH(F600,Sectorwise!A:A,0)),1,0)</f>
        <v>0</v>
      </c>
      <c r="S600" s="27">
        <f t="shared" si="37"/>
        <v>0</v>
      </c>
      <c r="T600" s="27">
        <f t="shared" si="38"/>
        <v>143000</v>
      </c>
      <c r="U600" s="27">
        <f t="shared" si="39"/>
        <v>0</v>
      </c>
      <c r="V600" s="95">
        <f>IF(R600=1,(N600-INDEX(Sectorwise!F:F,MATCH(F600,Sectorwise!A:A,0))),0)</f>
        <v>0</v>
      </c>
      <c r="W600" s="97">
        <f>POISSON(N600,INDEX(Sectorwise!D:D,MATCH(Travel!F275,Sectorwise!A:A,0)),TRUE)</f>
        <v>1</v>
      </c>
    </row>
    <row r="601" spans="1:24" ht="15.75" hidden="1" customHeight="1" x14ac:dyDescent="0.2">
      <c r="A601" s="21" t="s">
        <v>722</v>
      </c>
      <c r="B601" s="24" t="s">
        <v>728</v>
      </c>
      <c r="C601" s="22"/>
      <c r="D601" s="32"/>
      <c r="E601" s="21" t="s">
        <v>729</v>
      </c>
      <c r="F601" s="21" t="s">
        <v>2218</v>
      </c>
      <c r="G601" s="21" t="s">
        <v>2310</v>
      </c>
      <c r="H601" s="21" t="s">
        <v>732</v>
      </c>
      <c r="I601" s="21" t="s">
        <v>733</v>
      </c>
      <c r="J601" s="25">
        <v>0</v>
      </c>
      <c r="K601" s="25">
        <v>0</v>
      </c>
      <c r="L601" s="26">
        <f t="shared" si="36"/>
        <v>0</v>
      </c>
      <c r="M601" s="26">
        <f t="array" ref="M601">MEDIAN(IF($F$3:$F$810=F601,$L$3:$L$810))</f>
        <v>0</v>
      </c>
      <c r="N601" s="47">
        <v>0</v>
      </c>
      <c r="O601" s="55"/>
      <c r="P601" s="76">
        <f>IF(N601&lt;INDEX(Sectorwise!E:E,MATCH(F601,Sectorwise!A:A,0)),1,0)</f>
        <v>0</v>
      </c>
      <c r="Q601" s="76">
        <f>IF(AND(N601&gt;=INDEX(Sectorwise!E:E,MATCH(F601,Sectorwise!A:A,0)),N601&lt;=INDEX(Sectorwise!F:F,MATCH(F601,Sectorwise!A:A,0))),1,0)</f>
        <v>1</v>
      </c>
      <c r="R601" s="76">
        <f>IF(N601&gt;INDEX(Sectorwise!F:F,MATCH(F601,Sectorwise!A:A,0)),1,0)</f>
        <v>0</v>
      </c>
      <c r="S601" s="27">
        <f t="shared" si="37"/>
        <v>0</v>
      </c>
      <c r="T601" s="27">
        <f t="shared" si="38"/>
        <v>0</v>
      </c>
      <c r="U601" s="27">
        <f t="shared" si="39"/>
        <v>0</v>
      </c>
      <c r="V601" s="95">
        <f>IF(R601=1,(N601-INDEX(Sectorwise!F:F,MATCH(F601,Sectorwise!A:A,0))),0)</f>
        <v>0</v>
      </c>
      <c r="W601" s="97">
        <f>POISSON(N601,INDEX(Sectorwise!D:D,MATCH(Travel!F276,Sectorwise!A:A,0)),TRUE)</f>
        <v>0</v>
      </c>
    </row>
    <row r="602" spans="1:24" ht="15.75" hidden="1" customHeight="1" x14ac:dyDescent="0.2">
      <c r="A602" s="21" t="s">
        <v>722</v>
      </c>
      <c r="B602" s="24" t="s">
        <v>726</v>
      </c>
      <c r="C602" s="22"/>
      <c r="D602" s="32"/>
      <c r="E602" s="21" t="s">
        <v>729</v>
      </c>
      <c r="F602" s="29" t="s">
        <v>2134</v>
      </c>
      <c r="G602" s="33" t="s">
        <v>2321</v>
      </c>
      <c r="H602" s="21" t="s">
        <v>727</v>
      </c>
      <c r="I602" s="21" t="s">
        <v>680</v>
      </c>
      <c r="J602" s="25">
        <v>472</v>
      </c>
      <c r="K602" s="25">
        <v>2394</v>
      </c>
      <c r="L602" s="26">
        <f t="shared" si="36"/>
        <v>2866</v>
      </c>
      <c r="M602" s="26">
        <f t="array" ref="M602">MEDIAN(IF($F$3:$F$810=F602,$L$3:$L$810))</f>
        <v>7412.5</v>
      </c>
      <c r="N602" s="47">
        <v>2866</v>
      </c>
      <c r="O602" s="55"/>
      <c r="P602" s="76">
        <f>IF(N602&lt;INDEX(Sectorwise!E:E,MATCH(F602,Sectorwise!A:A,0)),1,0)</f>
        <v>1</v>
      </c>
      <c r="Q602" s="76">
        <f>IF(AND(N602&gt;=INDEX(Sectorwise!E:E,MATCH(F602,Sectorwise!A:A,0)),N602&lt;=INDEX(Sectorwise!F:F,MATCH(F602,Sectorwise!A:A,0))),1,0)</f>
        <v>0</v>
      </c>
      <c r="R602" s="76">
        <f>IF(N602&gt;INDEX(Sectorwise!F:F,MATCH(F602,Sectorwise!A:A,0)),1,0)</f>
        <v>0</v>
      </c>
      <c r="S602" s="27">
        <f t="shared" si="37"/>
        <v>2866</v>
      </c>
      <c r="T602" s="27">
        <f t="shared" si="38"/>
        <v>0</v>
      </c>
      <c r="U602" s="27">
        <f t="shared" si="39"/>
        <v>0</v>
      </c>
      <c r="V602" s="95">
        <f>IF(R602=1,(N602-INDEX(Sectorwise!F:F,MATCH(F602,Sectorwise!A:A,0))),0)</f>
        <v>0</v>
      </c>
      <c r="W602" s="97">
        <f>POISSON(N602,INDEX(Sectorwise!D:D,MATCH(Travel!F274,Sectorwise!A:A,0)),TRUE)</f>
        <v>0</v>
      </c>
    </row>
    <row r="603" spans="1:24" ht="15.75" hidden="1" customHeight="1" x14ac:dyDescent="0.2">
      <c r="A603" s="63" t="s">
        <v>1082</v>
      </c>
      <c r="B603" s="63" t="s">
        <v>1083</v>
      </c>
      <c r="C603" s="63"/>
      <c r="E603" s="21" t="s">
        <v>729</v>
      </c>
      <c r="F603" s="63" t="s">
        <v>2217</v>
      </c>
      <c r="G603" s="21" t="s">
        <v>2310</v>
      </c>
      <c r="H603" s="63" t="s">
        <v>1084</v>
      </c>
      <c r="I603" s="63" t="s">
        <v>1085</v>
      </c>
      <c r="J603" s="65">
        <v>0</v>
      </c>
      <c r="K603" s="65">
        <v>8800</v>
      </c>
      <c r="L603" s="26">
        <f t="shared" si="36"/>
        <v>8800</v>
      </c>
      <c r="M603" s="26">
        <f t="array" ref="M603">MEDIAN(IF($F$3:$F$810=F603,$L$3:$L$810))</f>
        <v>8800</v>
      </c>
      <c r="N603" s="65">
        <v>8800</v>
      </c>
      <c r="O603" s="62">
        <v>0</v>
      </c>
      <c r="P603" s="76">
        <f>IF(N603&lt;INDEX(Sectorwise!E:E,MATCH(F603,Sectorwise!A:A,0)),1,0)</f>
        <v>0</v>
      </c>
      <c r="Q603" s="76">
        <f>IF(AND(N603&gt;=INDEX(Sectorwise!E:E,MATCH(F603,Sectorwise!A:A,0)),N603&lt;=INDEX(Sectorwise!F:F,MATCH(F603,Sectorwise!A:A,0))),1,0)</f>
        <v>1</v>
      </c>
      <c r="R603" s="76">
        <f>IF(N603&gt;INDEX(Sectorwise!F:F,MATCH(F603,Sectorwise!A:A,0)),1,0)</f>
        <v>0</v>
      </c>
      <c r="S603" s="27">
        <f t="shared" si="37"/>
        <v>0</v>
      </c>
      <c r="T603" s="27">
        <f t="shared" si="38"/>
        <v>8800</v>
      </c>
      <c r="U603" s="27">
        <f t="shared" si="39"/>
        <v>0</v>
      </c>
      <c r="V603" s="95">
        <f>IF(R603=1,(N603-INDEX(Sectorwise!F:F,MATCH(F603,Sectorwise!A:A,0))),0)</f>
        <v>0</v>
      </c>
      <c r="W603" s="97">
        <f>POISSON(N603,INDEX(Sectorwise!D:D,MATCH(Travel!F409,Sectorwise!A:A,0)),TRUE)</f>
        <v>1</v>
      </c>
    </row>
    <row r="604" spans="1:24" ht="15.75" hidden="1" customHeight="1" x14ac:dyDescent="0.2">
      <c r="A604" s="60" t="s">
        <v>1049</v>
      </c>
      <c r="B604" s="60" t="s">
        <v>1053</v>
      </c>
      <c r="C604" s="60"/>
      <c r="E604" s="60" t="s">
        <v>1054</v>
      </c>
      <c r="F604" s="29" t="s">
        <v>2134</v>
      </c>
      <c r="G604" s="56" t="s">
        <v>2309</v>
      </c>
      <c r="H604" s="60" t="s">
        <v>1055</v>
      </c>
      <c r="I604" s="60" t="s">
        <v>1052</v>
      </c>
      <c r="J604" s="61">
        <v>6750</v>
      </c>
      <c r="K604" s="61">
        <v>1932</v>
      </c>
      <c r="L604" s="26">
        <f t="shared" si="36"/>
        <v>8682</v>
      </c>
      <c r="M604" s="26">
        <f t="array" ref="M604">MEDIAN(IF($F$3:$F$810=F604,$L$3:$L$810))</f>
        <v>7412.5</v>
      </c>
      <c r="N604" s="61">
        <v>8682</v>
      </c>
      <c r="O604" s="62">
        <v>0</v>
      </c>
      <c r="P604" s="76">
        <f>IF(N604&lt;INDEX(Sectorwise!E:E,MATCH(F604,Sectorwise!A:A,0)),1,0)</f>
        <v>0</v>
      </c>
      <c r="Q604" s="76">
        <f>IF(AND(N604&gt;=INDEX(Sectorwise!E:E,MATCH(F604,Sectorwise!A:A,0)),N604&lt;=INDEX(Sectorwise!F:F,MATCH(F604,Sectorwise!A:A,0))),1,0)</f>
        <v>0</v>
      </c>
      <c r="R604" s="76">
        <f>IF(N604&gt;INDEX(Sectorwise!F:F,MATCH(F604,Sectorwise!A:A,0)),1,0)</f>
        <v>1</v>
      </c>
      <c r="S604" s="27">
        <f t="shared" si="37"/>
        <v>0</v>
      </c>
      <c r="T604" s="27">
        <f t="shared" si="38"/>
        <v>0</v>
      </c>
      <c r="U604" s="27">
        <f t="shared" si="39"/>
        <v>8682</v>
      </c>
      <c r="V604" s="95">
        <f>IF(R604=1,(N604-INDEX(Sectorwise!F:F,MATCH(F604,Sectorwise!A:A,0))),0)</f>
        <v>482</v>
      </c>
      <c r="W604" s="97">
        <f>POISSON(N604,INDEX(Sectorwise!D:D,MATCH(Travel!F395,Sectorwise!A:A,0)),TRUE)</f>
        <v>0</v>
      </c>
    </row>
    <row r="605" spans="1:24" ht="15.75" hidden="1" customHeight="1" x14ac:dyDescent="0.2">
      <c r="A605" s="60" t="s">
        <v>1049</v>
      </c>
      <c r="B605" s="60" t="s">
        <v>1058</v>
      </c>
      <c r="C605" s="60"/>
      <c r="E605" s="60" t="s">
        <v>1054</v>
      </c>
      <c r="F605" s="21" t="s">
        <v>2135</v>
      </c>
      <c r="G605" s="56" t="s">
        <v>2309</v>
      </c>
      <c r="H605" s="60" t="s">
        <v>1059</v>
      </c>
      <c r="I605" s="60" t="s">
        <v>1052</v>
      </c>
      <c r="J605" s="61">
        <v>5540</v>
      </c>
      <c r="K605" s="61">
        <v>1947</v>
      </c>
      <c r="L605" s="26">
        <f t="shared" si="36"/>
        <v>7487</v>
      </c>
      <c r="M605" s="26">
        <f t="array" ref="M605">MEDIAN(IF($F$3:$F$810=F605,$L$3:$L$810))</f>
        <v>7234</v>
      </c>
      <c r="N605" s="61">
        <v>7487</v>
      </c>
      <c r="O605" s="62">
        <v>0</v>
      </c>
      <c r="P605" s="76">
        <f>IF(N605&lt;INDEX(Sectorwise!E:E,MATCH(F605,Sectorwise!A:A,0)),1,0)</f>
        <v>0</v>
      </c>
      <c r="Q605" s="76">
        <f>IF(AND(N605&gt;=INDEX(Sectorwise!E:E,MATCH(F605,Sectorwise!A:A,0)),N605&lt;=INDEX(Sectorwise!F:F,MATCH(F605,Sectorwise!A:A,0))),1,0)</f>
        <v>1</v>
      </c>
      <c r="R605" s="76">
        <f>IF(N605&gt;INDEX(Sectorwise!F:F,MATCH(F605,Sectorwise!A:A,0)),1,0)</f>
        <v>0</v>
      </c>
      <c r="S605" s="27">
        <f t="shared" si="37"/>
        <v>0</v>
      </c>
      <c r="T605" s="27">
        <f t="shared" si="38"/>
        <v>7487</v>
      </c>
      <c r="U605" s="27">
        <f t="shared" si="39"/>
        <v>0</v>
      </c>
      <c r="V605" s="95">
        <f>IF(R605=1,(N605-INDEX(Sectorwise!F:F,MATCH(F605,Sectorwise!A:A,0))),0)</f>
        <v>0</v>
      </c>
      <c r="W605" s="97">
        <f>POISSON(N605,INDEX(Sectorwise!D:D,MATCH(Travel!F397,Sectorwise!A:A,0)),TRUE)</f>
        <v>0.99848799814603706</v>
      </c>
    </row>
    <row r="606" spans="1:24" ht="15.75" hidden="1" customHeight="1" x14ac:dyDescent="0.2">
      <c r="A606" s="63" t="s">
        <v>1172</v>
      </c>
      <c r="B606" s="63" t="s">
        <v>1186</v>
      </c>
      <c r="C606" s="63"/>
      <c r="E606" s="63" t="s">
        <v>1187</v>
      </c>
      <c r="F606" s="63" t="s">
        <v>2181</v>
      </c>
      <c r="G606" s="63" t="s">
        <v>2312</v>
      </c>
      <c r="H606" s="63" t="s">
        <v>1188</v>
      </c>
      <c r="I606" s="63" t="s">
        <v>1181</v>
      </c>
      <c r="J606" s="65">
        <v>30950</v>
      </c>
      <c r="K606" s="65">
        <v>43880</v>
      </c>
      <c r="L606" s="26">
        <f t="shared" si="36"/>
        <v>74830</v>
      </c>
      <c r="M606" s="26">
        <f t="array" ref="M606">MEDIAN(IF($F$3:$F$810=F606,$L$3:$L$810))</f>
        <v>74830</v>
      </c>
      <c r="N606" s="65">
        <v>74830</v>
      </c>
      <c r="O606" s="62">
        <v>0</v>
      </c>
      <c r="P606" s="76">
        <f>IF(N606&lt;INDEX(Sectorwise!E:E,MATCH(F606,Sectorwise!A:A,0)),1,0)</f>
        <v>0</v>
      </c>
      <c r="Q606" s="76">
        <f>IF(AND(N606&gt;=INDEX(Sectorwise!E:E,MATCH(F606,Sectorwise!A:A,0)),N606&lt;=INDEX(Sectorwise!F:F,MATCH(F606,Sectorwise!A:A,0))),1,0)</f>
        <v>1</v>
      </c>
      <c r="R606" s="76">
        <f>IF(N606&gt;INDEX(Sectorwise!F:F,MATCH(F606,Sectorwise!A:A,0)),1,0)</f>
        <v>0</v>
      </c>
      <c r="S606" s="27">
        <f t="shared" si="37"/>
        <v>0</v>
      </c>
      <c r="T606" s="27">
        <f t="shared" si="38"/>
        <v>74830</v>
      </c>
      <c r="U606" s="27">
        <f t="shared" si="39"/>
        <v>0</v>
      </c>
      <c r="V606" s="95">
        <f>IF(R606=1,(N606-INDEX(Sectorwise!F:F,MATCH(F606,Sectorwise!A:A,0))),0)</f>
        <v>0</v>
      </c>
      <c r="W606" s="97">
        <f>POISSON(N606,INDEX(Sectorwise!D:D,MATCH(Travel!F449,Sectorwise!A:A,0)),TRUE)</f>
        <v>1</v>
      </c>
    </row>
    <row r="607" spans="1:24" ht="15.75" hidden="1" customHeight="1" x14ac:dyDescent="0.2">
      <c r="A607" s="33" t="s">
        <v>236</v>
      </c>
      <c r="B607" s="33" t="s">
        <v>241</v>
      </c>
      <c r="C607" s="40"/>
      <c r="D607" s="35"/>
      <c r="E607" s="33" t="s">
        <v>244</v>
      </c>
      <c r="F607" s="33" t="s">
        <v>2156</v>
      </c>
      <c r="G607" s="69" t="s">
        <v>2308</v>
      </c>
      <c r="H607" s="33" t="s">
        <v>242</v>
      </c>
      <c r="I607" s="33" t="s">
        <v>243</v>
      </c>
      <c r="J607" s="36">
        <v>8256</v>
      </c>
      <c r="K607" s="36">
        <v>1169</v>
      </c>
      <c r="L607" s="26">
        <f t="shared" si="36"/>
        <v>9425</v>
      </c>
      <c r="M607" s="26">
        <f t="array" ref="M607">MEDIAN(IF($F$3:$F$810=F607,$L$3:$L$810))</f>
        <v>9425</v>
      </c>
      <c r="N607" s="41">
        <v>9425</v>
      </c>
      <c r="O607" s="38"/>
      <c r="P607" s="76">
        <f>IF(N607&lt;INDEX(Sectorwise!E:E,MATCH(F607,Sectorwise!A:A,0)),1,0)</f>
        <v>0</v>
      </c>
      <c r="Q607" s="76">
        <f>IF(AND(N607&gt;=INDEX(Sectorwise!E:E,MATCH(F607,Sectorwise!A:A,0)),N607&lt;=INDEX(Sectorwise!F:F,MATCH(F607,Sectorwise!A:A,0))),1,0)</f>
        <v>1</v>
      </c>
      <c r="R607" s="76">
        <f>IF(N607&gt;INDEX(Sectorwise!F:F,MATCH(F607,Sectorwise!A:A,0)),1,0)</f>
        <v>0</v>
      </c>
      <c r="S607" s="27">
        <f t="shared" si="37"/>
        <v>0</v>
      </c>
      <c r="T607" s="27">
        <f t="shared" si="38"/>
        <v>9425</v>
      </c>
      <c r="U607" s="27">
        <f t="shared" si="39"/>
        <v>0</v>
      </c>
      <c r="V607" s="95">
        <f>IF(R607=1,(N607-INDEX(Sectorwise!F:F,MATCH(F607,Sectorwise!A:A,0))),0)</f>
        <v>0</v>
      </c>
      <c r="W607" s="97">
        <f>POISSON(N607,INDEX(Sectorwise!D:D,MATCH(Travel!F92,Sectorwise!A:A,0)),TRUE)</f>
        <v>0</v>
      </c>
      <c r="X607" s="39">
        <f>+N607-O607</f>
        <v>9425</v>
      </c>
    </row>
    <row r="608" spans="1:24" ht="15.75" hidden="1" customHeight="1" x14ac:dyDescent="0.2">
      <c r="A608" s="63" t="s">
        <v>1069</v>
      </c>
      <c r="B608" s="63" t="s">
        <v>1079</v>
      </c>
      <c r="C608" s="63"/>
      <c r="E608" s="63" t="s">
        <v>1081</v>
      </c>
      <c r="F608" s="60" t="s">
        <v>2237</v>
      </c>
      <c r="G608" s="69" t="s">
        <v>2308</v>
      </c>
      <c r="H608" s="63" t="s">
        <v>1080</v>
      </c>
      <c r="I608" s="63" t="s">
        <v>1072</v>
      </c>
      <c r="J608" s="65">
        <v>16848</v>
      </c>
      <c r="K608" s="65">
        <v>2030</v>
      </c>
      <c r="L608" s="26">
        <f t="shared" si="36"/>
        <v>18878</v>
      </c>
      <c r="M608" s="26">
        <f t="array" ref="M608">MEDIAN(IF($F$3:$F$810=F608,$L$3:$L$810))</f>
        <v>19030</v>
      </c>
      <c r="N608" s="57">
        <f>J608+K608</f>
        <v>18878</v>
      </c>
      <c r="O608" s="62">
        <v>0</v>
      </c>
      <c r="P608" s="76">
        <f>IF(N608&lt;INDEX(Sectorwise!E:E,MATCH(F608,Sectorwise!A:A,0)),1,0)</f>
        <v>0</v>
      </c>
      <c r="Q608" s="76">
        <f>IF(AND(N608&gt;=INDEX(Sectorwise!E:E,MATCH(F608,Sectorwise!A:A,0)),N608&lt;=INDEX(Sectorwise!F:F,MATCH(F608,Sectorwise!A:A,0))),1,0)</f>
        <v>1</v>
      </c>
      <c r="R608" s="76">
        <f>IF(N608&gt;INDEX(Sectorwise!F:F,MATCH(F608,Sectorwise!A:A,0)),1,0)</f>
        <v>0</v>
      </c>
      <c r="S608" s="27">
        <f t="shared" si="37"/>
        <v>0</v>
      </c>
      <c r="T608" s="27">
        <f t="shared" si="38"/>
        <v>18878</v>
      </c>
      <c r="U608" s="27">
        <f t="shared" si="39"/>
        <v>0</v>
      </c>
      <c r="V608" s="95">
        <f>IF(R608=1,(N608-INDEX(Sectorwise!F:F,MATCH(F608,Sectorwise!A:A,0))),0)</f>
        <v>0</v>
      </c>
      <c r="W608" s="97">
        <f>POISSON(N608,INDEX(Sectorwise!D:D,MATCH(Travel!F408,Sectorwise!A:A,0)),TRUE)</f>
        <v>1</v>
      </c>
    </row>
    <row r="609" spans="1:24" ht="15.75" hidden="1" customHeight="1" x14ac:dyDescent="0.2">
      <c r="A609" s="69" t="s">
        <v>1994</v>
      </c>
      <c r="B609" s="69" t="s">
        <v>2007</v>
      </c>
      <c r="C609" s="69" t="s">
        <v>2008</v>
      </c>
      <c r="E609" s="69" t="s">
        <v>1081</v>
      </c>
      <c r="F609" s="21" t="s">
        <v>2136</v>
      </c>
      <c r="G609" s="69" t="s">
        <v>2308</v>
      </c>
      <c r="H609" s="69" t="s">
        <v>2009</v>
      </c>
      <c r="I609" s="69" t="s">
        <v>1977</v>
      </c>
      <c r="J609" s="70">
        <v>8534</v>
      </c>
      <c r="K609" s="70">
        <v>1778</v>
      </c>
      <c r="L609" s="26">
        <f t="shared" si="36"/>
        <v>10312</v>
      </c>
      <c r="M609" s="26">
        <f t="array" ref="M609">MEDIAN(IF($F$3:$F$810=F609,$L$3:$L$810))</f>
        <v>14406</v>
      </c>
      <c r="N609" s="70">
        <v>10312</v>
      </c>
      <c r="O609" s="71">
        <v>5000</v>
      </c>
      <c r="P609" s="76">
        <f>IF(N609&lt;INDEX(Sectorwise!E:E,MATCH(F609,Sectorwise!A:A,0)),1,0)</f>
        <v>1</v>
      </c>
      <c r="Q609" s="76">
        <f>IF(AND(N609&gt;=INDEX(Sectorwise!E:E,MATCH(F609,Sectorwise!A:A,0)),N609&lt;=INDEX(Sectorwise!F:F,MATCH(F609,Sectorwise!A:A,0))),1,0)</f>
        <v>0</v>
      </c>
      <c r="R609" s="76">
        <f>IF(N609&gt;INDEX(Sectorwise!F:F,MATCH(F609,Sectorwise!A:A,0)),1,0)</f>
        <v>0</v>
      </c>
      <c r="S609" s="27">
        <f t="shared" si="37"/>
        <v>10312</v>
      </c>
      <c r="T609" s="27">
        <f t="shared" si="38"/>
        <v>0</v>
      </c>
      <c r="U609" s="27">
        <f t="shared" si="39"/>
        <v>0</v>
      </c>
      <c r="V609" s="95">
        <f>IF(R609=1,(N609-INDEX(Sectorwise!F:F,MATCH(F609,Sectorwise!A:A,0))),0)</f>
        <v>0</v>
      </c>
      <c r="W609" s="97">
        <f>POISSON(N609,INDEX(Sectorwise!D:D,MATCH(Travel!F764,Sectorwise!A:A,0)),TRUE)</f>
        <v>0</v>
      </c>
    </row>
    <row r="610" spans="1:24" ht="15.75" hidden="1" customHeight="1" x14ac:dyDescent="0.2">
      <c r="A610" s="63" t="s">
        <v>1172</v>
      </c>
      <c r="B610" s="63" t="s">
        <v>1184</v>
      </c>
      <c r="C610" s="63"/>
      <c r="E610" s="63" t="s">
        <v>1081</v>
      </c>
      <c r="F610" s="21" t="s">
        <v>2147</v>
      </c>
      <c r="G610" s="33" t="s">
        <v>2321</v>
      </c>
      <c r="H610" s="63" t="s">
        <v>1185</v>
      </c>
      <c r="I610" s="63" t="s">
        <v>1181</v>
      </c>
      <c r="J610" s="65">
        <v>8731</v>
      </c>
      <c r="K610" s="65">
        <v>1421</v>
      </c>
      <c r="L610" s="26">
        <f t="shared" si="36"/>
        <v>10152</v>
      </c>
      <c r="M610" s="26">
        <f t="array" ref="M610">MEDIAN(IF($F$3:$F$810=F610,$L$3:$L$810))</f>
        <v>10605</v>
      </c>
      <c r="N610" s="57">
        <f>J610+K610</f>
        <v>10152</v>
      </c>
      <c r="O610" s="62">
        <v>0</v>
      </c>
      <c r="P610" s="76">
        <f>IF(N610&lt;INDEX(Sectorwise!E:E,MATCH(F610,Sectorwise!A:A,0)),1,0)</f>
        <v>0</v>
      </c>
      <c r="Q610" s="76">
        <f>IF(AND(N610&gt;=INDEX(Sectorwise!E:E,MATCH(F610,Sectorwise!A:A,0)),N610&lt;=INDEX(Sectorwise!F:F,MATCH(F610,Sectorwise!A:A,0))),1,0)</f>
        <v>1</v>
      </c>
      <c r="R610" s="76">
        <f>IF(N610&gt;INDEX(Sectorwise!F:F,MATCH(F610,Sectorwise!A:A,0)),1,0)</f>
        <v>0</v>
      </c>
      <c r="S610" s="27">
        <f t="shared" si="37"/>
        <v>0</v>
      </c>
      <c r="T610" s="27">
        <f t="shared" si="38"/>
        <v>10152</v>
      </c>
      <c r="U610" s="27">
        <f t="shared" si="39"/>
        <v>0</v>
      </c>
      <c r="V610" s="95">
        <f>IF(R610=1,(N610-INDEX(Sectorwise!F:F,MATCH(F610,Sectorwise!A:A,0))),0)</f>
        <v>0</v>
      </c>
      <c r="W610" s="97">
        <f>POISSON(N610,INDEX(Sectorwise!D:D,MATCH(Travel!F448,Sectorwise!A:A,0)),TRUE)</f>
        <v>1</v>
      </c>
    </row>
    <row r="611" spans="1:24" ht="15.75" hidden="1" customHeight="1" x14ac:dyDescent="0.2">
      <c r="A611" s="63" t="s">
        <v>1246</v>
      </c>
      <c r="B611" s="63" t="s">
        <v>1259</v>
      </c>
      <c r="C611" s="63"/>
      <c r="E611" s="63" t="s">
        <v>1020</v>
      </c>
      <c r="F611" s="29" t="s">
        <v>2134</v>
      </c>
      <c r="G611" s="60" t="s">
        <v>2316</v>
      </c>
      <c r="H611" s="63" t="s">
        <v>1260</v>
      </c>
      <c r="I611" s="63" t="s">
        <v>1261</v>
      </c>
      <c r="J611" s="65">
        <v>4400</v>
      </c>
      <c r="K611" s="65">
        <v>3468</v>
      </c>
      <c r="L611" s="26">
        <f t="shared" si="36"/>
        <v>7868</v>
      </c>
      <c r="M611" s="26">
        <f t="array" ref="M611">MEDIAN(IF($F$3:$F$810=F611,$L$3:$L$810))</f>
        <v>7412.5</v>
      </c>
      <c r="N611" s="65">
        <v>7868</v>
      </c>
      <c r="O611" s="62">
        <v>0</v>
      </c>
      <c r="P611" s="76">
        <f>IF(N611&lt;INDEX(Sectorwise!E:E,MATCH(F611,Sectorwise!A:A,0)),1,0)</f>
        <v>0</v>
      </c>
      <c r="Q611" s="76">
        <f>IF(AND(N611&gt;=INDEX(Sectorwise!E:E,MATCH(F611,Sectorwise!A:A,0)),N611&lt;=INDEX(Sectorwise!F:F,MATCH(F611,Sectorwise!A:A,0))),1,0)</f>
        <v>1</v>
      </c>
      <c r="R611" s="76">
        <f>IF(N611&gt;INDEX(Sectorwise!F:F,MATCH(F611,Sectorwise!A:A,0)),1,0)</f>
        <v>0</v>
      </c>
      <c r="S611" s="27">
        <f t="shared" si="37"/>
        <v>0</v>
      </c>
      <c r="T611" s="27">
        <f t="shared" si="38"/>
        <v>7868</v>
      </c>
      <c r="U611" s="27">
        <f t="shared" si="39"/>
        <v>0</v>
      </c>
      <c r="V611" s="95">
        <f>IF(R611=1,(N611-INDEX(Sectorwise!F:F,MATCH(F611,Sectorwise!A:A,0))),0)</f>
        <v>0</v>
      </c>
      <c r="W611" s="97">
        <f>POISSON(N611,INDEX(Sectorwise!D:D,MATCH(Travel!F474,Sectorwise!A:A,0)),TRUE)</f>
        <v>0.99999992201964716</v>
      </c>
    </row>
    <row r="612" spans="1:24" ht="15.75" hidden="1" customHeight="1" x14ac:dyDescent="0.2">
      <c r="A612" s="63" t="s">
        <v>1560</v>
      </c>
      <c r="B612" s="63" t="s">
        <v>1564</v>
      </c>
      <c r="C612" s="63"/>
      <c r="E612" s="63" t="s">
        <v>1020</v>
      </c>
      <c r="F612" s="29" t="s">
        <v>2134</v>
      </c>
      <c r="G612" s="60" t="s">
        <v>2316</v>
      </c>
      <c r="H612" s="63" t="s">
        <v>1566</v>
      </c>
      <c r="I612" s="63" t="s">
        <v>1516</v>
      </c>
      <c r="J612" s="65">
        <v>4400</v>
      </c>
      <c r="K612" s="65">
        <v>3468</v>
      </c>
      <c r="L612" s="26">
        <f t="shared" si="36"/>
        <v>7868</v>
      </c>
      <c r="M612" s="26">
        <f t="array" ref="M612">MEDIAN(IF($F$3:$F$810=F612,$L$3:$L$810))</f>
        <v>7412.5</v>
      </c>
      <c r="N612" s="57">
        <f>J612+K612</f>
        <v>7868</v>
      </c>
      <c r="O612" s="62">
        <v>0</v>
      </c>
      <c r="P612" s="76">
        <f>IF(N612&lt;INDEX(Sectorwise!E:E,MATCH(F612,Sectorwise!A:A,0)),1,0)</f>
        <v>0</v>
      </c>
      <c r="Q612" s="76">
        <f>IF(AND(N612&gt;=INDEX(Sectorwise!E:E,MATCH(F612,Sectorwise!A:A,0)),N612&lt;=INDEX(Sectorwise!F:F,MATCH(F612,Sectorwise!A:A,0))),1,0)</f>
        <v>1</v>
      </c>
      <c r="R612" s="76">
        <f>IF(N612&gt;INDEX(Sectorwise!F:F,MATCH(F612,Sectorwise!A:A,0)),1,0)</f>
        <v>0</v>
      </c>
      <c r="S612" s="27">
        <f t="shared" si="37"/>
        <v>0</v>
      </c>
      <c r="T612" s="27">
        <f t="shared" si="38"/>
        <v>7868</v>
      </c>
      <c r="U612" s="27">
        <f t="shared" si="39"/>
        <v>0</v>
      </c>
      <c r="V612" s="95">
        <f>IF(R612=1,(N612-INDEX(Sectorwise!F:F,MATCH(F612,Sectorwise!A:A,0))),0)</f>
        <v>0</v>
      </c>
      <c r="W612" s="97">
        <f>POISSON(N612,INDEX(Sectorwise!D:D,MATCH(Travel!F593,Sectorwise!A:A,0)),TRUE)</f>
        <v>0.99999992201964716</v>
      </c>
    </row>
    <row r="613" spans="1:24" ht="15.75" hidden="1" customHeight="1" x14ac:dyDescent="0.2">
      <c r="A613" s="60" t="s">
        <v>1015</v>
      </c>
      <c r="B613" s="60" t="s">
        <v>1016</v>
      </c>
      <c r="C613" s="60"/>
      <c r="E613" s="60" t="s">
        <v>1020</v>
      </c>
      <c r="F613" s="33" t="s">
        <v>2171</v>
      </c>
      <c r="G613" s="56" t="s">
        <v>2309</v>
      </c>
      <c r="H613" s="60" t="s">
        <v>1021</v>
      </c>
      <c r="I613" s="60" t="s">
        <v>1018</v>
      </c>
      <c r="J613" s="61">
        <v>3600</v>
      </c>
      <c r="K613" s="61">
        <v>1442</v>
      </c>
      <c r="L613" s="26">
        <f t="shared" si="36"/>
        <v>5042</v>
      </c>
      <c r="M613" s="26">
        <f t="array" ref="M613">MEDIAN(IF($F$3:$F$810=F613,$L$3:$L$810))</f>
        <v>5042</v>
      </c>
      <c r="N613" s="57">
        <f>J613+K613</f>
        <v>5042</v>
      </c>
      <c r="O613" s="62">
        <v>0</v>
      </c>
      <c r="P613" s="76">
        <f>IF(N613&lt;INDEX(Sectorwise!E:E,MATCH(F613,Sectorwise!A:A,0)),1,0)</f>
        <v>0</v>
      </c>
      <c r="Q613" s="76">
        <f>IF(AND(N613&gt;=INDEX(Sectorwise!E:E,MATCH(F613,Sectorwise!A:A,0)),N613&lt;=INDEX(Sectorwise!F:F,MATCH(F613,Sectorwise!A:A,0))),1,0)</f>
        <v>1</v>
      </c>
      <c r="R613" s="76">
        <f>IF(N613&gt;INDEX(Sectorwise!F:F,MATCH(F613,Sectorwise!A:A,0)),1,0)</f>
        <v>0</v>
      </c>
      <c r="S613" s="27">
        <f t="shared" si="37"/>
        <v>0</v>
      </c>
      <c r="T613" s="27">
        <f t="shared" si="38"/>
        <v>5042</v>
      </c>
      <c r="U613" s="27">
        <f t="shared" si="39"/>
        <v>0</v>
      </c>
      <c r="V613" s="95">
        <f>IF(R613=1,(N613-INDEX(Sectorwise!F:F,MATCH(F613,Sectorwise!A:A,0))),0)</f>
        <v>0</v>
      </c>
      <c r="W613" s="97">
        <f>POISSON(N613,INDEX(Sectorwise!D:D,MATCH(Travel!F382,Sectorwise!A:A,0)),TRUE)</f>
        <v>0</v>
      </c>
    </row>
    <row r="614" spans="1:24" ht="15.75" hidden="1" customHeight="1" x14ac:dyDescent="0.2">
      <c r="A614" s="63" t="s">
        <v>1560</v>
      </c>
      <c r="B614" s="63" t="s">
        <v>1564</v>
      </c>
      <c r="C614" s="63"/>
      <c r="E614" s="63" t="s">
        <v>1020</v>
      </c>
      <c r="F614" s="21" t="s">
        <v>2135</v>
      </c>
      <c r="G614" s="63" t="s">
        <v>2312</v>
      </c>
      <c r="H614" s="63" t="s">
        <v>1565</v>
      </c>
      <c r="I614" s="63" t="s">
        <v>1516</v>
      </c>
      <c r="J614" s="65">
        <v>4820</v>
      </c>
      <c r="K614" s="65">
        <v>3219</v>
      </c>
      <c r="L614" s="26">
        <f t="shared" si="36"/>
        <v>8039</v>
      </c>
      <c r="M614" s="26">
        <f t="array" ref="M614">MEDIAN(IF($F$3:$F$810=F614,$L$3:$L$810))</f>
        <v>7234</v>
      </c>
      <c r="N614" s="65">
        <v>15907</v>
      </c>
      <c r="O614" s="62">
        <v>0</v>
      </c>
      <c r="P614" s="76">
        <f>IF(N614&lt;INDEX(Sectorwise!E:E,MATCH(F614,Sectorwise!A:A,0)),1,0)</f>
        <v>0</v>
      </c>
      <c r="Q614" s="76">
        <f>IF(AND(N614&gt;=INDEX(Sectorwise!E:E,MATCH(F614,Sectorwise!A:A,0)),N614&lt;=INDEX(Sectorwise!F:F,MATCH(F614,Sectorwise!A:A,0))),1,0)</f>
        <v>0</v>
      </c>
      <c r="R614" s="76">
        <f>IF(N614&gt;INDEX(Sectorwise!F:F,MATCH(F614,Sectorwise!A:A,0)),1,0)</f>
        <v>1</v>
      </c>
      <c r="S614" s="27">
        <f t="shared" si="37"/>
        <v>0</v>
      </c>
      <c r="T614" s="27">
        <f t="shared" si="38"/>
        <v>0</v>
      </c>
      <c r="U614" s="27">
        <f t="shared" si="39"/>
        <v>15907</v>
      </c>
      <c r="V614" s="95">
        <f>IF(R614=1,(N614-INDEX(Sectorwise!F:F,MATCH(F614,Sectorwise!A:A,0))),0)</f>
        <v>7907</v>
      </c>
      <c r="W614" s="97">
        <f>POISSON(N614,INDEX(Sectorwise!D:D,MATCH(Travel!F592,Sectorwise!A:A,0)),TRUE)</f>
        <v>1</v>
      </c>
    </row>
    <row r="615" spans="1:24" ht="15.75" hidden="1" customHeight="1" x14ac:dyDescent="0.2">
      <c r="A615" s="60" t="s">
        <v>1015</v>
      </c>
      <c r="B615" s="60" t="s">
        <v>1016</v>
      </c>
      <c r="C615" s="60"/>
      <c r="E615" s="60" t="s">
        <v>1020</v>
      </c>
      <c r="F615" s="60" t="s">
        <v>2214</v>
      </c>
      <c r="G615" s="33" t="s">
        <v>2321</v>
      </c>
      <c r="H615" s="60" t="s">
        <v>1022</v>
      </c>
      <c r="I615" s="60" t="s">
        <v>1018</v>
      </c>
      <c r="J615" s="61">
        <v>2205</v>
      </c>
      <c r="K615" s="61">
        <v>2668</v>
      </c>
      <c r="L615" s="26">
        <f t="shared" si="36"/>
        <v>4873</v>
      </c>
      <c r="M615" s="26">
        <f t="array" ref="M615">MEDIAN(IF($F$3:$F$810=F615,$L$3:$L$810))</f>
        <v>4873</v>
      </c>
      <c r="N615" s="57">
        <f>J615+K615</f>
        <v>4873</v>
      </c>
      <c r="O615" s="62">
        <v>0</v>
      </c>
      <c r="P615" s="76">
        <f>IF(N615&lt;INDEX(Sectorwise!E:E,MATCH(F615,Sectorwise!A:A,0)),1,0)</f>
        <v>0</v>
      </c>
      <c r="Q615" s="76">
        <f>IF(AND(N615&gt;=INDEX(Sectorwise!E:E,MATCH(F615,Sectorwise!A:A,0)),N615&lt;=INDEX(Sectorwise!F:F,MATCH(F615,Sectorwise!A:A,0))),1,0)</f>
        <v>1</v>
      </c>
      <c r="R615" s="76">
        <f>IF(N615&gt;INDEX(Sectorwise!F:F,MATCH(F615,Sectorwise!A:A,0)),1,0)</f>
        <v>0</v>
      </c>
      <c r="S615" s="27">
        <f t="shared" si="37"/>
        <v>0</v>
      </c>
      <c r="T615" s="27">
        <f t="shared" si="38"/>
        <v>4873</v>
      </c>
      <c r="U615" s="27">
        <f t="shared" si="39"/>
        <v>0</v>
      </c>
      <c r="V615" s="95">
        <f>IF(R615=1,(N615-INDEX(Sectorwise!F:F,MATCH(F615,Sectorwise!A:A,0))),0)</f>
        <v>0</v>
      </c>
      <c r="W615" s="97">
        <f>POISSON(N615,INDEX(Sectorwise!D:D,MATCH(Travel!F383,Sectorwise!A:A,0)),TRUE)</f>
        <v>0</v>
      </c>
    </row>
    <row r="616" spans="1:24" ht="15.75" hidden="1" customHeight="1" x14ac:dyDescent="0.2">
      <c r="A616" s="21" t="s">
        <v>108</v>
      </c>
      <c r="B616" s="21" t="s">
        <v>109</v>
      </c>
      <c r="C616" s="22"/>
      <c r="D616" s="23" t="s">
        <v>16</v>
      </c>
      <c r="E616" s="21" t="s">
        <v>113</v>
      </c>
      <c r="F616" s="21" t="s">
        <v>2170</v>
      </c>
      <c r="G616" s="60" t="s">
        <v>2316</v>
      </c>
      <c r="H616" s="21" t="s">
        <v>114</v>
      </c>
      <c r="I616" s="21" t="s">
        <v>43</v>
      </c>
      <c r="J616" s="25">
        <v>9800</v>
      </c>
      <c r="K616" s="26">
        <v>10022</v>
      </c>
      <c r="L616" s="26">
        <f t="shared" si="36"/>
        <v>19822</v>
      </c>
      <c r="M616" s="26">
        <f t="array" ref="M616">MEDIAN(IF($F$3:$F$810=F616,$L$3:$L$810))</f>
        <v>19822</v>
      </c>
      <c r="N616" s="26">
        <v>19822</v>
      </c>
      <c r="O616" s="27"/>
      <c r="P616" s="76">
        <f>IF(N616&lt;INDEX(Sectorwise!E:E,MATCH(F616,Sectorwise!A:A,0)),1,0)</f>
        <v>0</v>
      </c>
      <c r="Q616" s="76">
        <f>IF(AND(N616&gt;=INDEX(Sectorwise!E:E,MATCH(F616,Sectorwise!A:A,0)),N616&lt;=INDEX(Sectorwise!F:F,MATCH(F616,Sectorwise!A:A,0))),1,0)</f>
        <v>1</v>
      </c>
      <c r="R616" s="76">
        <f>IF(N616&gt;INDEX(Sectorwise!F:F,MATCH(F616,Sectorwise!A:A,0)),1,0)</f>
        <v>0</v>
      </c>
      <c r="S616" s="27">
        <f t="shared" si="37"/>
        <v>0</v>
      </c>
      <c r="T616" s="27">
        <f t="shared" si="38"/>
        <v>19822</v>
      </c>
      <c r="U616" s="27">
        <f t="shared" si="39"/>
        <v>0</v>
      </c>
      <c r="V616" s="95">
        <f>IF(R616=1,(N616-INDEX(Sectorwise!F:F,MATCH(F616,Sectorwise!A:A,0))),0)</f>
        <v>0</v>
      </c>
      <c r="W616" s="97">
        <f>POISSON(N616,INDEX(Sectorwise!D:D,MATCH(Travel!F37,Sectorwise!A:A,0)),TRUE)</f>
        <v>1</v>
      </c>
      <c r="X616" s="28">
        <v>19822</v>
      </c>
    </row>
    <row r="617" spans="1:24" ht="15.75" hidden="1" customHeight="1" x14ac:dyDescent="0.2">
      <c r="A617" s="29" t="s">
        <v>2098</v>
      </c>
      <c r="B617" s="29" t="s">
        <v>2111</v>
      </c>
      <c r="C617" s="29"/>
      <c r="E617" s="29" t="s">
        <v>2112</v>
      </c>
      <c r="F617" s="29" t="s">
        <v>2134</v>
      </c>
      <c r="G617" s="69" t="s">
        <v>2308</v>
      </c>
      <c r="H617" s="29" t="s">
        <v>2113</v>
      </c>
      <c r="I617" s="29" t="s">
        <v>2088</v>
      </c>
      <c r="J617" s="65">
        <v>4223</v>
      </c>
      <c r="K617" s="65">
        <v>846</v>
      </c>
      <c r="L617" s="26">
        <f t="shared" si="36"/>
        <v>5069</v>
      </c>
      <c r="M617" s="26">
        <f t="array" ref="M617">MEDIAN(IF($F$3:$F$810=F617,$L$3:$L$810))</f>
        <v>7412.5</v>
      </c>
      <c r="N617" s="65">
        <v>5069</v>
      </c>
      <c r="O617" s="65" t="e">
        <f>N617-#REF!</f>
        <v>#REF!</v>
      </c>
      <c r="P617" s="76">
        <f>IF(N617&lt;INDEX(Sectorwise!E:E,MATCH(F617,Sectorwise!A:A,0)),1,0)</f>
        <v>1</v>
      </c>
      <c r="Q617" s="76">
        <f>IF(AND(N617&gt;=INDEX(Sectorwise!E:E,MATCH(F617,Sectorwise!A:A,0)),N617&lt;=INDEX(Sectorwise!F:F,MATCH(F617,Sectorwise!A:A,0))),1,0)</f>
        <v>0</v>
      </c>
      <c r="R617" s="76">
        <f>IF(N617&gt;INDEX(Sectorwise!F:F,MATCH(F617,Sectorwise!A:A,0)),1,0)</f>
        <v>0</v>
      </c>
      <c r="S617" s="27">
        <f t="shared" si="37"/>
        <v>5069</v>
      </c>
      <c r="T617" s="27">
        <f t="shared" si="38"/>
        <v>0</v>
      </c>
      <c r="U617" s="27">
        <f t="shared" si="39"/>
        <v>0</v>
      </c>
      <c r="V617" s="95">
        <f>IF(R617=1,(N617-INDEX(Sectorwise!F:F,MATCH(F617,Sectorwise!A:A,0))),0)</f>
        <v>0</v>
      </c>
      <c r="W617" s="97">
        <f>POISSON(N617,INDEX(Sectorwise!D:D,MATCH(Travel!F802,Sectorwise!A:A,0)),TRUE)</f>
        <v>0</v>
      </c>
    </row>
    <row r="618" spans="1:24" ht="15.75" hidden="1" customHeight="1" x14ac:dyDescent="0.2">
      <c r="A618" s="29" t="s">
        <v>2123</v>
      </c>
      <c r="B618" s="29" t="s">
        <v>2124</v>
      </c>
      <c r="C618" s="29"/>
      <c r="E618" s="29" t="s">
        <v>2112</v>
      </c>
      <c r="F618" s="21" t="s">
        <v>2135</v>
      </c>
      <c r="G618" s="69" t="s">
        <v>2308</v>
      </c>
      <c r="H618" s="29" t="s">
        <v>2125</v>
      </c>
      <c r="I618" s="29" t="s">
        <v>2040</v>
      </c>
      <c r="J618" s="65">
        <v>4273</v>
      </c>
      <c r="K618" s="65">
        <v>933</v>
      </c>
      <c r="L618" s="26">
        <f t="shared" si="36"/>
        <v>5206</v>
      </c>
      <c r="M618" s="26">
        <f t="array" ref="M618">MEDIAN(IF($F$3:$F$810=F618,$L$3:$L$810))</f>
        <v>7234</v>
      </c>
      <c r="N618" s="65">
        <v>5206</v>
      </c>
      <c r="O618" s="65" t="e">
        <f>N618-#REF!</f>
        <v>#REF!</v>
      </c>
      <c r="P618" s="76">
        <f>IF(N618&lt;INDEX(Sectorwise!E:E,MATCH(F618,Sectorwise!A:A,0)),1,0)</f>
        <v>1</v>
      </c>
      <c r="Q618" s="76">
        <f>IF(AND(N618&gt;=INDEX(Sectorwise!E:E,MATCH(F618,Sectorwise!A:A,0)),N618&lt;=INDEX(Sectorwise!F:F,MATCH(F618,Sectorwise!A:A,0))),1,0)</f>
        <v>0</v>
      </c>
      <c r="R618" s="76">
        <f>IF(N618&gt;INDEX(Sectorwise!F:F,MATCH(F618,Sectorwise!A:A,0)),1,0)</f>
        <v>0</v>
      </c>
      <c r="S618" s="27">
        <f t="shared" si="37"/>
        <v>5206</v>
      </c>
      <c r="T618" s="27">
        <f t="shared" si="38"/>
        <v>0</v>
      </c>
      <c r="U618" s="27">
        <f t="shared" si="39"/>
        <v>0</v>
      </c>
      <c r="V618" s="95">
        <f>IF(R618=1,(N618-INDEX(Sectorwise!F:F,MATCH(F618,Sectorwise!A:A,0))),0)</f>
        <v>0</v>
      </c>
      <c r="W618" s="97">
        <f>POISSON(N618,INDEX(Sectorwise!D:D,MATCH(Travel!F808,Sectorwise!A:A,0)),TRUE)</f>
        <v>0</v>
      </c>
    </row>
    <row r="619" spans="1:24" ht="15.75" hidden="1" customHeight="1" x14ac:dyDescent="0.2">
      <c r="A619" s="63" t="s">
        <v>1916</v>
      </c>
      <c r="B619" s="63" t="s">
        <v>1917</v>
      </c>
      <c r="C619" s="63"/>
      <c r="E619" s="63" t="s">
        <v>1918</v>
      </c>
      <c r="F619" s="63" t="s">
        <v>1919</v>
      </c>
      <c r="G619" s="63" t="s">
        <v>2333</v>
      </c>
      <c r="H619" s="63" t="s">
        <v>1581</v>
      </c>
      <c r="I619" s="63" t="s">
        <v>41</v>
      </c>
      <c r="J619" s="65">
        <v>3375</v>
      </c>
      <c r="K619" s="65">
        <v>625</v>
      </c>
      <c r="L619" s="26">
        <f t="shared" si="36"/>
        <v>4000</v>
      </c>
      <c r="M619" s="26">
        <f t="array" ref="M619">MEDIAN(IF($F$3:$F$810=F619,$L$3:$L$810))</f>
        <v>4000</v>
      </c>
      <c r="N619" s="65">
        <v>4000</v>
      </c>
      <c r="O619" s="62">
        <v>0</v>
      </c>
      <c r="P619" s="76">
        <f>IF(N619&lt;INDEX(Sectorwise!E:E,MATCH(F619,Sectorwise!A:A,0)),1,0)</f>
        <v>0</v>
      </c>
      <c r="Q619" s="76">
        <f>IF(AND(N619&gt;=INDEX(Sectorwise!E:E,MATCH(F619,Sectorwise!A:A,0)),N619&lt;=INDEX(Sectorwise!F:F,MATCH(F619,Sectorwise!A:A,0))),1,0)</f>
        <v>1</v>
      </c>
      <c r="R619" s="76">
        <f>IF(N619&gt;INDEX(Sectorwise!F:F,MATCH(F619,Sectorwise!A:A,0)),1,0)</f>
        <v>0</v>
      </c>
      <c r="S619" s="27">
        <f t="shared" si="37"/>
        <v>0</v>
      </c>
      <c r="T619" s="27">
        <f t="shared" si="38"/>
        <v>4000</v>
      </c>
      <c r="U619" s="27">
        <f t="shared" si="39"/>
        <v>0</v>
      </c>
      <c r="V619" s="95">
        <f>IF(R619=1,(N619-INDEX(Sectorwise!F:F,MATCH(F619,Sectorwise!A:A,0))),0)</f>
        <v>0</v>
      </c>
      <c r="W619" s="97">
        <f>POISSON(N619,INDEX(Sectorwise!D:D,MATCH(Travel!F730,Sectorwise!A:A,0)),TRUE)</f>
        <v>0</v>
      </c>
    </row>
    <row r="620" spans="1:24" ht="15.75" hidden="1" customHeight="1" x14ac:dyDescent="0.2">
      <c r="A620" s="21" t="s">
        <v>102</v>
      </c>
      <c r="B620" s="21" t="s">
        <v>103</v>
      </c>
      <c r="C620" s="22"/>
      <c r="D620" s="23" t="s">
        <v>16</v>
      </c>
      <c r="E620" s="21" t="s">
        <v>104</v>
      </c>
      <c r="F620" s="21" t="s">
        <v>2240</v>
      </c>
      <c r="G620" s="33" t="s">
        <v>2332</v>
      </c>
      <c r="H620" s="21" t="s">
        <v>105</v>
      </c>
      <c r="I620" s="21" t="s">
        <v>56</v>
      </c>
      <c r="J620" s="25">
        <v>637</v>
      </c>
      <c r="K620" s="26">
        <v>112</v>
      </c>
      <c r="L620" s="26">
        <f t="shared" si="36"/>
        <v>749</v>
      </c>
      <c r="M620" s="26">
        <f t="array" ref="M620">MEDIAN(IF($F$3:$F$810=F620,$L$3:$L$810))</f>
        <v>749</v>
      </c>
      <c r="N620" s="26">
        <v>749</v>
      </c>
      <c r="O620" s="27"/>
      <c r="P620" s="76">
        <f>IF(N620&lt;INDEX(Sectorwise!E:E,MATCH(F620,Sectorwise!A:A,0)),1,0)</f>
        <v>0</v>
      </c>
      <c r="Q620" s="76">
        <f>IF(AND(N620&gt;=INDEX(Sectorwise!E:E,MATCH(F620,Sectorwise!A:A,0)),N620&lt;=INDEX(Sectorwise!F:F,MATCH(F620,Sectorwise!A:A,0))),1,0)</f>
        <v>1</v>
      </c>
      <c r="R620" s="76">
        <f>IF(N620&gt;INDEX(Sectorwise!F:F,MATCH(F620,Sectorwise!A:A,0)),1,0)</f>
        <v>0</v>
      </c>
      <c r="S620" s="27">
        <f t="shared" si="37"/>
        <v>0</v>
      </c>
      <c r="T620" s="27">
        <f t="shared" si="38"/>
        <v>749</v>
      </c>
      <c r="U620" s="27">
        <f t="shared" si="39"/>
        <v>0</v>
      </c>
      <c r="V620" s="95">
        <f>IF(R620=1,(N620-INDEX(Sectorwise!F:F,MATCH(F620,Sectorwise!A:A,0))),0)</f>
        <v>0</v>
      </c>
      <c r="W620" s="97">
        <f>POISSON(N620,INDEX(Sectorwise!D:D,MATCH(Travel!F33,Sectorwise!A:A,0)),TRUE)</f>
        <v>0</v>
      </c>
      <c r="X620" s="28">
        <v>749</v>
      </c>
    </row>
    <row r="621" spans="1:24" ht="15.75" hidden="1" customHeight="1" x14ac:dyDescent="0.2">
      <c r="A621" s="21" t="s">
        <v>102</v>
      </c>
      <c r="B621" s="21" t="s">
        <v>103</v>
      </c>
      <c r="C621" s="22"/>
      <c r="D621" s="23" t="s">
        <v>16</v>
      </c>
      <c r="E621" s="21" t="s">
        <v>104</v>
      </c>
      <c r="F621" s="21" t="s">
        <v>2241</v>
      </c>
      <c r="G621" s="33" t="s">
        <v>2332</v>
      </c>
      <c r="H621" s="21" t="s">
        <v>106</v>
      </c>
      <c r="I621" s="21" t="s">
        <v>107</v>
      </c>
      <c r="J621" s="25">
        <v>712</v>
      </c>
      <c r="K621" s="26">
        <v>112</v>
      </c>
      <c r="L621" s="26">
        <f t="shared" si="36"/>
        <v>824</v>
      </c>
      <c r="M621" s="26">
        <f t="array" ref="M621">MEDIAN(IF($F$3:$F$810=F621,$L$3:$L$810))</f>
        <v>824</v>
      </c>
      <c r="N621" s="26">
        <v>824</v>
      </c>
      <c r="O621" s="27"/>
      <c r="P621" s="76">
        <f>IF(N621&lt;INDEX(Sectorwise!E:E,MATCH(F621,Sectorwise!A:A,0)),1,0)</f>
        <v>0</v>
      </c>
      <c r="Q621" s="76">
        <f>IF(AND(N621&gt;=INDEX(Sectorwise!E:E,MATCH(F621,Sectorwise!A:A,0)),N621&lt;=INDEX(Sectorwise!F:F,MATCH(F621,Sectorwise!A:A,0))),1,0)</f>
        <v>1</v>
      </c>
      <c r="R621" s="76">
        <f>IF(N621&gt;INDEX(Sectorwise!F:F,MATCH(F621,Sectorwise!A:A,0)),1,0)</f>
        <v>0</v>
      </c>
      <c r="S621" s="27">
        <f t="shared" si="37"/>
        <v>0</v>
      </c>
      <c r="T621" s="27">
        <f t="shared" si="38"/>
        <v>824</v>
      </c>
      <c r="U621" s="27">
        <f t="shared" si="39"/>
        <v>0</v>
      </c>
      <c r="V621" s="95">
        <f>IF(R621=1,(N621-INDEX(Sectorwise!F:F,MATCH(F621,Sectorwise!A:A,0))),0)</f>
        <v>0</v>
      </c>
      <c r="W621" s="97">
        <f>POISSON(N621,INDEX(Sectorwise!D:D,MATCH(Travel!F34,Sectorwise!A:A,0)),TRUE)</f>
        <v>0</v>
      </c>
      <c r="X621" s="28">
        <v>824</v>
      </c>
    </row>
    <row r="622" spans="1:24" ht="15.75" hidden="1" customHeight="1" x14ac:dyDescent="0.2">
      <c r="A622" s="29" t="s">
        <v>2053</v>
      </c>
      <c r="B622" s="29" t="s">
        <v>2054</v>
      </c>
      <c r="C622" s="29"/>
      <c r="E622" s="29" t="s">
        <v>1891</v>
      </c>
      <c r="F622" s="29" t="s">
        <v>2134</v>
      </c>
      <c r="G622" s="63" t="s">
        <v>2312</v>
      </c>
      <c r="H622" s="29" t="s">
        <v>2055</v>
      </c>
      <c r="I622" s="29" t="s">
        <v>2045</v>
      </c>
      <c r="J622" s="65">
        <v>4620</v>
      </c>
      <c r="K622" s="65">
        <v>3125</v>
      </c>
      <c r="L622" s="26">
        <f t="shared" si="36"/>
        <v>7745</v>
      </c>
      <c r="M622" s="26">
        <f t="array" ref="M622">MEDIAN(IF($F$3:$F$810=F622,$L$3:$L$810))</f>
        <v>7412.5</v>
      </c>
      <c r="N622" s="65">
        <v>7745</v>
      </c>
      <c r="O622" s="65" t="e">
        <f>N622-#REF!</f>
        <v>#REF!</v>
      </c>
      <c r="P622" s="76">
        <f>IF(N622&lt;INDEX(Sectorwise!E:E,MATCH(F622,Sectorwise!A:A,0)),1,0)</f>
        <v>0</v>
      </c>
      <c r="Q622" s="76">
        <f>IF(AND(N622&gt;=INDEX(Sectorwise!E:E,MATCH(F622,Sectorwise!A:A,0)),N622&lt;=INDEX(Sectorwise!F:F,MATCH(F622,Sectorwise!A:A,0))),1,0)</f>
        <v>1</v>
      </c>
      <c r="R622" s="76">
        <f>IF(N622&gt;INDEX(Sectorwise!F:F,MATCH(F622,Sectorwise!A:A,0)),1,0)</f>
        <v>0</v>
      </c>
      <c r="S622" s="27">
        <f t="shared" si="37"/>
        <v>0</v>
      </c>
      <c r="T622" s="27">
        <f t="shared" si="38"/>
        <v>7745</v>
      </c>
      <c r="U622" s="27">
        <f t="shared" si="39"/>
        <v>0</v>
      </c>
      <c r="V622" s="95">
        <f>IF(R622=1,(N622-INDEX(Sectorwise!F:F,MATCH(F622,Sectorwise!A:A,0))),0)</f>
        <v>0</v>
      </c>
      <c r="W622" s="97">
        <f>POISSON(N622,INDEX(Sectorwise!D:D,MATCH(Travel!F782,Sectorwise!A:A,0)),TRUE)</f>
        <v>0.99993880085701281</v>
      </c>
    </row>
    <row r="623" spans="1:24" ht="15.75" hidden="1" customHeight="1" x14ac:dyDescent="0.2">
      <c r="A623" s="63" t="s">
        <v>1874</v>
      </c>
      <c r="B623" s="63" t="s">
        <v>1890</v>
      </c>
      <c r="C623" s="63"/>
      <c r="E623" s="63" t="s">
        <v>1891</v>
      </c>
      <c r="F623" s="63" t="s">
        <v>2178</v>
      </c>
      <c r="G623" s="63" t="s">
        <v>2326</v>
      </c>
      <c r="H623" s="63" t="s">
        <v>1892</v>
      </c>
      <c r="I623" s="63" t="s">
        <v>1799</v>
      </c>
      <c r="J623" s="65">
        <v>15780</v>
      </c>
      <c r="K623" s="65">
        <v>5079</v>
      </c>
      <c r="L623" s="26">
        <f t="shared" si="36"/>
        <v>20859</v>
      </c>
      <c r="M623" s="26">
        <f t="array" ref="M623">MEDIAN(IF($F$3:$F$810=F623,$L$3:$L$810))</f>
        <v>37293</v>
      </c>
      <c r="N623" s="65">
        <v>20859</v>
      </c>
      <c r="O623" s="62">
        <v>0</v>
      </c>
      <c r="P623" s="76">
        <f>IF(N623&lt;INDEX(Sectorwise!E:E,MATCH(F623,Sectorwise!A:A,0)),1,0)</f>
        <v>1</v>
      </c>
      <c r="Q623" s="76">
        <f>IF(AND(N623&gt;=INDEX(Sectorwise!E:E,MATCH(F623,Sectorwise!A:A,0)),N623&lt;=INDEX(Sectorwise!F:F,MATCH(F623,Sectorwise!A:A,0))),1,0)</f>
        <v>0</v>
      </c>
      <c r="R623" s="76">
        <f>IF(N623&gt;INDEX(Sectorwise!F:F,MATCH(F623,Sectorwise!A:A,0)),1,0)</f>
        <v>0</v>
      </c>
      <c r="S623" s="27">
        <f t="shared" si="37"/>
        <v>20859</v>
      </c>
      <c r="T623" s="27">
        <f t="shared" si="38"/>
        <v>0</v>
      </c>
      <c r="U623" s="27">
        <f t="shared" si="39"/>
        <v>0</v>
      </c>
      <c r="V623" s="95">
        <f>IF(R623=1,(N623-INDEX(Sectorwise!F:F,MATCH(F623,Sectorwise!A:A,0))),0)</f>
        <v>0</v>
      </c>
      <c r="W623" s="97">
        <f>POISSON(N623,INDEX(Sectorwise!D:D,MATCH(Travel!F721,Sectorwise!A:A,0)),TRUE)</f>
        <v>1</v>
      </c>
    </row>
    <row r="624" spans="1:24" ht="15.75" hidden="1" customHeight="1" x14ac:dyDescent="0.2">
      <c r="A624" s="29" t="s">
        <v>2053</v>
      </c>
      <c r="B624" s="29" t="s">
        <v>2056</v>
      </c>
      <c r="C624" s="29" t="s">
        <v>2057</v>
      </c>
      <c r="E624" s="29" t="s">
        <v>1891</v>
      </c>
      <c r="F624" s="21" t="s">
        <v>2135</v>
      </c>
      <c r="G624" s="69" t="s">
        <v>2308</v>
      </c>
      <c r="H624" s="29" t="s">
        <v>2058</v>
      </c>
      <c r="I624" s="29" t="s">
        <v>2045</v>
      </c>
      <c r="J624" s="65">
        <v>5649</v>
      </c>
      <c r="K624" s="65">
        <v>2796</v>
      </c>
      <c r="L624" s="26">
        <f t="shared" si="36"/>
        <v>8445</v>
      </c>
      <c r="M624" s="26">
        <f t="array" ref="M624">MEDIAN(IF($F$3:$F$810=F624,$L$3:$L$810))</f>
        <v>7234</v>
      </c>
      <c r="N624" s="65">
        <v>8445</v>
      </c>
      <c r="O624" s="65" t="e">
        <f>N624-#REF!</f>
        <v>#REF!</v>
      </c>
      <c r="P624" s="76">
        <f>IF(N624&lt;INDEX(Sectorwise!E:E,MATCH(F624,Sectorwise!A:A,0)),1,0)</f>
        <v>0</v>
      </c>
      <c r="Q624" s="76">
        <f>IF(AND(N624&gt;=INDEX(Sectorwise!E:E,MATCH(F624,Sectorwise!A:A,0)),N624&lt;=INDEX(Sectorwise!F:F,MATCH(F624,Sectorwise!A:A,0))),1,0)</f>
        <v>0</v>
      </c>
      <c r="R624" s="76">
        <f>IF(N624&gt;INDEX(Sectorwise!F:F,MATCH(F624,Sectorwise!A:A,0)),1,0)</f>
        <v>1</v>
      </c>
      <c r="S624" s="27">
        <f t="shared" si="37"/>
        <v>0</v>
      </c>
      <c r="T624" s="27">
        <f t="shared" si="38"/>
        <v>0</v>
      </c>
      <c r="U624" s="27">
        <f t="shared" si="39"/>
        <v>8445</v>
      </c>
      <c r="V624" s="95">
        <f>IF(R624=1,(N624-INDEX(Sectorwise!F:F,MATCH(F624,Sectorwise!A:A,0))),0)</f>
        <v>445</v>
      </c>
      <c r="W624" s="97">
        <f>POISSON(N624,INDEX(Sectorwise!D:D,MATCH(Travel!F783,Sectorwise!A:A,0)),TRUE)</f>
        <v>1</v>
      </c>
    </row>
    <row r="625" spans="1:24" ht="15.75" hidden="1" customHeight="1" x14ac:dyDescent="0.2">
      <c r="A625" s="56" t="s">
        <v>770</v>
      </c>
      <c r="B625" s="56" t="s">
        <v>777</v>
      </c>
      <c r="C625" s="56"/>
      <c r="E625" s="56" t="s">
        <v>778</v>
      </c>
      <c r="F625" s="29" t="s">
        <v>2134</v>
      </c>
      <c r="G625" s="69" t="s">
        <v>2308</v>
      </c>
      <c r="H625" s="56" t="s">
        <v>779</v>
      </c>
      <c r="I625" s="56" t="s">
        <v>780</v>
      </c>
      <c r="J625" s="57">
        <v>3953</v>
      </c>
      <c r="K625" s="57">
        <v>832</v>
      </c>
      <c r="L625" s="26">
        <f t="shared" si="36"/>
        <v>4785</v>
      </c>
      <c r="M625" s="26">
        <f t="array" ref="M625">MEDIAN(IF($F$3:$F$810=F625,$L$3:$L$810))</f>
        <v>7412.5</v>
      </c>
      <c r="N625" s="57">
        <v>4785</v>
      </c>
      <c r="O625" s="58">
        <v>0</v>
      </c>
      <c r="P625" s="76">
        <f>IF(N625&lt;INDEX(Sectorwise!E:E,MATCH(F625,Sectorwise!A:A,0)),1,0)</f>
        <v>1</v>
      </c>
      <c r="Q625" s="76">
        <f>IF(AND(N625&gt;=INDEX(Sectorwise!E:E,MATCH(F625,Sectorwise!A:A,0)),N625&lt;=INDEX(Sectorwise!F:F,MATCH(F625,Sectorwise!A:A,0))),1,0)</f>
        <v>0</v>
      </c>
      <c r="R625" s="76">
        <f>IF(N625&gt;INDEX(Sectorwise!F:F,MATCH(F625,Sectorwise!A:A,0)),1,0)</f>
        <v>0</v>
      </c>
      <c r="S625" s="27">
        <f t="shared" si="37"/>
        <v>4785</v>
      </c>
      <c r="T625" s="27">
        <f t="shared" si="38"/>
        <v>0</v>
      </c>
      <c r="U625" s="27">
        <f t="shared" si="39"/>
        <v>0</v>
      </c>
      <c r="V625" s="95">
        <f>IF(R625=1,(N625-INDEX(Sectorwise!F:F,MATCH(F625,Sectorwise!A:A,0))),0)</f>
        <v>0</v>
      </c>
      <c r="W625" s="97">
        <f>POISSON(N625,INDEX(Sectorwise!D:D,MATCH(Travel!F293,Sectorwise!A:A,0)),TRUE)</f>
        <v>3.4266537003354066E-207</v>
      </c>
    </row>
    <row r="626" spans="1:24" ht="15.75" hidden="1" customHeight="1" x14ac:dyDescent="0.2">
      <c r="A626" s="60" t="s">
        <v>1006</v>
      </c>
      <c r="B626" s="60" t="s">
        <v>1013</v>
      </c>
      <c r="C626" s="60"/>
      <c r="E626" s="56" t="s">
        <v>778</v>
      </c>
      <c r="F626" s="29" t="s">
        <v>2134</v>
      </c>
      <c r="G626" s="69" t="s">
        <v>2308</v>
      </c>
      <c r="H626" s="60" t="s">
        <v>1014</v>
      </c>
      <c r="I626" s="60" t="s">
        <v>1012</v>
      </c>
      <c r="J626" s="61">
        <v>6090</v>
      </c>
      <c r="K626" s="61">
        <v>950</v>
      </c>
      <c r="L626" s="26">
        <f t="shared" si="36"/>
        <v>7040</v>
      </c>
      <c r="M626" s="26">
        <f t="array" ref="M626">MEDIAN(IF($F$3:$F$810=F626,$L$3:$L$810))</f>
        <v>7412.5</v>
      </c>
      <c r="N626" s="61">
        <v>7040</v>
      </c>
      <c r="O626" s="62">
        <v>0</v>
      </c>
      <c r="P626" s="76">
        <f>IF(N626&lt;INDEX(Sectorwise!E:E,MATCH(F626,Sectorwise!A:A,0)),1,0)</f>
        <v>0</v>
      </c>
      <c r="Q626" s="76">
        <f>IF(AND(N626&gt;=INDEX(Sectorwise!E:E,MATCH(F626,Sectorwise!A:A,0)),N626&lt;=INDEX(Sectorwise!F:F,MATCH(F626,Sectorwise!A:A,0))),1,0)</f>
        <v>1</v>
      </c>
      <c r="R626" s="76">
        <f>IF(N626&gt;INDEX(Sectorwise!F:F,MATCH(F626,Sectorwise!A:A,0)),1,0)</f>
        <v>0</v>
      </c>
      <c r="S626" s="27">
        <f t="shared" si="37"/>
        <v>0</v>
      </c>
      <c r="T626" s="27">
        <f t="shared" si="38"/>
        <v>7040</v>
      </c>
      <c r="U626" s="27">
        <f t="shared" si="39"/>
        <v>0</v>
      </c>
      <c r="V626" s="95">
        <f>IF(R626=1,(N626-INDEX(Sectorwise!F:F,MATCH(F626,Sectorwise!A:A,0))),0)</f>
        <v>0</v>
      </c>
      <c r="W626" s="97">
        <f>POISSON(N626,INDEX(Sectorwise!D:D,MATCH(Travel!F379,Sectorwise!A:A,0)),TRUE)</f>
        <v>2.6470691960088597E-259</v>
      </c>
    </row>
    <row r="627" spans="1:24" ht="15.75" hidden="1" customHeight="1" x14ac:dyDescent="0.2">
      <c r="A627" s="21" t="s">
        <v>691</v>
      </c>
      <c r="B627" s="24" t="s">
        <v>692</v>
      </c>
      <c r="C627" s="22"/>
      <c r="D627" s="32"/>
      <c r="E627" s="56" t="s">
        <v>778</v>
      </c>
      <c r="F627" s="29" t="s">
        <v>2134</v>
      </c>
      <c r="G627" s="60" t="s">
        <v>2316</v>
      </c>
      <c r="H627" s="21" t="s">
        <v>693</v>
      </c>
      <c r="I627" s="21" t="s">
        <v>672</v>
      </c>
      <c r="J627" s="25">
        <v>6070</v>
      </c>
      <c r="K627" s="25">
        <v>3665</v>
      </c>
      <c r="L627" s="26">
        <f t="shared" si="36"/>
        <v>9735</v>
      </c>
      <c r="M627" s="26">
        <f t="array" ref="M627">MEDIAN(IF($F$3:$F$810=F627,$L$3:$L$810))</f>
        <v>7412.5</v>
      </c>
      <c r="N627" s="47">
        <v>9735</v>
      </c>
      <c r="O627" s="55"/>
      <c r="P627" s="76">
        <f>IF(N627&lt;INDEX(Sectorwise!E:E,MATCH(F627,Sectorwise!A:A,0)),1,0)</f>
        <v>0</v>
      </c>
      <c r="Q627" s="76">
        <f>IF(AND(N627&gt;=INDEX(Sectorwise!E:E,MATCH(F627,Sectorwise!A:A,0)),N627&lt;=INDEX(Sectorwise!F:F,MATCH(F627,Sectorwise!A:A,0))),1,0)</f>
        <v>0</v>
      </c>
      <c r="R627" s="76">
        <f>IF(N627&gt;INDEX(Sectorwise!F:F,MATCH(F627,Sectorwise!A:A,0)),1,0)</f>
        <v>1</v>
      </c>
      <c r="S627" s="27">
        <f t="shared" si="37"/>
        <v>0</v>
      </c>
      <c r="T627" s="27">
        <f t="shared" si="38"/>
        <v>0</v>
      </c>
      <c r="U627" s="27">
        <f t="shared" si="39"/>
        <v>9735</v>
      </c>
      <c r="V627" s="95">
        <f>IF(R627=1,(N627-INDEX(Sectorwise!F:F,MATCH(F627,Sectorwise!A:A,0))),0)</f>
        <v>1535</v>
      </c>
      <c r="W627" s="97">
        <f>POISSON(N627,INDEX(Sectorwise!D:D,MATCH(Travel!F262,Sectorwise!A:A,0)),TRUE)</f>
        <v>1</v>
      </c>
    </row>
    <row r="628" spans="1:24" ht="15.75" hidden="1" customHeight="1" x14ac:dyDescent="0.2">
      <c r="A628" s="63" t="s">
        <v>1157</v>
      </c>
      <c r="B628" s="63" t="s">
        <v>1160</v>
      </c>
      <c r="C628" s="63" t="s">
        <v>1161</v>
      </c>
      <c r="E628" s="56" t="s">
        <v>778</v>
      </c>
      <c r="F628" s="29" t="s">
        <v>2134</v>
      </c>
      <c r="G628" s="69" t="s">
        <v>2308</v>
      </c>
      <c r="H628" s="63" t="s">
        <v>1162</v>
      </c>
      <c r="I628" s="63" t="s">
        <v>1108</v>
      </c>
      <c r="J628" s="65">
        <v>6256</v>
      </c>
      <c r="K628" s="65">
        <v>960</v>
      </c>
      <c r="L628" s="26">
        <f t="shared" si="36"/>
        <v>7216</v>
      </c>
      <c r="M628" s="26">
        <f t="array" ref="M628">MEDIAN(IF($F$3:$F$810=F628,$L$3:$L$810))</f>
        <v>7412.5</v>
      </c>
      <c r="N628" s="65">
        <v>7216</v>
      </c>
      <c r="O628" s="62">
        <v>7116</v>
      </c>
      <c r="P628" s="76">
        <f>IF(N628&lt;INDEX(Sectorwise!E:E,MATCH(F628,Sectorwise!A:A,0)),1,0)</f>
        <v>0</v>
      </c>
      <c r="Q628" s="76">
        <f>IF(AND(N628&gt;=INDEX(Sectorwise!E:E,MATCH(F628,Sectorwise!A:A,0)),N628&lt;=INDEX(Sectorwise!F:F,MATCH(F628,Sectorwise!A:A,0))),1,0)</f>
        <v>1</v>
      </c>
      <c r="R628" s="76">
        <f>IF(N628&gt;INDEX(Sectorwise!F:F,MATCH(F628,Sectorwise!A:A,0)),1,0)</f>
        <v>0</v>
      </c>
      <c r="S628" s="27">
        <f t="shared" si="37"/>
        <v>0</v>
      </c>
      <c r="T628" s="27">
        <f t="shared" si="38"/>
        <v>7216</v>
      </c>
      <c r="U628" s="27">
        <f t="shared" si="39"/>
        <v>0</v>
      </c>
      <c r="V628" s="95">
        <f>IF(R628=1,(N628-INDEX(Sectorwise!F:F,MATCH(F628,Sectorwise!A:A,0))),0)</f>
        <v>0</v>
      </c>
      <c r="W628" s="97">
        <f>POISSON(N628,INDEX(Sectorwise!D:D,MATCH(Travel!F439,Sectorwise!A:A,0)),TRUE)</f>
        <v>0.41922485026225359</v>
      </c>
    </row>
    <row r="629" spans="1:24" ht="15.75" hidden="1" customHeight="1" x14ac:dyDescent="0.2">
      <c r="A629" s="63" t="s">
        <v>1427</v>
      </c>
      <c r="B629" s="63" t="s">
        <v>1437</v>
      </c>
      <c r="C629" s="63"/>
      <c r="E629" s="56" t="s">
        <v>778</v>
      </c>
      <c r="F629" s="29" t="s">
        <v>2134</v>
      </c>
      <c r="G629" s="69" t="s">
        <v>2308</v>
      </c>
      <c r="H629" s="63" t="s">
        <v>1438</v>
      </c>
      <c r="I629" s="63" t="s">
        <v>1439</v>
      </c>
      <c r="J629" s="65">
        <v>6256</v>
      </c>
      <c r="K629" s="65">
        <v>960</v>
      </c>
      <c r="L629" s="26">
        <f t="shared" si="36"/>
        <v>7216</v>
      </c>
      <c r="M629" s="26">
        <f t="array" ref="M629">MEDIAN(IF($F$3:$F$810=F629,$L$3:$L$810))</f>
        <v>7412.5</v>
      </c>
      <c r="N629" s="65">
        <v>7216</v>
      </c>
      <c r="O629" s="62">
        <v>0</v>
      </c>
      <c r="P629" s="76">
        <f>IF(N629&lt;INDEX(Sectorwise!E:E,MATCH(F629,Sectorwise!A:A,0)),1,0)</f>
        <v>0</v>
      </c>
      <c r="Q629" s="76">
        <f>IF(AND(N629&gt;=INDEX(Sectorwise!E:E,MATCH(F629,Sectorwise!A:A,0)),N629&lt;=INDEX(Sectorwise!F:F,MATCH(F629,Sectorwise!A:A,0))),1,0)</f>
        <v>1</v>
      </c>
      <c r="R629" s="76">
        <f>IF(N629&gt;INDEX(Sectorwise!F:F,MATCH(F629,Sectorwise!A:A,0)),1,0)</f>
        <v>0</v>
      </c>
      <c r="S629" s="27">
        <f t="shared" si="37"/>
        <v>0</v>
      </c>
      <c r="T629" s="27">
        <f t="shared" si="38"/>
        <v>7216</v>
      </c>
      <c r="U629" s="27">
        <f t="shared" si="39"/>
        <v>0</v>
      </c>
      <c r="V629" s="95">
        <f>IF(R629=1,(N629-INDEX(Sectorwise!F:F,MATCH(F629,Sectorwise!A:A,0))),0)</f>
        <v>0</v>
      </c>
      <c r="W629" s="97">
        <f>POISSON(N629,INDEX(Sectorwise!D:D,MATCH(Travel!F540,Sectorwise!A:A,0)),TRUE)</f>
        <v>1.0603115972633822E-198</v>
      </c>
    </row>
    <row r="630" spans="1:24" ht="15.75" hidden="1" customHeight="1" x14ac:dyDescent="0.2">
      <c r="A630" s="63" t="s">
        <v>1582</v>
      </c>
      <c r="B630" s="63" t="s">
        <v>1585</v>
      </c>
      <c r="C630" s="63"/>
      <c r="E630" s="56" t="s">
        <v>778</v>
      </c>
      <c r="F630" s="29" t="s">
        <v>2134</v>
      </c>
      <c r="G630" s="69" t="s">
        <v>2308</v>
      </c>
      <c r="H630" s="63" t="s">
        <v>1586</v>
      </c>
      <c r="I630" s="63" t="s">
        <v>1587</v>
      </c>
      <c r="J630" s="65">
        <v>5766</v>
      </c>
      <c r="K630" s="65">
        <v>932</v>
      </c>
      <c r="L630" s="26">
        <f t="shared" si="36"/>
        <v>6698</v>
      </c>
      <c r="M630" s="26">
        <f t="array" ref="M630">MEDIAN(IF($F$3:$F$810=F630,$L$3:$L$810))</f>
        <v>7412.5</v>
      </c>
      <c r="N630" s="65">
        <v>6698</v>
      </c>
      <c r="O630" s="62">
        <v>0</v>
      </c>
      <c r="P630" s="76">
        <f>IF(N630&lt;INDEX(Sectorwise!E:E,MATCH(F630,Sectorwise!A:A,0)),1,0)</f>
        <v>0</v>
      </c>
      <c r="Q630" s="76">
        <f>IF(AND(N630&gt;=INDEX(Sectorwise!E:E,MATCH(F630,Sectorwise!A:A,0)),N630&lt;=INDEX(Sectorwise!F:F,MATCH(F630,Sectorwise!A:A,0))),1,0)</f>
        <v>1</v>
      </c>
      <c r="R630" s="76">
        <f>IF(N630&gt;INDEX(Sectorwise!F:F,MATCH(F630,Sectorwise!A:A,0)),1,0)</f>
        <v>0</v>
      </c>
      <c r="S630" s="27">
        <f t="shared" si="37"/>
        <v>0</v>
      </c>
      <c r="T630" s="27">
        <f t="shared" si="38"/>
        <v>6698</v>
      </c>
      <c r="U630" s="27">
        <f t="shared" si="39"/>
        <v>0</v>
      </c>
      <c r="V630" s="95">
        <f>IF(R630=1,(N630-INDEX(Sectorwise!F:F,MATCH(F630,Sectorwise!A:A,0))),0)</f>
        <v>0</v>
      </c>
      <c r="W630" s="97">
        <f>POISSON(N630,INDEX(Sectorwise!D:D,MATCH(Travel!F601,Sectorwise!A:A,0)),TRUE)</f>
        <v>1</v>
      </c>
    </row>
    <row r="631" spans="1:24" ht="15.75" hidden="1" customHeight="1" x14ac:dyDescent="0.2">
      <c r="A631" s="21" t="s">
        <v>691</v>
      </c>
      <c r="B631" s="24" t="s">
        <v>698</v>
      </c>
      <c r="C631" s="22"/>
      <c r="D631" s="32"/>
      <c r="E631" s="56" t="s">
        <v>778</v>
      </c>
      <c r="F631" s="21" t="s">
        <v>2135</v>
      </c>
      <c r="G631" s="56" t="s">
        <v>2309</v>
      </c>
      <c r="H631" s="21" t="s">
        <v>699</v>
      </c>
      <c r="I631" s="21" t="s">
        <v>672</v>
      </c>
      <c r="J631" s="25">
        <v>4510</v>
      </c>
      <c r="K631" s="25">
        <v>1890</v>
      </c>
      <c r="L631" s="26">
        <f t="shared" si="36"/>
        <v>6400</v>
      </c>
      <c r="M631" s="26">
        <f t="array" ref="M631">MEDIAN(IF($F$3:$F$810=F631,$L$3:$L$810))</f>
        <v>7234</v>
      </c>
      <c r="N631" s="47">
        <v>6400</v>
      </c>
      <c r="O631" s="55"/>
      <c r="P631" s="76">
        <f>IF(N631&lt;INDEX(Sectorwise!E:E,MATCH(F631,Sectorwise!A:A,0)),1,0)</f>
        <v>1</v>
      </c>
      <c r="Q631" s="76">
        <f>IF(AND(N631&gt;=INDEX(Sectorwise!E:E,MATCH(F631,Sectorwise!A:A,0)),N631&lt;=INDEX(Sectorwise!F:F,MATCH(F631,Sectorwise!A:A,0))),1,0)</f>
        <v>0</v>
      </c>
      <c r="R631" s="76">
        <f>IF(N631&gt;INDEX(Sectorwise!F:F,MATCH(F631,Sectorwise!A:A,0)),1,0)</f>
        <v>0</v>
      </c>
      <c r="S631" s="27">
        <f t="shared" si="37"/>
        <v>6400</v>
      </c>
      <c r="T631" s="27">
        <f t="shared" si="38"/>
        <v>0</v>
      </c>
      <c r="U631" s="27">
        <f t="shared" si="39"/>
        <v>0</v>
      </c>
      <c r="V631" s="95">
        <f>IF(R631=1,(N631-INDEX(Sectorwise!F:F,MATCH(F631,Sectorwise!A:A,0))),0)</f>
        <v>0</v>
      </c>
      <c r="W631" s="97">
        <f>POISSON(N631,INDEX(Sectorwise!D:D,MATCH(Travel!F265,Sectorwise!A:A,0)),TRUE)</f>
        <v>1.1450997103195745E-33</v>
      </c>
    </row>
    <row r="632" spans="1:24" ht="15.75" hidden="1" customHeight="1" x14ac:dyDescent="0.2">
      <c r="A632" s="21" t="s">
        <v>190</v>
      </c>
      <c r="B632" s="21" t="s">
        <v>193</v>
      </c>
      <c r="C632" s="22"/>
      <c r="D632" s="32"/>
      <c r="E632" s="21" t="s">
        <v>194</v>
      </c>
      <c r="F632" s="21" t="s">
        <v>2147</v>
      </c>
      <c r="G632" s="69" t="s">
        <v>2308</v>
      </c>
      <c r="H632" s="21" t="s">
        <v>195</v>
      </c>
      <c r="I632" s="21" t="s">
        <v>164</v>
      </c>
      <c r="J632" s="25">
        <v>8256</v>
      </c>
      <c r="K632" s="25">
        <v>1537</v>
      </c>
      <c r="L632" s="26">
        <f t="shared" si="36"/>
        <v>9793</v>
      </c>
      <c r="M632" s="26">
        <f t="array" ref="M632">MEDIAN(IF($F$3:$F$810=F632,$L$3:$L$810))</f>
        <v>10605</v>
      </c>
      <c r="N632" s="26">
        <v>9793</v>
      </c>
      <c r="O632" s="27"/>
      <c r="P632" s="76">
        <f>IF(N632&lt;INDEX(Sectorwise!E:E,MATCH(F632,Sectorwise!A:A,0)),1,0)</f>
        <v>0</v>
      </c>
      <c r="Q632" s="76">
        <f>IF(AND(N632&gt;=INDEX(Sectorwise!E:E,MATCH(F632,Sectorwise!A:A,0)),N632&lt;=INDEX(Sectorwise!F:F,MATCH(F632,Sectorwise!A:A,0))),1,0)</f>
        <v>1</v>
      </c>
      <c r="R632" s="76">
        <f>IF(N632&gt;INDEX(Sectorwise!F:F,MATCH(F632,Sectorwise!A:A,0)),1,0)</f>
        <v>0</v>
      </c>
      <c r="S632" s="27">
        <f t="shared" si="37"/>
        <v>0</v>
      </c>
      <c r="T632" s="27">
        <f t="shared" si="38"/>
        <v>9793</v>
      </c>
      <c r="U632" s="27">
        <f t="shared" si="39"/>
        <v>0</v>
      </c>
      <c r="V632" s="95">
        <f>IF(R632=1,(N632-INDEX(Sectorwise!F:F,MATCH(F632,Sectorwise!A:A,0))),0)</f>
        <v>0</v>
      </c>
      <c r="W632" s="97">
        <f>POISSON(N632,INDEX(Sectorwise!D:D,MATCH(Travel!F70,Sectorwise!A:A,0)),TRUE)</f>
        <v>0</v>
      </c>
      <c r="X632" s="28">
        <v>9793</v>
      </c>
    </row>
    <row r="633" spans="1:24" ht="15.75" hidden="1" customHeight="1" x14ac:dyDescent="0.2">
      <c r="A633" s="33" t="s">
        <v>198</v>
      </c>
      <c r="B633" s="33" t="s">
        <v>222</v>
      </c>
      <c r="C633" s="40"/>
      <c r="D633" s="35"/>
      <c r="E633" s="33" t="s">
        <v>194</v>
      </c>
      <c r="F633" s="21" t="s">
        <v>2147</v>
      </c>
      <c r="G633" s="69" t="s">
        <v>2308</v>
      </c>
      <c r="H633" s="33" t="s">
        <v>223</v>
      </c>
      <c r="I633" s="33" t="s">
        <v>136</v>
      </c>
      <c r="J633" s="36">
        <v>8256</v>
      </c>
      <c r="K633" s="36">
        <v>1537</v>
      </c>
      <c r="L633" s="26">
        <f t="shared" si="36"/>
        <v>9793</v>
      </c>
      <c r="M633" s="26">
        <f t="array" ref="M633">MEDIAN(IF($F$3:$F$810=F633,$L$3:$L$810))</f>
        <v>10605</v>
      </c>
      <c r="N633" s="41">
        <v>9793</v>
      </c>
      <c r="O633" s="38"/>
      <c r="P633" s="76">
        <f>IF(N633&lt;INDEX(Sectorwise!E:E,MATCH(F633,Sectorwise!A:A,0)),1,0)</f>
        <v>0</v>
      </c>
      <c r="Q633" s="76">
        <f>IF(AND(N633&gt;=INDEX(Sectorwise!E:E,MATCH(F633,Sectorwise!A:A,0)),N633&lt;=INDEX(Sectorwise!F:F,MATCH(F633,Sectorwise!A:A,0))),1,0)</f>
        <v>1</v>
      </c>
      <c r="R633" s="76">
        <f>IF(N633&gt;INDEX(Sectorwise!F:F,MATCH(F633,Sectorwise!A:A,0)),1,0)</f>
        <v>0</v>
      </c>
      <c r="S633" s="27">
        <f t="shared" si="37"/>
        <v>0</v>
      </c>
      <c r="T633" s="27">
        <f t="shared" si="38"/>
        <v>9793</v>
      </c>
      <c r="U633" s="27">
        <f t="shared" si="39"/>
        <v>0</v>
      </c>
      <c r="V633" s="95">
        <f>IF(R633=1,(N633-INDEX(Sectorwise!F:F,MATCH(F633,Sectorwise!A:A,0))),0)</f>
        <v>0</v>
      </c>
      <c r="W633" s="97">
        <f>POISSON(N633,INDEX(Sectorwise!D:D,MATCH(Travel!F83,Sectorwise!A:A,0)),TRUE)</f>
        <v>1</v>
      </c>
      <c r="X633" s="39">
        <f>+N633-O633</f>
        <v>9793</v>
      </c>
    </row>
    <row r="634" spans="1:24" ht="15.75" hidden="1" customHeight="1" x14ac:dyDescent="0.2">
      <c r="A634" s="60" t="s">
        <v>1347</v>
      </c>
      <c r="B634" s="60" t="s">
        <v>1356</v>
      </c>
      <c r="C634" s="60"/>
      <c r="E634" s="60" t="s">
        <v>194</v>
      </c>
      <c r="F634" s="21" t="s">
        <v>2147</v>
      </c>
      <c r="G634" s="69" t="s">
        <v>2308</v>
      </c>
      <c r="H634" s="60" t="s">
        <v>1357</v>
      </c>
      <c r="I634" s="60" t="s">
        <v>1358</v>
      </c>
      <c r="J634" s="61">
        <v>9182</v>
      </c>
      <c r="K634" s="61">
        <v>1531</v>
      </c>
      <c r="L634" s="26">
        <f t="shared" si="36"/>
        <v>10713</v>
      </c>
      <c r="M634" s="26">
        <f t="array" ref="M634">MEDIAN(IF($F$3:$F$810=F634,$L$3:$L$810))</f>
        <v>10605</v>
      </c>
      <c r="N634" s="61">
        <v>10713</v>
      </c>
      <c r="O634" s="62">
        <v>0</v>
      </c>
      <c r="P634" s="76">
        <f>IF(N634&lt;INDEX(Sectorwise!E:E,MATCH(F634,Sectorwise!A:A,0)),1,0)</f>
        <v>0</v>
      </c>
      <c r="Q634" s="76">
        <f>IF(AND(N634&gt;=INDEX(Sectorwise!E:E,MATCH(F634,Sectorwise!A:A,0)),N634&lt;=INDEX(Sectorwise!F:F,MATCH(F634,Sectorwise!A:A,0))),1,0)</f>
        <v>1</v>
      </c>
      <c r="R634" s="76">
        <f>IF(N634&gt;INDEX(Sectorwise!F:F,MATCH(F634,Sectorwise!A:A,0)),1,0)</f>
        <v>0</v>
      </c>
      <c r="S634" s="27">
        <f t="shared" si="37"/>
        <v>0</v>
      </c>
      <c r="T634" s="27">
        <f t="shared" si="38"/>
        <v>10713</v>
      </c>
      <c r="U634" s="27">
        <f t="shared" si="39"/>
        <v>0</v>
      </c>
      <c r="V634" s="95">
        <f>IF(R634=1,(N634-INDEX(Sectorwise!F:F,MATCH(F634,Sectorwise!A:A,0))),0)</f>
        <v>0</v>
      </c>
      <c r="W634" s="97">
        <f>POISSON(N634,INDEX(Sectorwise!D:D,MATCH(Travel!F507,Sectorwise!A:A,0)),TRUE)</f>
        <v>1</v>
      </c>
    </row>
    <row r="635" spans="1:24" ht="15.75" hidden="1" customHeight="1" x14ac:dyDescent="0.2">
      <c r="A635" s="56" t="s">
        <v>842</v>
      </c>
      <c r="B635" s="56" t="s">
        <v>843</v>
      </c>
      <c r="C635" s="56"/>
      <c r="E635" s="56" t="s">
        <v>194</v>
      </c>
      <c r="F635" s="21" t="s">
        <v>2210</v>
      </c>
      <c r="G635" s="69" t="s">
        <v>2308</v>
      </c>
      <c r="H635" s="56" t="s">
        <v>844</v>
      </c>
      <c r="I635" s="56" t="s">
        <v>845</v>
      </c>
      <c r="J635" s="57">
        <v>13602</v>
      </c>
      <c r="K635" s="57">
        <v>2769</v>
      </c>
      <c r="L635" s="26">
        <f t="shared" si="36"/>
        <v>16371</v>
      </c>
      <c r="M635" s="26">
        <f t="array" ref="M635">MEDIAN(IF($F$3:$F$810=F635,$L$3:$L$810))</f>
        <v>19495</v>
      </c>
      <c r="N635" s="57">
        <v>16371</v>
      </c>
      <c r="O635" s="58">
        <v>0</v>
      </c>
      <c r="P635" s="76">
        <f>IF(N635&lt;INDEX(Sectorwise!E:E,MATCH(F635,Sectorwise!A:A,0)),1,0)</f>
        <v>1</v>
      </c>
      <c r="Q635" s="76">
        <f>IF(AND(N635&gt;=INDEX(Sectorwise!E:E,MATCH(F635,Sectorwise!A:A,0)),N635&lt;=INDEX(Sectorwise!F:F,MATCH(F635,Sectorwise!A:A,0))),1,0)</f>
        <v>0</v>
      </c>
      <c r="R635" s="76">
        <f>IF(N635&gt;INDEX(Sectorwise!F:F,MATCH(F635,Sectorwise!A:A,0)),1,0)</f>
        <v>0</v>
      </c>
      <c r="S635" s="27">
        <f t="shared" si="37"/>
        <v>16371</v>
      </c>
      <c r="T635" s="27">
        <f t="shared" si="38"/>
        <v>0</v>
      </c>
      <c r="U635" s="27">
        <f t="shared" si="39"/>
        <v>0</v>
      </c>
      <c r="V635" s="95">
        <f>IF(R635=1,(N635-INDEX(Sectorwise!F:F,MATCH(F635,Sectorwise!A:A,0))),0)</f>
        <v>0</v>
      </c>
      <c r="W635" s="97">
        <f>POISSON(N635,INDEX(Sectorwise!D:D,MATCH(Travel!F319,Sectorwise!A:A,0)),TRUE)</f>
        <v>1</v>
      </c>
    </row>
    <row r="636" spans="1:24" ht="15.75" hidden="1" customHeight="1" x14ac:dyDescent="0.2">
      <c r="A636" s="63" t="s">
        <v>1756</v>
      </c>
      <c r="B636" s="63" t="s">
        <v>1766</v>
      </c>
      <c r="C636" s="63"/>
      <c r="E636" s="63" t="s">
        <v>554</v>
      </c>
      <c r="F636" s="21" t="s">
        <v>2136</v>
      </c>
      <c r="G636" s="69" t="s">
        <v>2308</v>
      </c>
      <c r="H636" s="63" t="s">
        <v>1768</v>
      </c>
      <c r="I636" s="63" t="s">
        <v>1750</v>
      </c>
      <c r="J636" s="65">
        <v>11582</v>
      </c>
      <c r="K636" s="65">
        <v>2189</v>
      </c>
      <c r="L636" s="26">
        <f t="shared" si="36"/>
        <v>13771</v>
      </c>
      <c r="M636" s="26">
        <f t="array" ref="M636">MEDIAN(IF($F$3:$F$810=F636,$L$3:$L$810))</f>
        <v>14406</v>
      </c>
      <c r="N636" s="57">
        <f>J636+K636</f>
        <v>13771</v>
      </c>
      <c r="O636" s="62">
        <v>0</v>
      </c>
      <c r="P636" s="76">
        <f>IF(N636&lt;INDEX(Sectorwise!E:E,MATCH(F636,Sectorwise!A:A,0)),1,0)</f>
        <v>0</v>
      </c>
      <c r="Q636" s="76">
        <f>IF(AND(N636&gt;=INDEX(Sectorwise!E:E,MATCH(F636,Sectorwise!A:A,0)),N636&lt;=INDEX(Sectorwise!F:F,MATCH(F636,Sectorwise!A:A,0))),1,0)</f>
        <v>1</v>
      </c>
      <c r="R636" s="76">
        <f>IF(N636&gt;INDEX(Sectorwise!F:F,MATCH(F636,Sectorwise!A:A,0)),1,0)</f>
        <v>0</v>
      </c>
      <c r="S636" s="27">
        <f t="shared" si="37"/>
        <v>0</v>
      </c>
      <c r="T636" s="27">
        <f t="shared" si="38"/>
        <v>13771</v>
      </c>
      <c r="U636" s="27">
        <f t="shared" si="39"/>
        <v>0</v>
      </c>
      <c r="V636" s="95">
        <f>IF(R636=1,(N636-INDEX(Sectorwise!F:F,MATCH(F636,Sectorwise!A:A,0))),0)</f>
        <v>0</v>
      </c>
      <c r="W636" s="97">
        <f>POISSON(N636,INDEX(Sectorwise!D:D,MATCH(Travel!F670,Sectorwise!A:A,0)),TRUE)</f>
        <v>0</v>
      </c>
    </row>
    <row r="637" spans="1:24" ht="15.75" hidden="1" customHeight="1" x14ac:dyDescent="0.2">
      <c r="A637" s="69" t="s">
        <v>2017</v>
      </c>
      <c r="B637" s="69" t="s">
        <v>2018</v>
      </c>
      <c r="C637" s="69"/>
      <c r="E637" s="63" t="s">
        <v>554</v>
      </c>
      <c r="F637" s="21" t="s">
        <v>2147</v>
      </c>
      <c r="G637" s="69" t="s">
        <v>2308</v>
      </c>
      <c r="H637" s="69" t="s">
        <v>2019</v>
      </c>
      <c r="I637" s="69" t="s">
        <v>2020</v>
      </c>
      <c r="J637" s="70">
        <v>8771</v>
      </c>
      <c r="K637" s="70">
        <v>1565</v>
      </c>
      <c r="L637" s="26">
        <f t="shared" si="36"/>
        <v>10336</v>
      </c>
      <c r="M637" s="26">
        <f t="array" ref="M637">MEDIAN(IF($F$3:$F$810=F637,$L$3:$L$810))</f>
        <v>10605</v>
      </c>
      <c r="N637" s="70">
        <v>10336</v>
      </c>
      <c r="O637" s="71">
        <v>0</v>
      </c>
      <c r="P637" s="76">
        <f>IF(N637&lt;INDEX(Sectorwise!E:E,MATCH(F637,Sectorwise!A:A,0)),1,0)</f>
        <v>0</v>
      </c>
      <c r="Q637" s="76">
        <f>IF(AND(N637&gt;=INDEX(Sectorwise!E:E,MATCH(F637,Sectorwise!A:A,0)),N637&lt;=INDEX(Sectorwise!F:F,MATCH(F637,Sectorwise!A:A,0))),1,0)</f>
        <v>1</v>
      </c>
      <c r="R637" s="76">
        <f>IF(N637&gt;INDEX(Sectorwise!F:F,MATCH(F637,Sectorwise!A:A,0)),1,0)</f>
        <v>0</v>
      </c>
      <c r="S637" s="27">
        <f t="shared" si="37"/>
        <v>0</v>
      </c>
      <c r="T637" s="27">
        <f t="shared" si="38"/>
        <v>10336</v>
      </c>
      <c r="U637" s="27">
        <f t="shared" si="39"/>
        <v>0</v>
      </c>
      <c r="V637" s="95">
        <f>IF(R637=1,(N637-INDEX(Sectorwise!F:F,MATCH(F637,Sectorwise!A:A,0))),0)</f>
        <v>0</v>
      </c>
      <c r="W637" s="97">
        <f>POISSON(N637,INDEX(Sectorwise!D:D,MATCH(Travel!F768,Sectorwise!A:A,0)),TRUE)</f>
        <v>1</v>
      </c>
    </row>
    <row r="638" spans="1:24" ht="15.75" hidden="1" customHeight="1" x14ac:dyDescent="0.2">
      <c r="A638" s="63" t="s">
        <v>1189</v>
      </c>
      <c r="B638" s="63" t="s">
        <v>1198</v>
      </c>
      <c r="C638" s="63" t="s">
        <v>1199</v>
      </c>
      <c r="E638" s="63" t="s">
        <v>554</v>
      </c>
      <c r="F638" s="60" t="s">
        <v>2158</v>
      </c>
      <c r="G638" s="33" t="s">
        <v>2321</v>
      </c>
      <c r="H638" s="63" t="s">
        <v>1200</v>
      </c>
      <c r="I638" s="63" t="s">
        <v>1181</v>
      </c>
      <c r="J638" s="65">
        <v>17412</v>
      </c>
      <c r="K638" s="65">
        <v>2980</v>
      </c>
      <c r="L638" s="26">
        <f t="shared" si="36"/>
        <v>20392</v>
      </c>
      <c r="M638" s="26">
        <f t="array" ref="M638">MEDIAN(IF($F$3:$F$810=F638,$L$3:$L$810))</f>
        <v>20521</v>
      </c>
      <c r="N638" s="65">
        <v>40784</v>
      </c>
      <c r="O638" s="62">
        <v>30119</v>
      </c>
      <c r="P638" s="76">
        <f>IF(N638&lt;INDEX(Sectorwise!E:E,MATCH(F638,Sectorwise!A:A,0)),1,0)</f>
        <v>0</v>
      </c>
      <c r="Q638" s="76">
        <f>IF(AND(N638&gt;=INDEX(Sectorwise!E:E,MATCH(F638,Sectorwise!A:A,0)),N638&lt;=INDEX(Sectorwise!F:F,MATCH(F638,Sectorwise!A:A,0))),1,0)</f>
        <v>0</v>
      </c>
      <c r="R638" s="76">
        <f>IF(N638&gt;INDEX(Sectorwise!F:F,MATCH(F638,Sectorwise!A:A,0)),1,0)</f>
        <v>1</v>
      </c>
      <c r="S638" s="27">
        <f t="shared" si="37"/>
        <v>0</v>
      </c>
      <c r="T638" s="27">
        <f t="shared" si="38"/>
        <v>0</v>
      </c>
      <c r="U638" s="27">
        <f t="shared" si="39"/>
        <v>40784</v>
      </c>
      <c r="V638" s="95">
        <f>IF(R638=1,(N638-INDEX(Sectorwise!F:F,MATCH(F638,Sectorwise!A:A,0))),0)</f>
        <v>18184</v>
      </c>
      <c r="W638" s="97">
        <f>POISSON(N638,INDEX(Sectorwise!D:D,MATCH(Travel!F453,Sectorwise!A:A,0)),TRUE)</f>
        <v>1</v>
      </c>
    </row>
    <row r="639" spans="1:24" ht="15.75" hidden="1" customHeight="1" x14ac:dyDescent="0.2">
      <c r="A639" s="53" t="s">
        <v>542</v>
      </c>
      <c r="B639" s="54" t="s">
        <v>553</v>
      </c>
      <c r="C639" s="22"/>
      <c r="D639" s="32"/>
      <c r="E639" s="63" t="s">
        <v>554</v>
      </c>
      <c r="F639" s="21" t="s">
        <v>2135</v>
      </c>
      <c r="G639" s="69" t="s">
        <v>2308</v>
      </c>
      <c r="H639" s="21" t="s">
        <v>555</v>
      </c>
      <c r="I639" s="21" t="s">
        <v>542</v>
      </c>
      <c r="J639" s="25">
        <v>5914</v>
      </c>
      <c r="K639" s="25">
        <v>1023</v>
      </c>
      <c r="L639" s="26">
        <f t="shared" si="36"/>
        <v>6937</v>
      </c>
      <c r="M639" s="26">
        <f t="array" ref="M639">MEDIAN(IF($F$3:$F$810=F639,$L$3:$L$810))</f>
        <v>7234</v>
      </c>
      <c r="N639" s="47">
        <v>6937</v>
      </c>
      <c r="O639" s="27"/>
      <c r="P639" s="76">
        <f>IF(N639&lt;INDEX(Sectorwise!E:E,MATCH(F639,Sectorwise!A:A,0)),1,0)</f>
        <v>0</v>
      </c>
      <c r="Q639" s="76">
        <f>IF(AND(N639&gt;=INDEX(Sectorwise!E:E,MATCH(F639,Sectorwise!A:A,0)),N639&lt;=INDEX(Sectorwise!F:F,MATCH(F639,Sectorwise!A:A,0))),1,0)</f>
        <v>1</v>
      </c>
      <c r="R639" s="76">
        <f>IF(N639&gt;INDEX(Sectorwise!F:F,MATCH(F639,Sectorwise!A:A,0)),1,0)</f>
        <v>0</v>
      </c>
      <c r="S639" s="27">
        <f t="shared" si="37"/>
        <v>0</v>
      </c>
      <c r="T639" s="27">
        <f t="shared" si="38"/>
        <v>6937</v>
      </c>
      <c r="U639" s="27">
        <f t="shared" si="39"/>
        <v>0</v>
      </c>
      <c r="V639" s="95">
        <f>IF(R639=1,(N639-INDEX(Sectorwise!F:F,MATCH(F639,Sectorwise!A:A,0))),0)</f>
        <v>0</v>
      </c>
      <c r="W639" s="97">
        <f>POISSON(N639,INDEX(Sectorwise!D:D,MATCH(Travel!F207,Sectorwise!A:A,0)),TRUE)</f>
        <v>1.232661452523214E-8</v>
      </c>
    </row>
    <row r="640" spans="1:24" ht="15.75" hidden="1" customHeight="1" x14ac:dyDescent="0.2">
      <c r="A640" s="60" t="s">
        <v>948</v>
      </c>
      <c r="B640" s="60" t="s">
        <v>961</v>
      </c>
      <c r="C640" s="64" t="s">
        <v>962</v>
      </c>
      <c r="E640" s="63" t="s">
        <v>554</v>
      </c>
      <c r="F640" s="21" t="s">
        <v>2135</v>
      </c>
      <c r="G640" s="69" t="s">
        <v>2308</v>
      </c>
      <c r="H640" s="60" t="s">
        <v>963</v>
      </c>
      <c r="I640" s="60" t="s">
        <v>903</v>
      </c>
      <c r="J640" s="61">
        <v>6306</v>
      </c>
      <c r="K640" s="61">
        <v>1045</v>
      </c>
      <c r="L640" s="26">
        <f t="shared" si="36"/>
        <v>7351</v>
      </c>
      <c r="M640" s="26">
        <f t="array" ref="M640">MEDIAN(IF($F$3:$F$810=F640,$L$3:$L$810))</f>
        <v>7234</v>
      </c>
      <c r="N640" s="61">
        <v>7351</v>
      </c>
      <c r="O640" s="62">
        <v>7251</v>
      </c>
      <c r="P640" s="76">
        <f>IF(N640&lt;INDEX(Sectorwise!E:E,MATCH(F640,Sectorwise!A:A,0)),1,0)</f>
        <v>0</v>
      </c>
      <c r="Q640" s="76">
        <f>IF(AND(N640&gt;=INDEX(Sectorwise!E:E,MATCH(F640,Sectorwise!A:A,0)),N640&lt;=INDEX(Sectorwise!F:F,MATCH(F640,Sectorwise!A:A,0))),1,0)</f>
        <v>1</v>
      </c>
      <c r="R640" s="76">
        <f>IF(N640&gt;INDEX(Sectorwise!F:F,MATCH(F640,Sectorwise!A:A,0)),1,0)</f>
        <v>0</v>
      </c>
      <c r="S640" s="27">
        <f t="shared" si="37"/>
        <v>0</v>
      </c>
      <c r="T640" s="27">
        <f t="shared" si="38"/>
        <v>7351</v>
      </c>
      <c r="U640" s="27">
        <f t="shared" si="39"/>
        <v>0</v>
      </c>
      <c r="V640" s="95">
        <f>IF(R640=1,(N640-INDEX(Sectorwise!F:F,MATCH(F640,Sectorwise!A:A,0))),0)</f>
        <v>0</v>
      </c>
      <c r="W640" s="97">
        <f>POISSON(N640,INDEX(Sectorwise!D:D,MATCH(Travel!F358,Sectorwise!A:A,0)),TRUE)</f>
        <v>0.91616545889155065</v>
      </c>
    </row>
    <row r="641" spans="1:24" ht="15.75" hidden="1" customHeight="1" x14ac:dyDescent="0.2">
      <c r="A641" s="60" t="s">
        <v>964</v>
      </c>
      <c r="B641" s="60" t="s">
        <v>975</v>
      </c>
      <c r="C641" s="60"/>
      <c r="E641" s="63" t="s">
        <v>554</v>
      </c>
      <c r="F641" s="21" t="s">
        <v>2135</v>
      </c>
      <c r="G641" s="69" t="s">
        <v>2308</v>
      </c>
      <c r="H641" s="60" t="s">
        <v>976</v>
      </c>
      <c r="I641" s="60" t="s">
        <v>903</v>
      </c>
      <c r="J641" s="61">
        <v>6306</v>
      </c>
      <c r="K641" s="61">
        <v>1045</v>
      </c>
      <c r="L641" s="26">
        <f t="shared" si="36"/>
        <v>7351</v>
      </c>
      <c r="M641" s="26">
        <f t="array" ref="M641">MEDIAN(IF($F$3:$F$810=F641,$L$3:$L$810))</f>
        <v>7234</v>
      </c>
      <c r="N641" s="57">
        <f>J641+K641</f>
        <v>7351</v>
      </c>
      <c r="O641" s="62">
        <v>0</v>
      </c>
      <c r="P641" s="76">
        <f>IF(N641&lt;INDEX(Sectorwise!E:E,MATCH(F641,Sectorwise!A:A,0)),1,0)</f>
        <v>0</v>
      </c>
      <c r="Q641" s="76">
        <f>IF(AND(N641&gt;=INDEX(Sectorwise!E:E,MATCH(F641,Sectorwise!A:A,0)),N641&lt;=INDEX(Sectorwise!F:F,MATCH(F641,Sectorwise!A:A,0))),1,0)</f>
        <v>1</v>
      </c>
      <c r="R641" s="76">
        <f>IF(N641&gt;INDEX(Sectorwise!F:F,MATCH(F641,Sectorwise!A:A,0)),1,0)</f>
        <v>0</v>
      </c>
      <c r="S641" s="27">
        <f t="shared" si="37"/>
        <v>0</v>
      </c>
      <c r="T641" s="27">
        <f t="shared" si="38"/>
        <v>7351</v>
      </c>
      <c r="U641" s="27">
        <f t="shared" si="39"/>
        <v>0</v>
      </c>
      <c r="V641" s="95">
        <f>IF(R641=1,(N641-INDEX(Sectorwise!F:F,MATCH(F641,Sectorwise!A:A,0))),0)</f>
        <v>0</v>
      </c>
      <c r="W641" s="97">
        <f>POISSON(N641,INDEX(Sectorwise!D:D,MATCH(Travel!F366,Sectorwise!A:A,0)),TRUE)</f>
        <v>0.91616545889155065</v>
      </c>
    </row>
    <row r="642" spans="1:24" ht="15.75" hidden="1" customHeight="1" x14ac:dyDescent="0.2">
      <c r="A642" s="63" t="s">
        <v>1525</v>
      </c>
      <c r="B642" s="63" t="s">
        <v>1530</v>
      </c>
      <c r="C642" s="63"/>
      <c r="E642" s="63" t="s">
        <v>554</v>
      </c>
      <c r="F642" s="63" t="s">
        <v>1531</v>
      </c>
      <c r="G642" s="63" t="s">
        <v>2333</v>
      </c>
      <c r="H642" s="63" t="s">
        <v>1532</v>
      </c>
      <c r="I642" s="63" t="s">
        <v>41</v>
      </c>
      <c r="J642" s="65">
        <v>4800</v>
      </c>
      <c r="K642" s="65">
        <v>580</v>
      </c>
      <c r="L642" s="26">
        <f t="shared" si="36"/>
        <v>5380</v>
      </c>
      <c r="M642" s="26">
        <f t="array" ref="M642">MEDIAN(IF($F$3:$F$810=F642,$L$3:$L$810))</f>
        <v>5380</v>
      </c>
      <c r="N642" s="65">
        <v>5380</v>
      </c>
      <c r="O642" s="62">
        <v>0</v>
      </c>
      <c r="P642" s="76">
        <f>IF(N642&lt;INDEX(Sectorwise!E:E,MATCH(F642,Sectorwise!A:A,0)),1,0)</f>
        <v>0</v>
      </c>
      <c r="Q642" s="76">
        <f>IF(AND(N642&gt;=INDEX(Sectorwise!E:E,MATCH(F642,Sectorwise!A:A,0)),N642&lt;=INDEX(Sectorwise!F:F,MATCH(F642,Sectorwise!A:A,0))),1,0)</f>
        <v>1</v>
      </c>
      <c r="R642" s="76">
        <f>IF(N642&gt;INDEX(Sectorwise!F:F,MATCH(F642,Sectorwise!A:A,0)),1,0)</f>
        <v>0</v>
      </c>
      <c r="S642" s="27">
        <f t="shared" si="37"/>
        <v>0</v>
      </c>
      <c r="T642" s="27">
        <f t="shared" si="38"/>
        <v>5380</v>
      </c>
      <c r="U642" s="27">
        <f t="shared" si="39"/>
        <v>0</v>
      </c>
      <c r="V642" s="95">
        <f>IF(R642=1,(N642-INDEX(Sectorwise!F:F,MATCH(F642,Sectorwise!A:A,0))),0)</f>
        <v>0</v>
      </c>
      <c r="W642" s="97">
        <f>POISSON(N642,INDEX(Sectorwise!D:D,MATCH(Travel!F580,Sectorwise!A:A,0)),TRUE)</f>
        <v>7.6873856935260876E-11</v>
      </c>
    </row>
    <row r="643" spans="1:24" ht="15.75" hidden="1" customHeight="1" x14ac:dyDescent="0.2">
      <c r="A643" s="63" t="s">
        <v>1916</v>
      </c>
      <c r="B643" s="63" t="s">
        <v>1935</v>
      </c>
      <c r="C643" s="63"/>
      <c r="E643" s="63" t="s">
        <v>554</v>
      </c>
      <c r="F643" s="63" t="s">
        <v>1934</v>
      </c>
      <c r="G643" s="63" t="s">
        <v>2333</v>
      </c>
      <c r="H643" s="63" t="s">
        <v>1723</v>
      </c>
      <c r="I643" s="63" t="s">
        <v>41</v>
      </c>
      <c r="J643" s="65">
        <v>14565</v>
      </c>
      <c r="K643" s="65">
        <v>435</v>
      </c>
      <c r="L643" s="26">
        <f t="shared" ref="L643:L706" si="40">J643+K643</f>
        <v>15000</v>
      </c>
      <c r="M643" s="26">
        <f t="array" ref="M643">MEDIAN(IF($F$3:$F$810=F643,$L$3:$L$810))</f>
        <v>15000</v>
      </c>
      <c r="N643" s="65">
        <v>15000</v>
      </c>
      <c r="O643" s="62">
        <v>0</v>
      </c>
      <c r="P643" s="76">
        <f>IF(N643&lt;INDEX(Sectorwise!E:E,MATCH(F643,Sectorwise!A:A,0)),1,0)</f>
        <v>0</v>
      </c>
      <c r="Q643" s="76">
        <f>IF(AND(N643&gt;=INDEX(Sectorwise!E:E,MATCH(F643,Sectorwise!A:A,0)),N643&lt;=INDEX(Sectorwise!F:F,MATCH(F643,Sectorwise!A:A,0))),1,0)</f>
        <v>1</v>
      </c>
      <c r="R643" s="76">
        <f>IF(N643&gt;INDEX(Sectorwise!F:F,MATCH(F643,Sectorwise!A:A,0)),1,0)</f>
        <v>0</v>
      </c>
      <c r="S643" s="27">
        <f t="shared" ref="S643:S706" si="41">IF(P643=0,0,N643)</f>
        <v>0</v>
      </c>
      <c r="T643" s="27">
        <f t="shared" ref="T643:T706" si="42">IF(Q643=0,0,N643)</f>
        <v>15000</v>
      </c>
      <c r="U643" s="27">
        <f t="shared" ref="U643:U706" si="43">IF(R643=0,0,N643)</f>
        <v>0</v>
      </c>
      <c r="V643" s="95">
        <f>IF(R643=1,(N643-INDEX(Sectorwise!F:F,MATCH(F643,Sectorwise!A:A,0))),0)</f>
        <v>0</v>
      </c>
      <c r="W643" s="97">
        <f>POISSON(N643,INDEX(Sectorwise!D:D,MATCH(Travel!F738,Sectorwise!A:A,0)),TRUE)</f>
        <v>1</v>
      </c>
    </row>
    <row r="644" spans="1:24" ht="15.75" hidden="1" customHeight="1" x14ac:dyDescent="0.2">
      <c r="A644" s="69" t="s">
        <v>2017</v>
      </c>
      <c r="B644" s="69" t="s">
        <v>2023</v>
      </c>
      <c r="C644" s="69"/>
      <c r="E644" s="69" t="s">
        <v>2024</v>
      </c>
      <c r="F644" s="21" t="s">
        <v>2135</v>
      </c>
      <c r="G644" s="56" t="s">
        <v>2309</v>
      </c>
      <c r="H644" s="69" t="s">
        <v>2025</v>
      </c>
      <c r="I644" s="69" t="s">
        <v>1977</v>
      </c>
      <c r="J644" s="70">
        <v>5500</v>
      </c>
      <c r="K644" s="70">
        <v>1945</v>
      </c>
      <c r="L644" s="26">
        <f t="shared" si="40"/>
        <v>7445</v>
      </c>
      <c r="M644" s="26">
        <f t="array" ref="M644">MEDIAN(IF($F$3:$F$810=F644,$L$3:$L$810))</f>
        <v>7234</v>
      </c>
      <c r="N644" s="70">
        <v>7445</v>
      </c>
      <c r="O644" s="71">
        <v>0</v>
      </c>
      <c r="P644" s="76">
        <f>IF(N644&lt;INDEX(Sectorwise!E:E,MATCH(F644,Sectorwise!A:A,0)),1,0)</f>
        <v>0</v>
      </c>
      <c r="Q644" s="76">
        <f>IF(AND(N644&gt;=INDEX(Sectorwise!E:E,MATCH(F644,Sectorwise!A:A,0)),N644&lt;=INDEX(Sectorwise!F:F,MATCH(F644,Sectorwise!A:A,0))),1,0)</f>
        <v>1</v>
      </c>
      <c r="R644" s="76">
        <f>IF(N644&gt;INDEX(Sectorwise!F:F,MATCH(F644,Sectorwise!A:A,0)),1,0)</f>
        <v>0</v>
      </c>
      <c r="S644" s="27">
        <f t="shared" si="41"/>
        <v>0</v>
      </c>
      <c r="T644" s="27">
        <f t="shared" si="42"/>
        <v>7445</v>
      </c>
      <c r="U644" s="27">
        <f t="shared" si="43"/>
        <v>0</v>
      </c>
      <c r="V644" s="95">
        <f>IF(R644=1,(N644-INDEX(Sectorwise!F:F,MATCH(F644,Sectorwise!A:A,0))),0)</f>
        <v>0</v>
      </c>
      <c r="W644" s="97">
        <f>POISSON(N644,INDEX(Sectorwise!D:D,MATCH(Travel!F770,Sectorwise!A:A,0)),TRUE)</f>
        <v>0.64986060881174224</v>
      </c>
    </row>
    <row r="645" spans="1:24" ht="15.75" hidden="1" customHeight="1" x14ac:dyDescent="0.2">
      <c r="A645" s="29" t="s">
        <v>1706</v>
      </c>
      <c r="B645" s="29" t="s">
        <v>1707</v>
      </c>
      <c r="C645" s="29"/>
      <c r="E645" s="69" t="s">
        <v>2024</v>
      </c>
      <c r="F645" s="21" t="s">
        <v>2136</v>
      </c>
      <c r="G645" s="56" t="s">
        <v>2309</v>
      </c>
      <c r="H645" s="29" t="s">
        <v>1708</v>
      </c>
      <c r="I645" s="29" t="s">
        <v>1671</v>
      </c>
      <c r="J645" s="65">
        <v>10800</v>
      </c>
      <c r="K645" s="65">
        <v>3669</v>
      </c>
      <c r="L645" s="26">
        <f t="shared" si="40"/>
        <v>14469</v>
      </c>
      <c r="M645" s="26">
        <f t="array" ref="M645">MEDIAN(IF($F$3:$F$810=F645,$L$3:$L$810))</f>
        <v>14406</v>
      </c>
      <c r="N645" s="65">
        <v>14469</v>
      </c>
      <c r="O645" s="62"/>
      <c r="P645" s="76">
        <f>IF(N645&lt;INDEX(Sectorwise!E:E,MATCH(F645,Sectorwise!A:A,0)),1,0)</f>
        <v>0</v>
      </c>
      <c r="Q645" s="76">
        <f>IF(AND(N645&gt;=INDEX(Sectorwise!E:E,MATCH(F645,Sectorwise!A:A,0)),N645&lt;=INDEX(Sectorwise!F:F,MATCH(F645,Sectorwise!A:A,0))),1,0)</f>
        <v>1</v>
      </c>
      <c r="R645" s="76">
        <f>IF(N645&gt;INDEX(Sectorwise!F:F,MATCH(F645,Sectorwise!A:A,0)),1,0)</f>
        <v>0</v>
      </c>
      <c r="S645" s="27">
        <f t="shared" si="41"/>
        <v>0</v>
      </c>
      <c r="T645" s="27">
        <f t="shared" si="42"/>
        <v>14469</v>
      </c>
      <c r="U645" s="27">
        <f t="shared" si="43"/>
        <v>0</v>
      </c>
      <c r="V645" s="95">
        <f>IF(R645=1,(N645-INDEX(Sectorwise!F:F,MATCH(F645,Sectorwise!A:A,0))),0)</f>
        <v>0</v>
      </c>
      <c r="W645" s="97">
        <f>POISSON(N645,INDEX(Sectorwise!D:D,MATCH(Travel!F647,Sectorwise!A:A,0)),TRUE)</f>
        <v>0</v>
      </c>
    </row>
    <row r="646" spans="1:24" ht="15.75" hidden="1" customHeight="1" x14ac:dyDescent="0.2">
      <c r="A646" s="63" t="s">
        <v>1172</v>
      </c>
      <c r="B646" s="63" t="s">
        <v>1182</v>
      </c>
      <c r="C646" s="63"/>
      <c r="E646" s="69" t="s">
        <v>2024</v>
      </c>
      <c r="F646" s="21" t="s">
        <v>2147</v>
      </c>
      <c r="G646" s="63" t="s">
        <v>2312</v>
      </c>
      <c r="H646" s="63" t="s">
        <v>1183</v>
      </c>
      <c r="I646" s="63" t="s">
        <v>1175</v>
      </c>
      <c r="J646" s="65">
        <v>6440</v>
      </c>
      <c r="K646" s="65">
        <v>5266</v>
      </c>
      <c r="L646" s="26">
        <f t="shared" si="40"/>
        <v>11706</v>
      </c>
      <c r="M646" s="26">
        <f t="array" ref="M646">MEDIAN(IF($F$3:$F$810=F646,$L$3:$L$810))</f>
        <v>10605</v>
      </c>
      <c r="N646" s="65">
        <v>11706</v>
      </c>
      <c r="O646" s="62">
        <v>0</v>
      </c>
      <c r="P646" s="76">
        <f>IF(N646&lt;INDEX(Sectorwise!E:E,MATCH(F646,Sectorwise!A:A,0)),1,0)</f>
        <v>0</v>
      </c>
      <c r="Q646" s="76">
        <f>IF(AND(N646&gt;=INDEX(Sectorwise!E:E,MATCH(F646,Sectorwise!A:A,0)),N646&lt;=INDEX(Sectorwise!F:F,MATCH(F646,Sectorwise!A:A,0))),1,0)</f>
        <v>0</v>
      </c>
      <c r="R646" s="76">
        <f>IF(N646&gt;INDEX(Sectorwise!F:F,MATCH(F646,Sectorwise!A:A,0)),1,0)</f>
        <v>1</v>
      </c>
      <c r="S646" s="27">
        <f t="shared" si="41"/>
        <v>0</v>
      </c>
      <c r="T646" s="27">
        <f t="shared" si="42"/>
        <v>0</v>
      </c>
      <c r="U646" s="27">
        <f t="shared" si="43"/>
        <v>11706</v>
      </c>
      <c r="V646" s="95">
        <f>IF(R646=1,(N646-INDEX(Sectorwise!F:F,MATCH(F646,Sectorwise!A:A,0))),0)</f>
        <v>6</v>
      </c>
      <c r="W646" s="97">
        <f>POISSON(N646,INDEX(Sectorwise!D:D,MATCH(Travel!F446,Sectorwise!A:A,0)),TRUE)</f>
        <v>1</v>
      </c>
    </row>
    <row r="647" spans="1:24" ht="15.75" hidden="1" customHeight="1" x14ac:dyDescent="0.2">
      <c r="A647" s="63" t="s">
        <v>1916</v>
      </c>
      <c r="B647" s="63" t="s">
        <v>1926</v>
      </c>
      <c r="C647" s="63"/>
      <c r="E647" s="69" t="s">
        <v>2024</v>
      </c>
      <c r="F647" s="63" t="s">
        <v>2155</v>
      </c>
      <c r="G647" s="63" t="s">
        <v>2319</v>
      </c>
      <c r="H647" s="63" t="s">
        <v>1927</v>
      </c>
      <c r="I647" s="63" t="s">
        <v>1899</v>
      </c>
      <c r="J647" s="65">
        <v>25775</v>
      </c>
      <c r="K647" s="65">
        <v>7725</v>
      </c>
      <c r="L647" s="26">
        <f t="shared" si="40"/>
        <v>33500</v>
      </c>
      <c r="M647" s="26">
        <f t="array" ref="M647">MEDIAN(IF($F$3:$F$810=F647,$L$3:$L$810))</f>
        <v>33500</v>
      </c>
      <c r="N647" s="65">
        <v>33500</v>
      </c>
      <c r="O647" s="62">
        <v>0</v>
      </c>
      <c r="P647" s="76">
        <f>IF(N647&lt;INDEX(Sectorwise!E:E,MATCH(F647,Sectorwise!A:A,0)),1,0)</f>
        <v>0</v>
      </c>
      <c r="Q647" s="76">
        <f>IF(AND(N647&gt;=INDEX(Sectorwise!E:E,MATCH(F647,Sectorwise!A:A,0)),N647&lt;=INDEX(Sectorwise!F:F,MATCH(F647,Sectorwise!A:A,0))),1,0)</f>
        <v>1</v>
      </c>
      <c r="R647" s="76">
        <f>IF(N647&gt;INDEX(Sectorwise!F:F,MATCH(F647,Sectorwise!A:A,0)),1,0)</f>
        <v>0</v>
      </c>
      <c r="S647" s="27">
        <f t="shared" si="41"/>
        <v>0</v>
      </c>
      <c r="T647" s="27">
        <f t="shared" si="42"/>
        <v>33500</v>
      </c>
      <c r="U647" s="27">
        <f t="shared" si="43"/>
        <v>0</v>
      </c>
      <c r="V647" s="95">
        <f>IF(R647=1,(N647-INDEX(Sectorwise!F:F,MATCH(F647,Sectorwise!A:A,0))),0)</f>
        <v>0</v>
      </c>
      <c r="W647" s="97">
        <f>POISSON(N647,INDEX(Sectorwise!D:D,MATCH(Travel!F734,Sectorwise!A:A,0)),TRUE)</f>
        <v>1</v>
      </c>
    </row>
    <row r="648" spans="1:24" ht="15.75" hidden="1" customHeight="1" x14ac:dyDescent="0.2">
      <c r="A648" s="63" t="s">
        <v>1496</v>
      </c>
      <c r="B648" s="63" t="s">
        <v>1504</v>
      </c>
      <c r="C648" s="63"/>
      <c r="E648" s="63" t="s">
        <v>1505</v>
      </c>
      <c r="F648" s="21" t="s">
        <v>2147</v>
      </c>
      <c r="G648" s="60" t="s">
        <v>2316</v>
      </c>
      <c r="H648" s="63" t="s">
        <v>1507</v>
      </c>
      <c r="I648" s="63" t="s">
        <v>1495</v>
      </c>
      <c r="J648" s="65">
        <v>6100</v>
      </c>
      <c r="K648" s="65">
        <v>5833</v>
      </c>
      <c r="L648" s="26">
        <f t="shared" si="40"/>
        <v>11933</v>
      </c>
      <c r="M648" s="26">
        <f t="array" ref="M648">MEDIAN(IF($F$3:$F$810=F648,$L$3:$L$810))</f>
        <v>10605</v>
      </c>
      <c r="N648" s="57">
        <f>J648+K648</f>
        <v>11933</v>
      </c>
      <c r="O648" s="62">
        <v>0</v>
      </c>
      <c r="P648" s="76">
        <f>IF(N648&lt;INDEX(Sectorwise!E:E,MATCH(F648,Sectorwise!A:A,0)),1,0)</f>
        <v>0</v>
      </c>
      <c r="Q648" s="76">
        <f>IF(AND(N648&gt;=INDEX(Sectorwise!E:E,MATCH(F648,Sectorwise!A:A,0)),N648&lt;=INDEX(Sectorwise!F:F,MATCH(F648,Sectorwise!A:A,0))),1,0)</f>
        <v>0</v>
      </c>
      <c r="R648" s="76">
        <f>IF(N648&gt;INDEX(Sectorwise!F:F,MATCH(F648,Sectorwise!A:A,0)),1,0)</f>
        <v>1</v>
      </c>
      <c r="S648" s="27">
        <f t="shared" si="41"/>
        <v>0</v>
      </c>
      <c r="T648" s="27">
        <f t="shared" si="42"/>
        <v>0</v>
      </c>
      <c r="U648" s="27">
        <f t="shared" si="43"/>
        <v>11933</v>
      </c>
      <c r="V648" s="95">
        <f>IF(R648=1,(N648-INDEX(Sectorwise!F:F,MATCH(F648,Sectorwise!A:A,0))),0)</f>
        <v>233</v>
      </c>
      <c r="W648" s="97">
        <f>POISSON(N648,INDEX(Sectorwise!D:D,MATCH(Travel!F569,Sectorwise!A:A,0)),TRUE)</f>
        <v>1</v>
      </c>
    </row>
    <row r="649" spans="1:24" ht="15.75" hidden="1" customHeight="1" x14ac:dyDescent="0.2">
      <c r="A649" s="63" t="s">
        <v>1496</v>
      </c>
      <c r="B649" s="63" t="s">
        <v>1504</v>
      </c>
      <c r="C649" s="63"/>
      <c r="E649" s="63" t="s">
        <v>1505</v>
      </c>
      <c r="F649" s="21" t="s">
        <v>2149</v>
      </c>
      <c r="G649" s="56" t="s">
        <v>2309</v>
      </c>
      <c r="H649" s="63" t="s">
        <v>1506</v>
      </c>
      <c r="I649" s="63" t="s">
        <v>1495</v>
      </c>
      <c r="J649" s="65">
        <v>7950</v>
      </c>
      <c r="K649" s="65">
        <v>3951</v>
      </c>
      <c r="L649" s="26">
        <f t="shared" si="40"/>
        <v>11901</v>
      </c>
      <c r="M649" s="26">
        <f t="array" ref="M649">MEDIAN(IF($F$3:$F$810=F649,$L$3:$L$810))</f>
        <v>10332</v>
      </c>
      <c r="N649" s="65">
        <v>23834</v>
      </c>
      <c r="O649" s="62">
        <v>0</v>
      </c>
      <c r="P649" s="76">
        <f>IF(N649&lt;INDEX(Sectorwise!E:E,MATCH(F649,Sectorwise!A:A,0)),1,0)</f>
        <v>0</v>
      </c>
      <c r="Q649" s="76">
        <f>IF(AND(N649&gt;=INDEX(Sectorwise!E:E,MATCH(F649,Sectorwise!A:A,0)),N649&lt;=INDEX(Sectorwise!F:F,MATCH(F649,Sectorwise!A:A,0))),1,0)</f>
        <v>0</v>
      </c>
      <c r="R649" s="76">
        <f>IF(N649&gt;INDEX(Sectorwise!F:F,MATCH(F649,Sectorwise!A:A,0)),1,0)</f>
        <v>1</v>
      </c>
      <c r="S649" s="27">
        <f t="shared" si="41"/>
        <v>0</v>
      </c>
      <c r="T649" s="27">
        <f t="shared" si="42"/>
        <v>0</v>
      </c>
      <c r="U649" s="27">
        <f t="shared" si="43"/>
        <v>23834</v>
      </c>
      <c r="V649" s="95">
        <f>IF(R649=1,(N649-INDEX(Sectorwise!F:F,MATCH(F649,Sectorwise!A:A,0))),0)</f>
        <v>12434</v>
      </c>
      <c r="W649" s="97">
        <f>POISSON(N649,INDEX(Sectorwise!D:D,MATCH(Travel!F568,Sectorwise!A:A,0)),TRUE)</f>
        <v>1</v>
      </c>
    </row>
    <row r="650" spans="1:24" ht="15.75" hidden="1" customHeight="1" x14ac:dyDescent="0.2">
      <c r="A650" s="63" t="s">
        <v>1791</v>
      </c>
      <c r="B650" s="63" t="s">
        <v>1796</v>
      </c>
      <c r="C650" s="63"/>
      <c r="E650" s="63" t="s">
        <v>1800</v>
      </c>
      <c r="F650" s="63" t="s">
        <v>2173</v>
      </c>
      <c r="G650" s="56" t="s">
        <v>2309</v>
      </c>
      <c r="H650" s="63" t="s">
        <v>1801</v>
      </c>
      <c r="I650" s="63" t="s">
        <v>1799</v>
      </c>
      <c r="J650" s="65">
        <v>7400</v>
      </c>
      <c r="K650" s="65">
        <v>3480</v>
      </c>
      <c r="L650" s="26">
        <f t="shared" si="40"/>
        <v>10880</v>
      </c>
      <c r="M650" s="26">
        <f t="array" ref="M650">MEDIAN(IF($F$3:$F$810=F650,$L$3:$L$810))</f>
        <v>11722</v>
      </c>
      <c r="N650" s="57">
        <f>J650+K650</f>
        <v>10880</v>
      </c>
      <c r="O650" s="62">
        <v>0</v>
      </c>
      <c r="P650" s="76">
        <f>IF(N650&lt;INDEX(Sectorwise!E:E,MATCH(F650,Sectorwise!A:A,0)),1,0)</f>
        <v>0</v>
      </c>
      <c r="Q650" s="76">
        <f>IF(AND(N650&gt;=INDEX(Sectorwise!E:E,MATCH(F650,Sectorwise!A:A,0)),N650&lt;=INDEX(Sectorwise!F:F,MATCH(F650,Sectorwise!A:A,0))),1,0)</f>
        <v>1</v>
      </c>
      <c r="R650" s="76">
        <f>IF(N650&gt;INDEX(Sectorwise!F:F,MATCH(F650,Sectorwise!A:A,0)),1,0)</f>
        <v>0</v>
      </c>
      <c r="S650" s="27">
        <f t="shared" si="41"/>
        <v>0</v>
      </c>
      <c r="T650" s="27">
        <f t="shared" si="42"/>
        <v>10880</v>
      </c>
      <c r="U650" s="27">
        <f t="shared" si="43"/>
        <v>0</v>
      </c>
      <c r="V650" s="95">
        <f>IF(R650=1,(N650-INDEX(Sectorwise!F:F,MATCH(F650,Sectorwise!A:A,0))),0)</f>
        <v>0</v>
      </c>
      <c r="W650" s="97">
        <f>POISSON(N650,INDEX(Sectorwise!D:D,MATCH(Travel!F682,Sectorwise!A:A,0)),TRUE)</f>
        <v>1</v>
      </c>
    </row>
    <row r="651" spans="1:24" ht="15.75" hidden="1" customHeight="1" x14ac:dyDescent="0.2">
      <c r="A651" s="63" t="s">
        <v>1447</v>
      </c>
      <c r="B651" s="63" t="s">
        <v>1458</v>
      </c>
      <c r="C651" s="63"/>
      <c r="E651" s="63" t="s">
        <v>1456</v>
      </c>
      <c r="F651" s="60" t="s">
        <v>2147</v>
      </c>
      <c r="G651" s="69" t="s">
        <v>2308</v>
      </c>
      <c r="H651" s="63" t="s">
        <v>1459</v>
      </c>
      <c r="I651" s="63" t="s">
        <v>1450</v>
      </c>
      <c r="J651" s="65">
        <v>6150</v>
      </c>
      <c r="K651" s="65">
        <v>5786</v>
      </c>
      <c r="L651" s="26">
        <f t="shared" si="40"/>
        <v>11936</v>
      </c>
      <c r="M651" s="26">
        <f t="array" ref="M651">MEDIAN(IF($F$3:$F$810=F651,$L$3:$L$810))</f>
        <v>10605</v>
      </c>
      <c r="N651" s="65">
        <v>11936</v>
      </c>
      <c r="O651" s="62">
        <v>0</v>
      </c>
      <c r="P651" s="76">
        <f>IF(N651&lt;INDEX(Sectorwise!E:E,MATCH(F651,Sectorwise!A:A,0)),1,0)</f>
        <v>0</v>
      </c>
      <c r="Q651" s="76">
        <f>IF(AND(N651&gt;=INDEX(Sectorwise!E:E,MATCH(F651,Sectorwise!A:A,0)),N651&lt;=INDEX(Sectorwise!F:F,MATCH(F651,Sectorwise!A:A,0))),1,0)</f>
        <v>0</v>
      </c>
      <c r="R651" s="76">
        <f>IF(N651&gt;INDEX(Sectorwise!F:F,MATCH(F651,Sectorwise!A:A,0)),1,0)</f>
        <v>1</v>
      </c>
      <c r="S651" s="27">
        <f t="shared" si="41"/>
        <v>0</v>
      </c>
      <c r="T651" s="27">
        <f t="shared" si="42"/>
        <v>0</v>
      </c>
      <c r="U651" s="27">
        <f t="shared" si="43"/>
        <v>11936</v>
      </c>
      <c r="V651" s="95">
        <f>IF(R651=1,(N651-INDEX(Sectorwise!F:F,MATCH(F651,Sectorwise!A:A,0))),0)</f>
        <v>236</v>
      </c>
      <c r="W651" s="97">
        <f>POISSON(N651,INDEX(Sectorwise!D:D,MATCH(Travel!F547,Sectorwise!A:A,0)),TRUE)</f>
        <v>0</v>
      </c>
    </row>
    <row r="652" spans="1:24" ht="15.75" hidden="1" customHeight="1" x14ac:dyDescent="0.2">
      <c r="A652" s="63" t="s">
        <v>1447</v>
      </c>
      <c r="B652" s="63" t="s">
        <v>1455</v>
      </c>
      <c r="C652" s="63"/>
      <c r="E652" s="63" t="s">
        <v>1456</v>
      </c>
      <c r="F652" s="21" t="s">
        <v>2149</v>
      </c>
      <c r="G652" s="33" t="s">
        <v>2321</v>
      </c>
      <c r="H652" s="63" t="s">
        <v>1457</v>
      </c>
      <c r="I652" s="63" t="s">
        <v>1450</v>
      </c>
      <c r="J652" s="65">
        <v>8731</v>
      </c>
      <c r="K652" s="65">
        <v>1421</v>
      </c>
      <c r="L652" s="26">
        <f t="shared" si="40"/>
        <v>10152</v>
      </c>
      <c r="M652" s="26">
        <f t="array" ref="M652">MEDIAN(IF($F$3:$F$810=F652,$L$3:$L$810))</f>
        <v>10332</v>
      </c>
      <c r="N652" s="65">
        <v>10152</v>
      </c>
      <c r="O652" s="62">
        <v>0</v>
      </c>
      <c r="P652" s="76">
        <f>IF(N652&lt;INDEX(Sectorwise!E:E,MATCH(F652,Sectorwise!A:A,0)),1,0)</f>
        <v>0</v>
      </c>
      <c r="Q652" s="76">
        <f>IF(AND(N652&gt;=INDEX(Sectorwise!E:E,MATCH(F652,Sectorwise!A:A,0)),N652&lt;=INDEX(Sectorwise!F:F,MATCH(F652,Sectorwise!A:A,0))),1,0)</f>
        <v>1</v>
      </c>
      <c r="R652" s="76">
        <f>IF(N652&gt;INDEX(Sectorwise!F:F,MATCH(F652,Sectorwise!A:A,0)),1,0)</f>
        <v>0</v>
      </c>
      <c r="S652" s="27">
        <f t="shared" si="41"/>
        <v>0</v>
      </c>
      <c r="T652" s="27">
        <f t="shared" si="42"/>
        <v>10152</v>
      </c>
      <c r="U652" s="27">
        <f t="shared" si="43"/>
        <v>0</v>
      </c>
      <c r="V652" s="95">
        <f>IF(R652=1,(N652-INDEX(Sectorwise!F:F,MATCH(F652,Sectorwise!A:A,0))),0)</f>
        <v>0</v>
      </c>
      <c r="W652" s="97">
        <f>POISSON(N652,INDEX(Sectorwise!D:D,MATCH(Travel!F546,Sectorwise!A:A,0)),TRUE)</f>
        <v>1</v>
      </c>
    </row>
    <row r="653" spans="1:24" ht="15.75" hidden="1" customHeight="1" x14ac:dyDescent="0.2">
      <c r="A653" s="21" t="s">
        <v>69</v>
      </c>
      <c r="B653" s="21" t="s">
        <v>78</v>
      </c>
      <c r="C653" s="22"/>
      <c r="D653" s="23" t="s">
        <v>16</v>
      </c>
      <c r="E653" s="21" t="s">
        <v>79</v>
      </c>
      <c r="F653" s="21" t="s">
        <v>2240</v>
      </c>
      <c r="G653" s="33" t="s">
        <v>2332</v>
      </c>
      <c r="H653" s="21" t="s">
        <v>80</v>
      </c>
      <c r="I653" s="21" t="s">
        <v>81</v>
      </c>
      <c r="J653" s="25">
        <v>637</v>
      </c>
      <c r="K653" s="26">
        <v>112</v>
      </c>
      <c r="L653" s="26">
        <f t="shared" si="40"/>
        <v>749</v>
      </c>
      <c r="M653" s="26">
        <f t="array" ref="M653">MEDIAN(IF($F$3:$F$810=F653,$L$3:$L$810))</f>
        <v>749</v>
      </c>
      <c r="N653" s="26">
        <v>749</v>
      </c>
      <c r="O653" s="27"/>
      <c r="P653" s="76">
        <f>IF(N653&lt;INDEX(Sectorwise!E:E,MATCH(F653,Sectorwise!A:A,0)),1,0)</f>
        <v>0</v>
      </c>
      <c r="Q653" s="76">
        <f>IF(AND(N653&gt;=INDEX(Sectorwise!E:E,MATCH(F653,Sectorwise!A:A,0)),N653&lt;=INDEX(Sectorwise!F:F,MATCH(F653,Sectorwise!A:A,0))),1,0)</f>
        <v>1</v>
      </c>
      <c r="R653" s="76">
        <f>IF(N653&gt;INDEX(Sectorwise!F:F,MATCH(F653,Sectorwise!A:A,0)),1,0)</f>
        <v>0</v>
      </c>
      <c r="S653" s="27">
        <f t="shared" si="41"/>
        <v>0</v>
      </c>
      <c r="T653" s="27">
        <f t="shared" si="42"/>
        <v>749</v>
      </c>
      <c r="U653" s="27">
        <f t="shared" si="43"/>
        <v>0</v>
      </c>
      <c r="V653" s="95">
        <f>IF(R653=1,(N653-INDEX(Sectorwise!F:F,MATCH(F653,Sectorwise!A:A,0))),0)</f>
        <v>0</v>
      </c>
      <c r="W653" s="97">
        <f>POISSON(N653,INDEX(Sectorwise!D:D,MATCH(Travel!F24,Sectorwise!A:A,0)),TRUE)</f>
        <v>0</v>
      </c>
      <c r="X653" s="28">
        <v>749</v>
      </c>
    </row>
    <row r="654" spans="1:24" ht="15.75" hidden="1" customHeight="1" x14ac:dyDescent="0.2">
      <c r="A654" s="33" t="s">
        <v>358</v>
      </c>
      <c r="B654" s="33" t="s">
        <v>378</v>
      </c>
      <c r="C654" s="40"/>
      <c r="D654" s="35"/>
      <c r="E654" s="33" t="s">
        <v>79</v>
      </c>
      <c r="F654" s="21" t="s">
        <v>2135</v>
      </c>
      <c r="G654" s="69" t="s">
        <v>2308</v>
      </c>
      <c r="H654" s="33" t="s">
        <v>380</v>
      </c>
      <c r="I654" s="33" t="s">
        <v>363</v>
      </c>
      <c r="J654" s="42">
        <v>5924</v>
      </c>
      <c r="K654" s="45">
        <v>1024</v>
      </c>
      <c r="L654" s="26">
        <f t="shared" si="40"/>
        <v>6948</v>
      </c>
      <c r="M654" s="26">
        <f t="array" ref="M654">MEDIAN(IF($F$3:$F$810=F654,$L$3:$L$810))</f>
        <v>7234</v>
      </c>
      <c r="N654" s="43">
        <f>+J654+K654</f>
        <v>6948</v>
      </c>
      <c r="O654" s="38"/>
      <c r="P654" s="76">
        <f>IF(N654&lt;INDEX(Sectorwise!E:E,MATCH(F654,Sectorwise!A:A,0)),1,0)</f>
        <v>0</v>
      </c>
      <c r="Q654" s="76">
        <f>IF(AND(N654&gt;=INDEX(Sectorwise!E:E,MATCH(F654,Sectorwise!A:A,0)),N654&lt;=INDEX(Sectorwise!F:F,MATCH(F654,Sectorwise!A:A,0))),1,0)</f>
        <v>1</v>
      </c>
      <c r="R654" s="76">
        <f>IF(N654&gt;INDEX(Sectorwise!F:F,MATCH(F654,Sectorwise!A:A,0)),1,0)</f>
        <v>0</v>
      </c>
      <c r="S654" s="27">
        <f t="shared" si="41"/>
        <v>0</v>
      </c>
      <c r="T654" s="27">
        <f t="shared" si="42"/>
        <v>6948</v>
      </c>
      <c r="U654" s="27">
        <f t="shared" si="43"/>
        <v>0</v>
      </c>
      <c r="V654" s="95">
        <f>IF(R654=1,(N654-INDEX(Sectorwise!F:F,MATCH(F654,Sectorwise!A:A,0))),0)</f>
        <v>0</v>
      </c>
      <c r="W654" s="97">
        <f>POISSON(N654,INDEX(Sectorwise!D:D,MATCH(Travel!F142,Sectorwise!A:A,0)),TRUE)</f>
        <v>3.6612336284772316E-4</v>
      </c>
      <c r="X654" s="44">
        <f>+N654-O654</f>
        <v>6948</v>
      </c>
    </row>
    <row r="655" spans="1:24" ht="15.75" hidden="1" customHeight="1" x14ac:dyDescent="0.2">
      <c r="A655" s="63" t="s">
        <v>1837</v>
      </c>
      <c r="B655" s="63" t="s">
        <v>1851</v>
      </c>
      <c r="C655" s="63"/>
      <c r="E655" s="69" t="s">
        <v>1948</v>
      </c>
      <c r="F655" s="60" t="s">
        <v>2158</v>
      </c>
      <c r="G655" s="63" t="s">
        <v>2312</v>
      </c>
      <c r="H655" s="63" t="s">
        <v>1852</v>
      </c>
      <c r="I655" s="63" t="s">
        <v>1819</v>
      </c>
      <c r="J655" s="65">
        <v>11312</v>
      </c>
      <c r="K655" s="65">
        <v>10066</v>
      </c>
      <c r="L655" s="26">
        <f t="shared" si="40"/>
        <v>21378</v>
      </c>
      <c r="M655" s="26">
        <f t="array" ref="M655">MEDIAN(IF($F$3:$F$810=F655,$L$3:$L$810))</f>
        <v>20521</v>
      </c>
      <c r="N655" s="65">
        <v>21378</v>
      </c>
      <c r="O655" s="62">
        <v>0</v>
      </c>
      <c r="P655" s="76">
        <f>IF(N655&lt;INDEX(Sectorwise!E:E,MATCH(F655,Sectorwise!A:A,0)),1,0)</f>
        <v>0</v>
      </c>
      <c r="Q655" s="76">
        <f>IF(AND(N655&gt;=INDEX(Sectorwise!E:E,MATCH(F655,Sectorwise!A:A,0)),N655&lt;=INDEX(Sectorwise!F:F,MATCH(F655,Sectorwise!A:A,0))),1,0)</f>
        <v>1</v>
      </c>
      <c r="R655" s="76">
        <f>IF(N655&gt;INDEX(Sectorwise!F:F,MATCH(F655,Sectorwise!A:A,0)),1,0)</f>
        <v>0</v>
      </c>
      <c r="S655" s="27">
        <f t="shared" si="41"/>
        <v>0</v>
      </c>
      <c r="T655" s="27">
        <f t="shared" si="42"/>
        <v>21378</v>
      </c>
      <c r="U655" s="27">
        <f t="shared" si="43"/>
        <v>0</v>
      </c>
      <c r="V655" s="95">
        <f>IF(R655=1,(N655-INDEX(Sectorwise!F:F,MATCH(F655,Sectorwise!A:A,0))),0)</f>
        <v>0</v>
      </c>
      <c r="W655" s="97">
        <f>POISSON(N655,INDEX(Sectorwise!D:D,MATCH(Travel!F703,Sectorwise!A:A,0)),TRUE)</f>
        <v>1</v>
      </c>
    </row>
    <row r="656" spans="1:24" ht="15.75" hidden="1" customHeight="1" x14ac:dyDescent="0.2">
      <c r="A656" s="69" t="s">
        <v>1942</v>
      </c>
      <c r="B656" s="69" t="s">
        <v>1947</v>
      </c>
      <c r="C656" s="69"/>
      <c r="E656" s="69" t="s">
        <v>1948</v>
      </c>
      <c r="F656" s="60" t="s">
        <v>2158</v>
      </c>
      <c r="G656" s="69" t="s">
        <v>2308</v>
      </c>
      <c r="H656" s="69" t="s">
        <v>1949</v>
      </c>
      <c r="I656" s="69" t="s">
        <v>1822</v>
      </c>
      <c r="J656" s="70">
        <v>17248</v>
      </c>
      <c r="K656" s="70">
        <v>3332</v>
      </c>
      <c r="L656" s="26">
        <f t="shared" si="40"/>
        <v>20580</v>
      </c>
      <c r="M656" s="26">
        <f t="array" ref="M656">MEDIAN(IF($F$3:$F$810=F656,$L$3:$L$810))</f>
        <v>20521</v>
      </c>
      <c r="N656" s="70">
        <v>20580</v>
      </c>
      <c r="O656" s="71">
        <v>0</v>
      </c>
      <c r="P656" s="76">
        <f>IF(N656&lt;INDEX(Sectorwise!E:E,MATCH(F656,Sectorwise!A:A,0)),1,0)</f>
        <v>0</v>
      </c>
      <c r="Q656" s="76">
        <f>IF(AND(N656&gt;=INDEX(Sectorwise!E:E,MATCH(F656,Sectorwise!A:A,0)),N656&lt;=INDEX(Sectorwise!F:F,MATCH(F656,Sectorwise!A:A,0))),1,0)</f>
        <v>1</v>
      </c>
      <c r="R656" s="76">
        <f>IF(N656&gt;INDEX(Sectorwise!F:F,MATCH(F656,Sectorwise!A:A,0)),1,0)</f>
        <v>0</v>
      </c>
      <c r="S656" s="27">
        <f t="shared" si="41"/>
        <v>0</v>
      </c>
      <c r="T656" s="27">
        <f t="shared" si="42"/>
        <v>20580</v>
      </c>
      <c r="U656" s="27">
        <f t="shared" si="43"/>
        <v>0</v>
      </c>
      <c r="V656" s="95">
        <f>IF(R656=1,(N656-INDEX(Sectorwise!F:F,MATCH(F656,Sectorwise!A:A,0))),0)</f>
        <v>0</v>
      </c>
      <c r="W656" s="97">
        <f>POISSON(N656,INDEX(Sectorwise!D:D,MATCH(Travel!F744,Sectorwise!A:A,0)),TRUE)</f>
        <v>1</v>
      </c>
    </row>
    <row r="657" spans="1:24" ht="15.75" hidden="1" customHeight="1" x14ac:dyDescent="0.2">
      <c r="A657" s="53" t="s">
        <v>512</v>
      </c>
      <c r="B657" s="54" t="s">
        <v>513</v>
      </c>
      <c r="C657" s="22"/>
      <c r="D657" s="32"/>
      <c r="E657" s="21" t="s">
        <v>514</v>
      </c>
      <c r="F657" s="29" t="s">
        <v>2134</v>
      </c>
      <c r="G657" s="63" t="s">
        <v>2312</v>
      </c>
      <c r="H657" s="21" t="s">
        <v>515</v>
      </c>
      <c r="I657" s="21" t="s">
        <v>512</v>
      </c>
      <c r="J657" s="25">
        <v>950</v>
      </c>
      <c r="K657" s="25">
        <v>2922</v>
      </c>
      <c r="L657" s="26">
        <f t="shared" si="40"/>
        <v>3872</v>
      </c>
      <c r="M657" s="26">
        <f t="array" ref="M657">MEDIAN(IF($F$3:$F$810=F657,$L$3:$L$810))</f>
        <v>7412.5</v>
      </c>
      <c r="N657" s="47">
        <v>3872</v>
      </c>
      <c r="O657" s="27"/>
      <c r="P657" s="76">
        <f>IF(N657&lt;INDEX(Sectorwise!E:E,MATCH(F657,Sectorwise!A:A,0)),1,0)</f>
        <v>1</v>
      </c>
      <c r="Q657" s="76">
        <f>IF(AND(N657&gt;=INDEX(Sectorwise!E:E,MATCH(F657,Sectorwise!A:A,0)),N657&lt;=INDEX(Sectorwise!F:F,MATCH(F657,Sectorwise!A:A,0))),1,0)</f>
        <v>0</v>
      </c>
      <c r="R657" s="76">
        <f>IF(N657&gt;INDEX(Sectorwise!F:F,MATCH(F657,Sectorwise!A:A,0)),1,0)</f>
        <v>0</v>
      </c>
      <c r="S657" s="27">
        <f t="shared" si="41"/>
        <v>3872</v>
      </c>
      <c r="T657" s="27">
        <f t="shared" si="42"/>
        <v>0</v>
      </c>
      <c r="U657" s="27">
        <f t="shared" si="43"/>
        <v>0</v>
      </c>
      <c r="V657" s="95">
        <f>IF(R657=1,(N657-INDEX(Sectorwise!F:F,MATCH(F657,Sectorwise!A:A,0))),0)</f>
        <v>0</v>
      </c>
      <c r="W657" s="97">
        <f>POISSON(N657,INDEX(Sectorwise!D:D,MATCH(Travel!F189,Sectorwise!A:A,0)),TRUE)</f>
        <v>0</v>
      </c>
    </row>
    <row r="658" spans="1:24" ht="15.75" hidden="1" customHeight="1" x14ac:dyDescent="0.2">
      <c r="A658" s="53" t="s">
        <v>512</v>
      </c>
      <c r="B658" s="54" t="s">
        <v>513</v>
      </c>
      <c r="C658" s="22"/>
      <c r="D658" s="32"/>
      <c r="E658" s="21" t="s">
        <v>514</v>
      </c>
      <c r="F658" s="21" t="s">
        <v>2135</v>
      </c>
      <c r="G658" s="69" t="s">
        <v>2308</v>
      </c>
      <c r="H658" s="21" t="s">
        <v>516</v>
      </c>
      <c r="I658" s="21" t="s">
        <v>512</v>
      </c>
      <c r="J658" s="25">
        <v>748</v>
      </c>
      <c r="K658" s="25">
        <v>2572</v>
      </c>
      <c r="L658" s="26">
        <f t="shared" si="40"/>
        <v>3320</v>
      </c>
      <c r="M658" s="26">
        <f t="array" ref="M658">MEDIAN(IF($F$3:$F$810=F658,$L$3:$L$810))</f>
        <v>7234</v>
      </c>
      <c r="N658" s="47">
        <v>3320</v>
      </c>
      <c r="O658" s="27"/>
      <c r="P658" s="76">
        <f>IF(N658&lt;INDEX(Sectorwise!E:E,MATCH(F658,Sectorwise!A:A,0)),1,0)</f>
        <v>1</v>
      </c>
      <c r="Q658" s="76">
        <f>IF(AND(N658&gt;=INDEX(Sectorwise!E:E,MATCH(F658,Sectorwise!A:A,0)),N658&lt;=INDEX(Sectorwise!F:F,MATCH(F658,Sectorwise!A:A,0))),1,0)</f>
        <v>0</v>
      </c>
      <c r="R658" s="76">
        <f>IF(N658&gt;INDEX(Sectorwise!F:F,MATCH(F658,Sectorwise!A:A,0)),1,0)</f>
        <v>0</v>
      </c>
      <c r="S658" s="27">
        <f t="shared" si="41"/>
        <v>3320</v>
      </c>
      <c r="T658" s="27">
        <f t="shared" si="42"/>
        <v>0</v>
      </c>
      <c r="U658" s="27">
        <f t="shared" si="43"/>
        <v>0</v>
      </c>
      <c r="V658" s="95">
        <f>IF(R658=1,(N658-INDEX(Sectorwise!F:F,MATCH(F658,Sectorwise!A:A,0))),0)</f>
        <v>0</v>
      </c>
      <c r="W658" s="97">
        <f>POISSON(N658,INDEX(Sectorwise!D:D,MATCH(Travel!F190,Sectorwise!A:A,0)),TRUE)</f>
        <v>0</v>
      </c>
    </row>
    <row r="659" spans="1:24" ht="15.75" hidden="1" customHeight="1" x14ac:dyDescent="0.2">
      <c r="A659" s="63" t="s">
        <v>1114</v>
      </c>
      <c r="B659" s="63" t="s">
        <v>1120</v>
      </c>
      <c r="C659" s="63"/>
      <c r="E659" s="21" t="s">
        <v>514</v>
      </c>
      <c r="F659" s="63" t="s">
        <v>2182</v>
      </c>
      <c r="G659" s="56" t="s">
        <v>2309</v>
      </c>
      <c r="H659" s="63" t="s">
        <v>1121</v>
      </c>
      <c r="I659" s="63" t="s">
        <v>1122</v>
      </c>
      <c r="J659" s="65">
        <v>5400</v>
      </c>
      <c r="K659" s="65">
        <v>18435</v>
      </c>
      <c r="L659" s="26">
        <f t="shared" si="40"/>
        <v>23835</v>
      </c>
      <c r="M659" s="26">
        <f t="array" ref="M659">MEDIAN(IF($F$3:$F$810=F659,$L$3:$L$810))</f>
        <v>23835</v>
      </c>
      <c r="N659" s="65">
        <v>23835</v>
      </c>
      <c r="O659" s="62">
        <v>0</v>
      </c>
      <c r="P659" s="76">
        <f>IF(N659&lt;INDEX(Sectorwise!E:E,MATCH(F659,Sectorwise!A:A,0)),1,0)</f>
        <v>0</v>
      </c>
      <c r="Q659" s="76">
        <f>IF(AND(N659&gt;=INDEX(Sectorwise!E:E,MATCH(F659,Sectorwise!A:A,0)),N659&lt;=INDEX(Sectorwise!F:F,MATCH(F659,Sectorwise!A:A,0))),1,0)</f>
        <v>1</v>
      </c>
      <c r="R659" s="76">
        <f>IF(N659&gt;INDEX(Sectorwise!F:F,MATCH(F659,Sectorwise!A:A,0)),1,0)</f>
        <v>0</v>
      </c>
      <c r="S659" s="27">
        <f t="shared" si="41"/>
        <v>0</v>
      </c>
      <c r="T659" s="27">
        <f t="shared" si="42"/>
        <v>23835</v>
      </c>
      <c r="U659" s="27">
        <f t="shared" si="43"/>
        <v>0</v>
      </c>
      <c r="V659" s="95">
        <f>IF(R659=1,(N659-INDEX(Sectorwise!F:F,MATCH(F659,Sectorwise!A:A,0))),0)</f>
        <v>0</v>
      </c>
      <c r="W659" s="97">
        <f>POISSON(N659,INDEX(Sectorwise!D:D,MATCH(Travel!F422,Sectorwise!A:A,0)),TRUE)</f>
        <v>1</v>
      </c>
    </row>
    <row r="660" spans="1:24" ht="15.75" hidden="1" customHeight="1" x14ac:dyDescent="0.2">
      <c r="A660" s="33" t="s">
        <v>342</v>
      </c>
      <c r="B660" s="33" t="s">
        <v>346</v>
      </c>
      <c r="C660" s="40"/>
      <c r="D660" s="35"/>
      <c r="E660" s="33" t="s">
        <v>347</v>
      </c>
      <c r="F660" s="33" t="s">
        <v>2136</v>
      </c>
      <c r="G660" s="69" t="s">
        <v>2308</v>
      </c>
      <c r="H660" s="33" t="s">
        <v>348</v>
      </c>
      <c r="I660" s="33" t="s">
        <v>341</v>
      </c>
      <c r="J660" s="42">
        <v>7719</v>
      </c>
      <c r="K660" s="45">
        <v>6849</v>
      </c>
      <c r="L660" s="26">
        <f t="shared" si="40"/>
        <v>14568</v>
      </c>
      <c r="M660" s="26">
        <f t="array" ref="M660">MEDIAN(IF($F$3:$F$810=F660,$L$3:$L$810))</f>
        <v>14406</v>
      </c>
      <c r="N660" s="43">
        <f>+J660+K660</f>
        <v>14568</v>
      </c>
      <c r="O660" s="38"/>
      <c r="P660" s="76">
        <f>IF(N660&lt;INDEX(Sectorwise!E:E,MATCH(F660,Sectorwise!A:A,0)),1,0)</f>
        <v>0</v>
      </c>
      <c r="Q660" s="76">
        <f>IF(AND(N660&gt;=INDEX(Sectorwise!E:E,MATCH(F660,Sectorwise!A:A,0)),N660&lt;=INDEX(Sectorwise!F:F,MATCH(F660,Sectorwise!A:A,0))),1,0)</f>
        <v>1</v>
      </c>
      <c r="R660" s="76">
        <f>IF(N660&gt;INDEX(Sectorwise!F:F,MATCH(F660,Sectorwise!A:A,0)),1,0)</f>
        <v>0</v>
      </c>
      <c r="S660" s="27">
        <f t="shared" si="41"/>
        <v>0</v>
      </c>
      <c r="T660" s="27">
        <f t="shared" si="42"/>
        <v>14568</v>
      </c>
      <c r="U660" s="27">
        <f t="shared" si="43"/>
        <v>0</v>
      </c>
      <c r="V660" s="95">
        <f>IF(R660=1,(N660-INDEX(Sectorwise!F:F,MATCH(F660,Sectorwise!A:A,0))),0)</f>
        <v>0</v>
      </c>
      <c r="W660" s="97">
        <f>POISSON(N660,INDEX(Sectorwise!D:D,MATCH(Travel!F128,Sectorwise!A:A,0)),TRUE)</f>
        <v>1</v>
      </c>
      <c r="X660" s="44">
        <f>+N660-O660</f>
        <v>14568</v>
      </c>
    </row>
    <row r="661" spans="1:24" ht="15.75" hidden="1" customHeight="1" x14ac:dyDescent="0.2">
      <c r="A661" s="33" t="s">
        <v>232</v>
      </c>
      <c r="B661" s="33" t="s">
        <v>233</v>
      </c>
      <c r="C661" s="40"/>
      <c r="D661" s="35"/>
      <c r="E661" s="63" t="s">
        <v>2293</v>
      </c>
      <c r="F661" s="29" t="s">
        <v>2134</v>
      </c>
      <c r="G661" s="56" t="s">
        <v>2309</v>
      </c>
      <c r="H661" s="33" t="s">
        <v>234</v>
      </c>
      <c r="I661" s="33" t="s">
        <v>219</v>
      </c>
      <c r="J661" s="36">
        <v>4500</v>
      </c>
      <c r="K661" s="36">
        <v>3171</v>
      </c>
      <c r="L661" s="26">
        <f t="shared" si="40"/>
        <v>7671</v>
      </c>
      <c r="M661" s="26">
        <f t="array" ref="M661">MEDIAN(IF($F$3:$F$810=F661,$L$3:$L$810))</f>
        <v>7412.5</v>
      </c>
      <c r="N661" s="41">
        <v>7671</v>
      </c>
      <c r="O661" s="38"/>
      <c r="P661" s="76">
        <f>IF(N661&lt;INDEX(Sectorwise!E:E,MATCH(F661,Sectorwise!A:A,0)),1,0)</f>
        <v>0</v>
      </c>
      <c r="Q661" s="76">
        <f>IF(AND(N661&gt;=INDEX(Sectorwise!E:E,MATCH(F661,Sectorwise!A:A,0)),N661&lt;=INDEX(Sectorwise!F:F,MATCH(F661,Sectorwise!A:A,0))),1,0)</f>
        <v>1</v>
      </c>
      <c r="R661" s="76">
        <f>IF(N661&gt;INDEX(Sectorwise!F:F,MATCH(F661,Sectorwise!A:A,0)),1,0)</f>
        <v>0</v>
      </c>
      <c r="S661" s="27">
        <f t="shared" si="41"/>
        <v>0</v>
      </c>
      <c r="T661" s="27">
        <f t="shared" si="42"/>
        <v>7671</v>
      </c>
      <c r="U661" s="27">
        <f t="shared" si="43"/>
        <v>0</v>
      </c>
      <c r="V661" s="95">
        <f>IF(R661=1,(N661-INDEX(Sectorwise!F:F,MATCH(F661,Sectorwise!A:A,0))),0)</f>
        <v>0</v>
      </c>
      <c r="W661" s="97">
        <f>POISSON(N661,INDEX(Sectorwise!D:D,MATCH(Travel!F88,Sectorwise!A:A,0)),TRUE)</f>
        <v>0</v>
      </c>
      <c r="X661" s="39">
        <f>+N661-O661</f>
        <v>7671</v>
      </c>
    </row>
    <row r="662" spans="1:24" ht="15.75" hidden="1" customHeight="1" x14ac:dyDescent="0.2">
      <c r="A662" s="21" t="s">
        <v>630</v>
      </c>
      <c r="B662" s="21" t="s">
        <v>649</v>
      </c>
      <c r="C662" s="22"/>
      <c r="E662" s="63" t="s">
        <v>2293</v>
      </c>
      <c r="F662" s="29" t="s">
        <v>2134</v>
      </c>
      <c r="G662" s="56" t="s">
        <v>2309</v>
      </c>
      <c r="H662" s="21" t="s">
        <v>650</v>
      </c>
      <c r="I662" s="21" t="s">
        <v>604</v>
      </c>
      <c r="J662" s="25">
        <v>1638</v>
      </c>
      <c r="K662" s="25">
        <v>1491</v>
      </c>
      <c r="L662" s="26">
        <f t="shared" si="40"/>
        <v>3129</v>
      </c>
      <c r="M662" s="26">
        <f t="array" ref="M662">MEDIAN(IF($F$3:$F$810=F662,$L$3:$L$810))</f>
        <v>7412.5</v>
      </c>
      <c r="N662" s="47">
        <v>3129</v>
      </c>
      <c r="O662" s="55"/>
      <c r="P662" s="76">
        <f>IF(N662&lt;INDEX(Sectorwise!E:E,MATCH(F662,Sectorwise!A:A,0)),1,0)</f>
        <v>1</v>
      </c>
      <c r="Q662" s="76">
        <f>IF(AND(N662&gt;=INDEX(Sectorwise!E:E,MATCH(F662,Sectorwise!A:A,0)),N662&lt;=INDEX(Sectorwise!F:F,MATCH(F662,Sectorwise!A:A,0))),1,0)</f>
        <v>0</v>
      </c>
      <c r="R662" s="76">
        <f>IF(N662&gt;INDEX(Sectorwise!F:F,MATCH(F662,Sectorwise!A:A,0)),1,0)</f>
        <v>0</v>
      </c>
      <c r="S662" s="27">
        <f t="shared" si="41"/>
        <v>3129</v>
      </c>
      <c r="T662" s="27">
        <f t="shared" si="42"/>
        <v>0</v>
      </c>
      <c r="U662" s="27">
        <f t="shared" si="43"/>
        <v>0</v>
      </c>
      <c r="V662" s="95">
        <f>IF(R662=1,(N662-INDEX(Sectorwise!F:F,MATCH(F662,Sectorwise!A:A,0))),0)</f>
        <v>0</v>
      </c>
      <c r="W662" s="97">
        <f>POISSON(N662,INDEX(Sectorwise!D:D,MATCH(Travel!F245,Sectorwise!A:A,0)),TRUE)</f>
        <v>0</v>
      </c>
    </row>
    <row r="663" spans="1:24" ht="15.75" hidden="1" customHeight="1" x14ac:dyDescent="0.2">
      <c r="A663" s="63" t="s">
        <v>1082</v>
      </c>
      <c r="B663" s="63" t="s">
        <v>1086</v>
      </c>
      <c r="C663" s="63"/>
      <c r="E663" s="63" t="s">
        <v>2293</v>
      </c>
      <c r="F663" s="29" t="s">
        <v>2134</v>
      </c>
      <c r="G663" s="63" t="s">
        <v>2312</v>
      </c>
      <c r="H663" s="63" t="s">
        <v>1087</v>
      </c>
      <c r="I663" s="63" t="s">
        <v>1088</v>
      </c>
      <c r="J663" s="65">
        <v>4820</v>
      </c>
      <c r="K663" s="65">
        <v>3136</v>
      </c>
      <c r="L663" s="26">
        <f t="shared" si="40"/>
        <v>7956</v>
      </c>
      <c r="M663" s="26">
        <f t="array" ref="M663">MEDIAN(IF($F$3:$F$810=F663,$L$3:$L$810))</f>
        <v>7412.5</v>
      </c>
      <c r="N663" s="65">
        <v>7956</v>
      </c>
      <c r="O663" s="62">
        <v>0</v>
      </c>
      <c r="P663" s="76">
        <f>IF(N663&lt;INDEX(Sectorwise!E:E,MATCH(F663,Sectorwise!A:A,0)),1,0)</f>
        <v>0</v>
      </c>
      <c r="Q663" s="76">
        <f>IF(AND(N663&gt;=INDEX(Sectorwise!E:E,MATCH(F663,Sectorwise!A:A,0)),N663&lt;=INDEX(Sectorwise!F:F,MATCH(F663,Sectorwise!A:A,0))),1,0)</f>
        <v>1</v>
      </c>
      <c r="R663" s="76">
        <f>IF(N663&gt;INDEX(Sectorwise!F:F,MATCH(F663,Sectorwise!A:A,0)),1,0)</f>
        <v>0</v>
      </c>
      <c r="S663" s="27">
        <f t="shared" si="41"/>
        <v>0</v>
      </c>
      <c r="T663" s="27">
        <f t="shared" si="42"/>
        <v>7956</v>
      </c>
      <c r="U663" s="27">
        <f t="shared" si="43"/>
        <v>0</v>
      </c>
      <c r="V663" s="95">
        <f>IF(R663=1,(N663-INDEX(Sectorwise!F:F,MATCH(F663,Sectorwise!A:A,0))),0)</f>
        <v>0</v>
      </c>
      <c r="W663" s="97">
        <f>POISSON(N663,INDEX(Sectorwise!D:D,MATCH(Travel!F410,Sectorwise!A:A,0)),TRUE)</f>
        <v>1</v>
      </c>
    </row>
    <row r="664" spans="1:24" ht="15.75" hidden="1" customHeight="1" x14ac:dyDescent="0.2">
      <c r="A664" s="60" t="s">
        <v>1337</v>
      </c>
      <c r="B664" s="60" t="s">
        <v>1338</v>
      </c>
      <c r="C664" s="60"/>
      <c r="E664" s="63" t="s">
        <v>2293</v>
      </c>
      <c r="F664" s="29" t="s">
        <v>2134</v>
      </c>
      <c r="G664" s="56" t="s">
        <v>2309</v>
      </c>
      <c r="H664" s="60" t="s">
        <v>1340</v>
      </c>
      <c r="I664" s="60" t="s">
        <v>1336</v>
      </c>
      <c r="J664" s="61">
        <v>6100</v>
      </c>
      <c r="K664" s="61">
        <v>1896</v>
      </c>
      <c r="L664" s="26">
        <f t="shared" si="40"/>
        <v>7996</v>
      </c>
      <c r="M664" s="26">
        <f t="array" ref="M664">MEDIAN(IF($F$3:$F$810=F664,$L$3:$L$810))</f>
        <v>7412.5</v>
      </c>
      <c r="N664" s="57">
        <f>J664+K664</f>
        <v>7996</v>
      </c>
      <c r="O664" s="62">
        <v>0</v>
      </c>
      <c r="P664" s="76">
        <f>IF(N664&lt;INDEX(Sectorwise!E:E,MATCH(F664,Sectorwise!A:A,0)),1,0)</f>
        <v>0</v>
      </c>
      <c r="Q664" s="76">
        <f>IF(AND(N664&gt;=INDEX(Sectorwise!E:E,MATCH(F664,Sectorwise!A:A,0)),N664&lt;=INDEX(Sectorwise!F:F,MATCH(F664,Sectorwise!A:A,0))),1,0)</f>
        <v>1</v>
      </c>
      <c r="R664" s="76">
        <f>IF(N664&gt;INDEX(Sectorwise!F:F,MATCH(F664,Sectorwise!A:A,0)),1,0)</f>
        <v>0</v>
      </c>
      <c r="S664" s="27">
        <f t="shared" si="41"/>
        <v>0</v>
      </c>
      <c r="T664" s="27">
        <f t="shared" si="42"/>
        <v>7996</v>
      </c>
      <c r="U664" s="27">
        <f t="shared" si="43"/>
        <v>0</v>
      </c>
      <c r="V664" s="95">
        <f>IF(R664=1,(N664-INDEX(Sectorwise!F:F,MATCH(F664,Sectorwise!A:A,0))),0)</f>
        <v>0</v>
      </c>
      <c r="W664" s="97">
        <f>POISSON(N664,INDEX(Sectorwise!D:D,MATCH(Travel!F501,Sectorwise!A:A,0)),TRUE)</f>
        <v>1</v>
      </c>
    </row>
    <row r="665" spans="1:24" ht="15.75" hidden="1" customHeight="1" x14ac:dyDescent="0.2">
      <c r="A665" s="63" t="s">
        <v>1600</v>
      </c>
      <c r="B665" s="63" t="s">
        <v>1611</v>
      </c>
      <c r="C665" s="63"/>
      <c r="E665" s="63" t="s">
        <v>2293</v>
      </c>
      <c r="F665" s="29" t="s">
        <v>2134</v>
      </c>
      <c r="G665" s="56" t="s">
        <v>2309</v>
      </c>
      <c r="H665" s="63" t="s">
        <v>1612</v>
      </c>
      <c r="I665" s="63" t="s">
        <v>1598</v>
      </c>
      <c r="J665" s="65">
        <v>5500</v>
      </c>
      <c r="K665" s="65">
        <v>1887</v>
      </c>
      <c r="L665" s="26">
        <f t="shared" si="40"/>
        <v>7387</v>
      </c>
      <c r="M665" s="26">
        <f t="array" ref="M665">MEDIAN(IF($F$3:$F$810=F665,$L$3:$L$810))</f>
        <v>7412.5</v>
      </c>
      <c r="N665" s="65">
        <v>7387</v>
      </c>
      <c r="O665" s="62">
        <v>0</v>
      </c>
      <c r="P665" s="76">
        <f>IF(N665&lt;INDEX(Sectorwise!E:E,MATCH(F665,Sectorwise!A:A,0)),1,0)</f>
        <v>0</v>
      </c>
      <c r="Q665" s="76">
        <f>IF(AND(N665&gt;=INDEX(Sectorwise!E:E,MATCH(F665,Sectorwise!A:A,0)),N665&lt;=INDEX(Sectorwise!F:F,MATCH(F665,Sectorwise!A:A,0))),1,0)</f>
        <v>1</v>
      </c>
      <c r="R665" s="76">
        <f>IF(N665&gt;INDEX(Sectorwise!F:F,MATCH(F665,Sectorwise!A:A,0)),1,0)</f>
        <v>0</v>
      </c>
      <c r="S665" s="27">
        <f t="shared" si="41"/>
        <v>0</v>
      </c>
      <c r="T665" s="27">
        <f t="shared" si="42"/>
        <v>7387</v>
      </c>
      <c r="U665" s="27">
        <f t="shared" si="43"/>
        <v>0</v>
      </c>
      <c r="V665" s="95">
        <f>IF(R665=1,(N665-INDEX(Sectorwise!F:F,MATCH(F665,Sectorwise!A:A,0))),0)</f>
        <v>0</v>
      </c>
      <c r="W665" s="97">
        <f>POISSON(N665,INDEX(Sectorwise!D:D,MATCH(Travel!F615,Sectorwise!A:A,0)),TRUE)</f>
        <v>1</v>
      </c>
    </row>
    <row r="666" spans="1:24" ht="15.75" hidden="1" customHeight="1" x14ac:dyDescent="0.2">
      <c r="A666" s="29" t="s">
        <v>1676</v>
      </c>
      <c r="B666" s="29" t="s">
        <v>1685</v>
      </c>
      <c r="C666" s="29"/>
      <c r="E666" s="63" t="s">
        <v>2293</v>
      </c>
      <c r="F666" s="63" t="s">
        <v>2147</v>
      </c>
      <c r="G666" s="56" t="s">
        <v>2309</v>
      </c>
      <c r="H666" s="29" t="s">
        <v>1686</v>
      </c>
      <c r="I666" s="29" t="s">
        <v>1680</v>
      </c>
      <c r="J666" s="65">
        <v>6400</v>
      </c>
      <c r="K666" s="65">
        <v>4029</v>
      </c>
      <c r="L666" s="26">
        <f t="shared" si="40"/>
        <v>10429</v>
      </c>
      <c r="M666" s="26">
        <f t="array" ref="M666">MEDIAN(IF($F$3:$F$810=F666,$L$3:$L$810))</f>
        <v>10605</v>
      </c>
      <c r="N666" s="65">
        <v>10429</v>
      </c>
      <c r="O666" s="62"/>
      <c r="P666" s="76">
        <f>IF(N666&lt;INDEX(Sectorwise!E:E,MATCH(F666,Sectorwise!A:A,0)),1,0)</f>
        <v>0</v>
      </c>
      <c r="Q666" s="76">
        <f>IF(AND(N666&gt;=INDEX(Sectorwise!E:E,MATCH(F666,Sectorwise!A:A,0)),N666&lt;=INDEX(Sectorwise!F:F,MATCH(F666,Sectorwise!A:A,0))),1,0)</f>
        <v>1</v>
      </c>
      <c r="R666" s="76">
        <f>IF(N666&gt;INDEX(Sectorwise!F:F,MATCH(F666,Sectorwise!A:A,0)),1,0)</f>
        <v>0</v>
      </c>
      <c r="S666" s="27">
        <f t="shared" si="41"/>
        <v>0</v>
      </c>
      <c r="T666" s="27">
        <f t="shared" si="42"/>
        <v>10429</v>
      </c>
      <c r="U666" s="27">
        <f t="shared" si="43"/>
        <v>0</v>
      </c>
      <c r="V666" s="95">
        <f>IF(R666=1,(N666-INDEX(Sectorwise!F:F,MATCH(F666,Sectorwise!A:A,0))),0)</f>
        <v>0</v>
      </c>
      <c r="W666" s="97">
        <f>POISSON(N666,INDEX(Sectorwise!D:D,MATCH(Travel!F640,Sectorwise!A:A,0)),TRUE)</f>
        <v>1</v>
      </c>
    </row>
    <row r="667" spans="1:24" ht="15.75" hidden="1" customHeight="1" x14ac:dyDescent="0.2">
      <c r="A667" s="63" t="s">
        <v>1791</v>
      </c>
      <c r="B667" s="63" t="s">
        <v>1802</v>
      </c>
      <c r="C667" s="63"/>
      <c r="E667" s="63" t="s">
        <v>2293</v>
      </c>
      <c r="F667" s="63" t="s">
        <v>2138</v>
      </c>
      <c r="G667" s="63" t="s">
        <v>2314</v>
      </c>
      <c r="H667" s="63" t="s">
        <v>1803</v>
      </c>
      <c r="I667" s="63" t="s">
        <v>1804</v>
      </c>
      <c r="J667" s="65">
        <v>27480</v>
      </c>
      <c r="K667" s="65">
        <v>6820</v>
      </c>
      <c r="L667" s="26">
        <f t="shared" si="40"/>
        <v>34300</v>
      </c>
      <c r="M667" s="26">
        <f t="array" ref="M667">MEDIAN(IF($F$3:$F$810=F667,$L$3:$L$810))</f>
        <v>21300</v>
      </c>
      <c r="N667" s="65">
        <v>34300</v>
      </c>
      <c r="O667" s="62">
        <v>0</v>
      </c>
      <c r="P667" s="76">
        <f>IF(N667&lt;INDEX(Sectorwise!E:E,MATCH(F667,Sectorwise!A:A,0)),1,0)</f>
        <v>0</v>
      </c>
      <c r="Q667" s="76">
        <f>IF(AND(N667&gt;=INDEX(Sectorwise!E:E,MATCH(F667,Sectorwise!A:A,0)),N667&lt;=INDEX(Sectorwise!F:F,MATCH(F667,Sectorwise!A:A,0))),1,0)</f>
        <v>0</v>
      </c>
      <c r="R667" s="76">
        <f>IF(N667&gt;INDEX(Sectorwise!F:F,MATCH(F667,Sectorwise!A:A,0)),1,0)</f>
        <v>1</v>
      </c>
      <c r="S667" s="27">
        <f t="shared" si="41"/>
        <v>0</v>
      </c>
      <c r="T667" s="27">
        <f t="shared" si="42"/>
        <v>0</v>
      </c>
      <c r="U667" s="27">
        <f t="shared" si="43"/>
        <v>34300</v>
      </c>
      <c r="V667" s="95">
        <f>IF(R667=1,(N667-INDEX(Sectorwise!F:F,MATCH(F667,Sectorwise!A:A,0))),0)</f>
        <v>10800</v>
      </c>
      <c r="W667" s="97">
        <f>POISSON(N667,INDEX(Sectorwise!D:D,MATCH(Travel!F683,Sectorwise!A:A,0)),TRUE)</f>
        <v>1</v>
      </c>
    </row>
    <row r="668" spans="1:24" ht="15.75" hidden="1" customHeight="1" x14ac:dyDescent="0.2">
      <c r="A668" s="63" t="s">
        <v>1812</v>
      </c>
      <c r="B668" s="63" t="s">
        <v>1813</v>
      </c>
      <c r="C668" s="63"/>
      <c r="E668" s="63" t="s">
        <v>2293</v>
      </c>
      <c r="F668" s="63" t="s">
        <v>2138</v>
      </c>
      <c r="G668" s="63" t="s">
        <v>2314</v>
      </c>
      <c r="H668" s="63" t="s">
        <v>1814</v>
      </c>
      <c r="I668" s="63" t="s">
        <v>1804</v>
      </c>
      <c r="J668" s="65">
        <v>0</v>
      </c>
      <c r="K668" s="65">
        <v>8300</v>
      </c>
      <c r="L668" s="26">
        <f t="shared" si="40"/>
        <v>8300</v>
      </c>
      <c r="M668" s="26">
        <f t="array" ref="M668">MEDIAN(IF($F$3:$F$810=F668,$L$3:$L$810))</f>
        <v>21300</v>
      </c>
      <c r="N668" s="65">
        <v>8300</v>
      </c>
      <c r="O668" s="62">
        <v>0</v>
      </c>
      <c r="P668" s="76">
        <f>IF(N668&lt;INDEX(Sectorwise!E:E,MATCH(F668,Sectorwise!A:A,0)),1,0)</f>
        <v>1</v>
      </c>
      <c r="Q668" s="76">
        <f>IF(AND(N668&gt;=INDEX(Sectorwise!E:E,MATCH(F668,Sectorwise!A:A,0)),N668&lt;=INDEX(Sectorwise!F:F,MATCH(F668,Sectorwise!A:A,0))),1,0)</f>
        <v>0</v>
      </c>
      <c r="R668" s="76">
        <f>IF(N668&gt;INDEX(Sectorwise!F:F,MATCH(F668,Sectorwise!A:A,0)),1,0)</f>
        <v>0</v>
      </c>
      <c r="S668" s="27">
        <f t="shared" si="41"/>
        <v>8300</v>
      </c>
      <c r="T668" s="27">
        <f t="shared" si="42"/>
        <v>0</v>
      </c>
      <c r="U668" s="27">
        <f t="shared" si="43"/>
        <v>0</v>
      </c>
      <c r="V668" s="95">
        <f>IF(R668=1,(N668-INDEX(Sectorwise!F:F,MATCH(F668,Sectorwise!A:A,0))),0)</f>
        <v>0</v>
      </c>
      <c r="W668" s="97">
        <f>POISSON(N668,INDEX(Sectorwise!D:D,MATCH(Travel!F686,Sectorwise!A:A,0)),TRUE)</f>
        <v>0.78491192180309477</v>
      </c>
    </row>
    <row r="669" spans="1:24" ht="15.75" hidden="1" customHeight="1" x14ac:dyDescent="0.2">
      <c r="A669" s="63" t="s">
        <v>1217</v>
      </c>
      <c r="B669" s="63" t="s">
        <v>1218</v>
      </c>
      <c r="C669" s="63" t="s">
        <v>1219</v>
      </c>
      <c r="E669" s="63" t="s">
        <v>2293</v>
      </c>
      <c r="F669" s="21" t="s">
        <v>2142</v>
      </c>
      <c r="G669" s="63" t="s">
        <v>2312</v>
      </c>
      <c r="H669" s="63" t="s">
        <v>1220</v>
      </c>
      <c r="I669" s="63" t="s">
        <v>1214</v>
      </c>
      <c r="J669" s="65">
        <v>2870</v>
      </c>
      <c r="K669" s="65">
        <v>2714</v>
      </c>
      <c r="L669" s="26">
        <f t="shared" si="40"/>
        <v>5584</v>
      </c>
      <c r="M669" s="26">
        <f t="array" ref="M669">MEDIAN(IF($F$3:$F$810=F669,$L$3:$L$810))</f>
        <v>5161</v>
      </c>
      <c r="N669" s="65">
        <v>5584</v>
      </c>
      <c r="O669" s="62">
        <v>4431</v>
      </c>
      <c r="P669" s="76">
        <f>IF(N669&lt;INDEX(Sectorwise!E:E,MATCH(F669,Sectorwise!A:A,0)),1,0)</f>
        <v>0</v>
      </c>
      <c r="Q669" s="76">
        <f>IF(AND(N669&gt;=INDEX(Sectorwise!E:E,MATCH(F669,Sectorwise!A:A,0)),N669&lt;=INDEX(Sectorwise!F:F,MATCH(F669,Sectorwise!A:A,0))),1,0)</f>
        <v>1</v>
      </c>
      <c r="R669" s="76">
        <f>IF(N669&gt;INDEX(Sectorwise!F:F,MATCH(F669,Sectorwise!A:A,0)),1,0)</f>
        <v>0</v>
      </c>
      <c r="S669" s="27">
        <f t="shared" si="41"/>
        <v>0</v>
      </c>
      <c r="T669" s="27">
        <f t="shared" si="42"/>
        <v>5584</v>
      </c>
      <c r="U669" s="27">
        <f t="shared" si="43"/>
        <v>0</v>
      </c>
      <c r="V669" s="95">
        <f>IF(R669=1,(N669-INDEX(Sectorwise!F:F,MATCH(F669,Sectorwise!A:A,0))),0)</f>
        <v>0</v>
      </c>
      <c r="W669" s="97">
        <f>POISSON(N669,INDEX(Sectorwise!D:D,MATCH(Travel!F460,Sectorwise!A:A,0)),TRUE)</f>
        <v>0</v>
      </c>
    </row>
    <row r="670" spans="1:24" ht="15.75" hidden="1" customHeight="1" x14ac:dyDescent="0.2">
      <c r="A670" s="63" t="s">
        <v>1473</v>
      </c>
      <c r="B670" s="63" t="s">
        <v>1490</v>
      </c>
      <c r="C670" s="63"/>
      <c r="E670" s="63" t="s">
        <v>2293</v>
      </c>
      <c r="F670" s="63" t="s">
        <v>2155</v>
      </c>
      <c r="G670" s="63" t="s">
        <v>2319</v>
      </c>
      <c r="H670" s="63" t="s">
        <v>1491</v>
      </c>
      <c r="I670" s="63" t="s">
        <v>1453</v>
      </c>
      <c r="J670" s="65">
        <v>31900</v>
      </c>
      <c r="K670" s="65">
        <v>5100</v>
      </c>
      <c r="L670" s="26">
        <f t="shared" si="40"/>
        <v>37000</v>
      </c>
      <c r="M670" s="26">
        <f t="array" ref="M670">MEDIAN(IF($F$3:$F$810=F670,$L$3:$L$810))</f>
        <v>33500</v>
      </c>
      <c r="N670" s="65">
        <v>37000</v>
      </c>
      <c r="O670" s="62">
        <v>0</v>
      </c>
      <c r="P670" s="76">
        <f>IF(N670&lt;INDEX(Sectorwise!E:E,MATCH(F670,Sectorwise!A:A,0)),1,0)</f>
        <v>0</v>
      </c>
      <c r="Q670" s="76">
        <f>IF(AND(N670&gt;=INDEX(Sectorwise!E:E,MATCH(F670,Sectorwise!A:A,0)),N670&lt;=INDEX(Sectorwise!F:F,MATCH(F670,Sectorwise!A:A,0))),1,0)</f>
        <v>0</v>
      </c>
      <c r="R670" s="76">
        <f>IF(N670&gt;INDEX(Sectorwise!F:F,MATCH(F670,Sectorwise!A:A,0)),1,0)</f>
        <v>1</v>
      </c>
      <c r="S670" s="27">
        <f t="shared" si="41"/>
        <v>0</v>
      </c>
      <c r="T670" s="27">
        <f t="shared" si="42"/>
        <v>0</v>
      </c>
      <c r="U670" s="27">
        <f t="shared" si="43"/>
        <v>37000</v>
      </c>
      <c r="V670" s="95">
        <f>IF(R670=1,(N670-INDEX(Sectorwise!F:F,MATCH(F670,Sectorwise!A:A,0))),0)</f>
        <v>100</v>
      </c>
      <c r="W670" s="97">
        <f>POISSON(N670,INDEX(Sectorwise!D:D,MATCH(Travel!F562,Sectorwise!A:A,0)),TRUE)</f>
        <v>1</v>
      </c>
    </row>
    <row r="671" spans="1:24" ht="15.75" hidden="1" customHeight="1" x14ac:dyDescent="0.2">
      <c r="A671" s="63" t="s">
        <v>1916</v>
      </c>
      <c r="B671" s="63" t="s">
        <v>1928</v>
      </c>
      <c r="C671" s="63"/>
      <c r="E671" s="63" t="s">
        <v>2293</v>
      </c>
      <c r="F671" s="63" t="s">
        <v>2155</v>
      </c>
      <c r="G671" s="63" t="s">
        <v>2319</v>
      </c>
      <c r="H671" s="63" t="s">
        <v>1929</v>
      </c>
      <c r="I671" s="63" t="s">
        <v>1899</v>
      </c>
      <c r="J671" s="65">
        <v>25775</v>
      </c>
      <c r="K671" s="65">
        <v>7725</v>
      </c>
      <c r="L671" s="26">
        <f t="shared" si="40"/>
        <v>33500</v>
      </c>
      <c r="M671" s="26">
        <f t="array" ref="M671">MEDIAN(IF($F$3:$F$810=F671,$L$3:$L$810))</f>
        <v>33500</v>
      </c>
      <c r="N671" s="65">
        <v>33500</v>
      </c>
      <c r="O671" s="62">
        <v>0</v>
      </c>
      <c r="P671" s="76">
        <f>IF(N671&lt;INDEX(Sectorwise!E:E,MATCH(F671,Sectorwise!A:A,0)),1,0)</f>
        <v>0</v>
      </c>
      <c r="Q671" s="76">
        <f>IF(AND(N671&gt;=INDEX(Sectorwise!E:E,MATCH(F671,Sectorwise!A:A,0)),N671&lt;=INDEX(Sectorwise!F:F,MATCH(F671,Sectorwise!A:A,0))),1,0)</f>
        <v>1</v>
      </c>
      <c r="R671" s="76">
        <f>IF(N671&gt;INDEX(Sectorwise!F:F,MATCH(F671,Sectorwise!A:A,0)),1,0)</f>
        <v>0</v>
      </c>
      <c r="S671" s="27">
        <f t="shared" si="41"/>
        <v>0</v>
      </c>
      <c r="T671" s="27">
        <f t="shared" si="42"/>
        <v>33500</v>
      </c>
      <c r="U671" s="27">
        <f t="shared" si="43"/>
        <v>0</v>
      </c>
      <c r="V671" s="95">
        <f>IF(R671=1,(N671-INDEX(Sectorwise!F:F,MATCH(F671,Sectorwise!A:A,0))),0)</f>
        <v>0</v>
      </c>
      <c r="W671" s="97">
        <f>POISSON(N671,INDEX(Sectorwise!D:D,MATCH(Travel!F735,Sectorwise!A:A,0)),TRUE)</f>
        <v>1</v>
      </c>
    </row>
    <row r="672" spans="1:24" ht="15.75" hidden="1" customHeight="1" x14ac:dyDescent="0.2">
      <c r="A672" s="63" t="s">
        <v>1234</v>
      </c>
      <c r="B672" s="63" t="s">
        <v>1235</v>
      </c>
      <c r="C672" s="63"/>
      <c r="E672" s="63" t="s">
        <v>2293</v>
      </c>
      <c r="F672" s="33" t="s">
        <v>2171</v>
      </c>
      <c r="G672" s="33" t="s">
        <v>2321</v>
      </c>
      <c r="H672" s="63" t="s">
        <v>1236</v>
      </c>
      <c r="I672" s="63" t="s">
        <v>1226</v>
      </c>
      <c r="J672" s="65">
        <v>4109</v>
      </c>
      <c r="K672" s="65">
        <v>840</v>
      </c>
      <c r="L672" s="26">
        <f t="shared" si="40"/>
        <v>4949</v>
      </c>
      <c r="M672" s="26">
        <f t="array" ref="M672">MEDIAN(IF($F$3:$F$810=F672,$L$3:$L$810))</f>
        <v>5042</v>
      </c>
      <c r="N672" s="65">
        <v>4949</v>
      </c>
      <c r="O672" s="62">
        <v>0</v>
      </c>
      <c r="P672" s="76">
        <f>IF(N672&lt;INDEX(Sectorwise!E:E,MATCH(F672,Sectorwise!A:A,0)),1,0)</f>
        <v>0</v>
      </c>
      <c r="Q672" s="76">
        <f>IF(AND(N672&gt;=INDEX(Sectorwise!E:E,MATCH(F672,Sectorwise!A:A,0)),N672&lt;=INDEX(Sectorwise!F:F,MATCH(F672,Sectorwise!A:A,0))),1,0)</f>
        <v>1</v>
      </c>
      <c r="R672" s="76">
        <f>IF(N672&gt;INDEX(Sectorwise!F:F,MATCH(F672,Sectorwise!A:A,0)),1,0)</f>
        <v>0</v>
      </c>
      <c r="S672" s="27">
        <f t="shared" si="41"/>
        <v>0</v>
      </c>
      <c r="T672" s="27">
        <f t="shared" si="42"/>
        <v>4949</v>
      </c>
      <c r="U672" s="27">
        <f t="shared" si="43"/>
        <v>0</v>
      </c>
      <c r="V672" s="95">
        <f>IF(R672=1,(N672-INDEX(Sectorwise!F:F,MATCH(F672,Sectorwise!A:A,0))),0)</f>
        <v>0</v>
      </c>
      <c r="W672" s="97">
        <f>POISSON(N672,INDEX(Sectorwise!D:D,MATCH(Travel!F465,Sectorwise!A:A,0)),TRUE)</f>
        <v>4.3221493428272135E-204</v>
      </c>
    </row>
    <row r="673" spans="1:24" ht="15.75" hidden="1" customHeight="1" x14ac:dyDescent="0.2">
      <c r="A673" s="21" t="s">
        <v>88</v>
      </c>
      <c r="B673" s="21" t="s">
        <v>89</v>
      </c>
      <c r="C673" s="22"/>
      <c r="D673" s="23" t="s">
        <v>16</v>
      </c>
      <c r="E673" s="63" t="s">
        <v>2293</v>
      </c>
      <c r="F673" s="21" t="s">
        <v>2135</v>
      </c>
      <c r="G673" s="56" t="s">
        <v>2309</v>
      </c>
      <c r="H673" s="21" t="s">
        <v>90</v>
      </c>
      <c r="I673" s="21" t="s">
        <v>74</v>
      </c>
      <c r="J673" s="25">
        <v>3920</v>
      </c>
      <c r="K673" s="26">
        <v>3222</v>
      </c>
      <c r="L673" s="26">
        <f t="shared" si="40"/>
        <v>7142</v>
      </c>
      <c r="M673" s="26">
        <f t="array" ref="M673">MEDIAN(IF($F$3:$F$810=F673,$L$3:$L$810))</f>
        <v>7234</v>
      </c>
      <c r="N673" s="26">
        <v>7142</v>
      </c>
      <c r="O673" s="27"/>
      <c r="P673" s="76">
        <f>IF(N673&lt;INDEX(Sectorwise!E:E,MATCH(F673,Sectorwise!A:A,0)),1,0)</f>
        <v>0</v>
      </c>
      <c r="Q673" s="76">
        <f>IF(AND(N673&gt;=INDEX(Sectorwise!E:E,MATCH(F673,Sectorwise!A:A,0)),N673&lt;=INDEX(Sectorwise!F:F,MATCH(F673,Sectorwise!A:A,0))),1,0)</f>
        <v>1</v>
      </c>
      <c r="R673" s="76">
        <f>IF(N673&gt;INDEX(Sectorwise!F:F,MATCH(F673,Sectorwise!A:A,0)),1,0)</f>
        <v>0</v>
      </c>
      <c r="S673" s="27">
        <f t="shared" si="41"/>
        <v>0</v>
      </c>
      <c r="T673" s="27">
        <f t="shared" si="42"/>
        <v>7142</v>
      </c>
      <c r="U673" s="27">
        <f t="shared" si="43"/>
        <v>0</v>
      </c>
      <c r="V673" s="95">
        <f>IF(R673=1,(N673-INDEX(Sectorwise!F:F,MATCH(F673,Sectorwise!A:A,0))),0)</f>
        <v>0</v>
      </c>
      <c r="W673" s="97">
        <f>POISSON(N673,INDEX(Sectorwise!D:D,MATCH(Travel!F27,Sectorwise!A:A,0)),TRUE)</f>
        <v>8.0683582943369447E-4</v>
      </c>
      <c r="X673" s="28">
        <v>7142</v>
      </c>
    </row>
    <row r="674" spans="1:24" ht="15.75" hidden="1" customHeight="1" x14ac:dyDescent="0.2">
      <c r="A674" s="33" t="s">
        <v>232</v>
      </c>
      <c r="B674" s="33" t="s">
        <v>233</v>
      </c>
      <c r="C674" s="40"/>
      <c r="D674" s="35"/>
      <c r="E674" s="63" t="s">
        <v>2293</v>
      </c>
      <c r="F674" s="21" t="s">
        <v>2135</v>
      </c>
      <c r="G674" s="56" t="s">
        <v>2309</v>
      </c>
      <c r="H674" s="33" t="s">
        <v>235</v>
      </c>
      <c r="I674" s="33" t="s">
        <v>219</v>
      </c>
      <c r="J674" s="36">
        <v>4500</v>
      </c>
      <c r="K674" s="36">
        <v>3254</v>
      </c>
      <c r="L674" s="26">
        <f t="shared" si="40"/>
        <v>7754</v>
      </c>
      <c r="M674" s="26">
        <f t="array" ref="M674">MEDIAN(IF($F$3:$F$810=F674,$L$3:$L$810))</f>
        <v>7234</v>
      </c>
      <c r="N674" s="41">
        <v>7754</v>
      </c>
      <c r="O674" s="38"/>
      <c r="P674" s="76">
        <f>IF(N674&lt;INDEX(Sectorwise!E:E,MATCH(F674,Sectorwise!A:A,0)),1,0)</f>
        <v>0</v>
      </c>
      <c r="Q674" s="76">
        <f>IF(AND(N674&gt;=INDEX(Sectorwise!E:E,MATCH(F674,Sectorwise!A:A,0)),N674&lt;=INDEX(Sectorwise!F:F,MATCH(F674,Sectorwise!A:A,0))),1,0)</f>
        <v>1</v>
      </c>
      <c r="R674" s="76">
        <f>IF(N674&gt;INDEX(Sectorwise!F:F,MATCH(F674,Sectorwise!A:A,0)),1,0)</f>
        <v>0</v>
      </c>
      <c r="S674" s="27">
        <f t="shared" si="41"/>
        <v>0</v>
      </c>
      <c r="T674" s="27">
        <f t="shared" si="42"/>
        <v>7754</v>
      </c>
      <c r="U674" s="27">
        <f t="shared" si="43"/>
        <v>0</v>
      </c>
      <c r="V674" s="95">
        <f>IF(R674=1,(N674-INDEX(Sectorwise!F:F,MATCH(F674,Sectorwise!A:A,0))),0)</f>
        <v>0</v>
      </c>
      <c r="W674" s="97">
        <f>POISSON(N674,INDEX(Sectorwise!D:D,MATCH(Travel!F89,Sectorwise!A:A,0)),TRUE)</f>
        <v>0</v>
      </c>
      <c r="X674" s="39">
        <f>+N674-O674</f>
        <v>7754</v>
      </c>
    </row>
    <row r="675" spans="1:24" ht="15.75" hidden="1" customHeight="1" x14ac:dyDescent="0.2">
      <c r="A675" s="21" t="s">
        <v>630</v>
      </c>
      <c r="B675" s="21" t="s">
        <v>649</v>
      </c>
      <c r="C675" s="22"/>
      <c r="E675" s="63" t="s">
        <v>2293</v>
      </c>
      <c r="F675" s="21" t="s">
        <v>2135</v>
      </c>
      <c r="G675" s="56" t="s">
        <v>2309</v>
      </c>
      <c r="H675" s="21" t="s">
        <v>651</v>
      </c>
      <c r="I675" s="21" t="s">
        <v>621</v>
      </c>
      <c r="J675" s="25">
        <v>1382</v>
      </c>
      <c r="K675" s="25">
        <v>1612</v>
      </c>
      <c r="L675" s="26">
        <f t="shared" si="40"/>
        <v>2994</v>
      </c>
      <c r="M675" s="26">
        <f t="array" ref="M675">MEDIAN(IF($F$3:$F$810=F675,$L$3:$L$810))</f>
        <v>7234</v>
      </c>
      <c r="N675" s="47">
        <v>2994</v>
      </c>
      <c r="O675" s="55"/>
      <c r="P675" s="76">
        <f>IF(N675&lt;INDEX(Sectorwise!E:E,MATCH(F675,Sectorwise!A:A,0)),1,0)</f>
        <v>1</v>
      </c>
      <c r="Q675" s="76">
        <f>IF(AND(N675&gt;=INDEX(Sectorwise!E:E,MATCH(F675,Sectorwise!A:A,0)),N675&lt;=INDEX(Sectorwise!F:F,MATCH(F675,Sectorwise!A:A,0))),1,0)</f>
        <v>0</v>
      </c>
      <c r="R675" s="76">
        <f>IF(N675&gt;INDEX(Sectorwise!F:F,MATCH(F675,Sectorwise!A:A,0)),1,0)</f>
        <v>0</v>
      </c>
      <c r="S675" s="27">
        <f t="shared" si="41"/>
        <v>2994</v>
      </c>
      <c r="T675" s="27">
        <f t="shared" si="42"/>
        <v>0</v>
      </c>
      <c r="U675" s="27">
        <f t="shared" si="43"/>
        <v>0</v>
      </c>
      <c r="V675" s="95">
        <f>IF(R675=1,(N675-INDEX(Sectorwise!F:F,MATCH(F675,Sectorwise!A:A,0))),0)</f>
        <v>0</v>
      </c>
      <c r="W675" s="97">
        <f>POISSON(N675,INDEX(Sectorwise!D:D,MATCH(Travel!F246,Sectorwise!A:A,0)),TRUE)</f>
        <v>0</v>
      </c>
    </row>
    <row r="676" spans="1:24" ht="15.75" hidden="1" customHeight="1" x14ac:dyDescent="0.2">
      <c r="A676" s="60" t="s">
        <v>912</v>
      </c>
      <c r="B676" s="60" t="s">
        <v>934</v>
      </c>
      <c r="C676" s="60"/>
      <c r="E676" s="63" t="s">
        <v>2293</v>
      </c>
      <c r="F676" s="21" t="s">
        <v>2135</v>
      </c>
      <c r="G676" s="56" t="s">
        <v>2309</v>
      </c>
      <c r="H676" s="60" t="s">
        <v>935</v>
      </c>
      <c r="I676" s="60" t="s">
        <v>926</v>
      </c>
      <c r="J676" s="61">
        <v>4560</v>
      </c>
      <c r="K676" s="61">
        <v>1992</v>
      </c>
      <c r="L676" s="26">
        <f t="shared" si="40"/>
        <v>6552</v>
      </c>
      <c r="M676" s="26">
        <f t="array" ref="M676">MEDIAN(IF($F$3:$F$810=F676,$L$3:$L$810))</f>
        <v>7234</v>
      </c>
      <c r="N676" s="61">
        <v>6552</v>
      </c>
      <c r="O676" s="62">
        <v>0</v>
      </c>
      <c r="P676" s="76">
        <f>IF(N676&lt;INDEX(Sectorwise!E:E,MATCH(F676,Sectorwise!A:A,0)),1,0)</f>
        <v>0</v>
      </c>
      <c r="Q676" s="76">
        <f>IF(AND(N676&gt;=INDEX(Sectorwise!E:E,MATCH(F676,Sectorwise!A:A,0)),N676&lt;=INDEX(Sectorwise!F:F,MATCH(F676,Sectorwise!A:A,0))),1,0)</f>
        <v>1</v>
      </c>
      <c r="R676" s="76">
        <f>IF(N676&gt;INDEX(Sectorwise!F:F,MATCH(F676,Sectorwise!A:A,0)),1,0)</f>
        <v>0</v>
      </c>
      <c r="S676" s="27">
        <f t="shared" si="41"/>
        <v>0</v>
      </c>
      <c r="T676" s="27">
        <f t="shared" si="42"/>
        <v>6552</v>
      </c>
      <c r="U676" s="27">
        <f t="shared" si="43"/>
        <v>0</v>
      </c>
      <c r="V676" s="95">
        <f>IF(R676=1,(N676-INDEX(Sectorwise!F:F,MATCH(F676,Sectorwise!A:A,0))),0)</f>
        <v>0</v>
      </c>
      <c r="W676" s="97">
        <f>POISSON(N676,INDEX(Sectorwise!D:D,MATCH(Travel!F349,Sectorwise!A:A,0)),TRUE)</f>
        <v>0</v>
      </c>
    </row>
    <row r="677" spans="1:24" ht="15.75" hidden="1" customHeight="1" x14ac:dyDescent="0.2">
      <c r="A677" s="63" t="s">
        <v>1093</v>
      </c>
      <c r="B677" s="63" t="s">
        <v>1102</v>
      </c>
      <c r="C677" s="63"/>
      <c r="E677" s="63" t="s">
        <v>2293</v>
      </c>
      <c r="F677" s="21" t="s">
        <v>2135</v>
      </c>
      <c r="G677" s="56" t="s">
        <v>2309</v>
      </c>
      <c r="H677" s="63" t="s">
        <v>1103</v>
      </c>
      <c r="I677" s="63" t="s">
        <v>1104</v>
      </c>
      <c r="J677" s="65">
        <v>6050</v>
      </c>
      <c r="K677" s="65">
        <v>1976</v>
      </c>
      <c r="L677" s="26">
        <f t="shared" si="40"/>
        <v>8026</v>
      </c>
      <c r="M677" s="26">
        <f t="array" ref="M677">MEDIAN(IF($F$3:$F$810=F677,$L$3:$L$810))</f>
        <v>7234</v>
      </c>
      <c r="N677" s="65">
        <v>8026</v>
      </c>
      <c r="O677" s="62">
        <v>0</v>
      </c>
      <c r="P677" s="76">
        <f>IF(N677&lt;INDEX(Sectorwise!E:E,MATCH(F677,Sectorwise!A:A,0)),1,0)</f>
        <v>0</v>
      </c>
      <c r="Q677" s="76">
        <f>IF(AND(N677&gt;=INDEX(Sectorwise!E:E,MATCH(F677,Sectorwise!A:A,0)),N677&lt;=INDEX(Sectorwise!F:F,MATCH(F677,Sectorwise!A:A,0))),1,0)</f>
        <v>0</v>
      </c>
      <c r="R677" s="76">
        <f>IF(N677&gt;INDEX(Sectorwise!F:F,MATCH(F677,Sectorwise!A:A,0)),1,0)</f>
        <v>1</v>
      </c>
      <c r="S677" s="27">
        <f t="shared" si="41"/>
        <v>0</v>
      </c>
      <c r="T677" s="27">
        <f t="shared" si="42"/>
        <v>0</v>
      </c>
      <c r="U677" s="27">
        <f t="shared" si="43"/>
        <v>8026</v>
      </c>
      <c r="V677" s="95">
        <f>IF(R677=1,(N677-INDEX(Sectorwise!F:F,MATCH(F677,Sectorwise!A:A,0))),0)</f>
        <v>26</v>
      </c>
      <c r="W677" s="97">
        <f>POISSON(N677,INDEX(Sectorwise!D:D,MATCH(Travel!F415,Sectorwise!A:A,0)),TRUE)</f>
        <v>0.999999999999027</v>
      </c>
    </row>
    <row r="678" spans="1:24" ht="15.75" hidden="1" customHeight="1" x14ac:dyDescent="0.2">
      <c r="A678" s="63" t="s">
        <v>1440</v>
      </c>
      <c r="B678" s="63" t="s">
        <v>1441</v>
      </c>
      <c r="C678" s="63"/>
      <c r="E678" s="63" t="s">
        <v>2293</v>
      </c>
      <c r="F678" s="21" t="s">
        <v>2135</v>
      </c>
      <c r="G678" s="56" t="s">
        <v>2309</v>
      </c>
      <c r="H678" s="63" t="s">
        <v>1442</v>
      </c>
      <c r="I678" s="63" t="s">
        <v>1417</v>
      </c>
      <c r="J678" s="65">
        <v>6100</v>
      </c>
      <c r="K678" s="65">
        <v>1979</v>
      </c>
      <c r="L678" s="26">
        <f t="shared" si="40"/>
        <v>8079</v>
      </c>
      <c r="M678" s="26">
        <f t="array" ref="M678">MEDIAN(IF($F$3:$F$810=F678,$L$3:$L$810))</f>
        <v>7234</v>
      </c>
      <c r="N678" s="65">
        <v>8079</v>
      </c>
      <c r="O678" s="62">
        <v>0</v>
      </c>
      <c r="P678" s="76">
        <f>IF(N678&lt;INDEX(Sectorwise!E:E,MATCH(F678,Sectorwise!A:A,0)),1,0)</f>
        <v>0</v>
      </c>
      <c r="Q678" s="76">
        <f>IF(AND(N678&gt;=INDEX(Sectorwise!E:E,MATCH(F678,Sectorwise!A:A,0)),N678&lt;=INDEX(Sectorwise!F:F,MATCH(F678,Sectorwise!A:A,0))),1,0)</f>
        <v>0</v>
      </c>
      <c r="R678" s="76">
        <f>IF(N678&gt;INDEX(Sectorwise!F:F,MATCH(F678,Sectorwise!A:A,0)),1,0)</f>
        <v>1</v>
      </c>
      <c r="S678" s="27">
        <f t="shared" si="41"/>
        <v>0</v>
      </c>
      <c r="T678" s="27">
        <f t="shared" si="42"/>
        <v>0</v>
      </c>
      <c r="U678" s="27">
        <f t="shared" si="43"/>
        <v>8079</v>
      </c>
      <c r="V678" s="95">
        <f>IF(R678=1,(N678-INDEX(Sectorwise!F:F,MATCH(F678,Sectorwise!A:A,0))),0)</f>
        <v>79</v>
      </c>
      <c r="W678" s="97">
        <f>POISSON(N678,INDEX(Sectorwise!D:D,MATCH(Travel!F541,Sectorwise!A:A,0)),TRUE)</f>
        <v>1</v>
      </c>
    </row>
    <row r="679" spans="1:24" ht="15.75" hidden="1" customHeight="1" x14ac:dyDescent="0.2">
      <c r="A679" s="63" t="s">
        <v>1613</v>
      </c>
      <c r="B679" s="63" t="s">
        <v>1614</v>
      </c>
      <c r="C679" s="63"/>
      <c r="E679" s="63" t="s">
        <v>2293</v>
      </c>
      <c r="F679" s="21" t="s">
        <v>2135</v>
      </c>
      <c r="G679" s="56" t="s">
        <v>2309</v>
      </c>
      <c r="H679" s="63" t="s">
        <v>1615</v>
      </c>
      <c r="I679" s="63" t="s">
        <v>1598</v>
      </c>
      <c r="J679" s="65">
        <v>6100</v>
      </c>
      <c r="K679" s="65">
        <v>1979</v>
      </c>
      <c r="L679" s="26">
        <f t="shared" si="40"/>
        <v>8079</v>
      </c>
      <c r="M679" s="26">
        <f t="array" ref="M679">MEDIAN(IF($F$3:$F$810=F679,$L$3:$L$810))</f>
        <v>7234</v>
      </c>
      <c r="N679" s="65">
        <v>8079</v>
      </c>
      <c r="O679" s="62">
        <v>0</v>
      </c>
      <c r="P679" s="76">
        <f>IF(N679&lt;INDEX(Sectorwise!E:E,MATCH(F679,Sectorwise!A:A,0)),1,0)</f>
        <v>0</v>
      </c>
      <c r="Q679" s="76">
        <f>IF(AND(N679&gt;=INDEX(Sectorwise!E:E,MATCH(F679,Sectorwise!A:A,0)),N679&lt;=INDEX(Sectorwise!F:F,MATCH(F679,Sectorwise!A:A,0))),1,0)</f>
        <v>0</v>
      </c>
      <c r="R679" s="76">
        <f>IF(N679&gt;INDEX(Sectorwise!F:F,MATCH(F679,Sectorwise!A:A,0)),1,0)</f>
        <v>1</v>
      </c>
      <c r="S679" s="27">
        <f t="shared" si="41"/>
        <v>0</v>
      </c>
      <c r="T679" s="27">
        <f t="shared" si="42"/>
        <v>0</v>
      </c>
      <c r="U679" s="27">
        <f t="shared" si="43"/>
        <v>8079</v>
      </c>
      <c r="V679" s="95">
        <f>IF(R679=1,(N679-INDEX(Sectorwise!F:F,MATCH(F679,Sectorwise!A:A,0))),0)</f>
        <v>79</v>
      </c>
      <c r="W679" s="97">
        <f>POISSON(N679,INDEX(Sectorwise!D:D,MATCH(Travel!F616,Sectorwise!A:A,0)),TRUE)</f>
        <v>0</v>
      </c>
    </row>
    <row r="680" spans="1:24" ht="15.75" hidden="1" customHeight="1" x14ac:dyDescent="0.2">
      <c r="A680" s="60" t="s">
        <v>1347</v>
      </c>
      <c r="B680" s="60" t="s">
        <v>1361</v>
      </c>
      <c r="C680" s="60"/>
      <c r="E680" s="63" t="s">
        <v>2293</v>
      </c>
      <c r="F680" s="60" t="s">
        <v>2175</v>
      </c>
      <c r="G680" s="69" t="s">
        <v>2308</v>
      </c>
      <c r="H680" s="60" t="s">
        <v>1362</v>
      </c>
      <c r="I680" s="60" t="s">
        <v>1310</v>
      </c>
      <c r="J680" s="61">
        <v>4360</v>
      </c>
      <c r="K680" s="61">
        <v>937</v>
      </c>
      <c r="L680" s="26">
        <f t="shared" si="40"/>
        <v>5297</v>
      </c>
      <c r="M680" s="26">
        <f t="array" ref="M680">MEDIAN(IF($F$3:$F$810=F680,$L$3:$L$810))</f>
        <v>5814</v>
      </c>
      <c r="N680" s="61">
        <v>5297</v>
      </c>
      <c r="O680" s="62">
        <v>0</v>
      </c>
      <c r="P680" s="76">
        <f>IF(N680&lt;INDEX(Sectorwise!E:E,MATCH(F680,Sectorwise!A:A,0)),1,0)</f>
        <v>0</v>
      </c>
      <c r="Q680" s="76">
        <f>IF(AND(N680&gt;=INDEX(Sectorwise!E:E,MATCH(F680,Sectorwise!A:A,0)),N680&lt;=INDEX(Sectorwise!F:F,MATCH(F680,Sectorwise!A:A,0))),1,0)</f>
        <v>1</v>
      </c>
      <c r="R680" s="76">
        <f>IF(N680&gt;INDEX(Sectorwise!F:F,MATCH(F680,Sectorwise!A:A,0)),1,0)</f>
        <v>0</v>
      </c>
      <c r="S680" s="27">
        <f t="shared" si="41"/>
        <v>0</v>
      </c>
      <c r="T680" s="27">
        <f t="shared" si="42"/>
        <v>5297</v>
      </c>
      <c r="U680" s="27">
        <f t="shared" si="43"/>
        <v>0</v>
      </c>
      <c r="V680" s="95">
        <f>IF(R680=1,(N680-INDEX(Sectorwise!F:F,MATCH(F680,Sectorwise!A:A,0))),0)</f>
        <v>0</v>
      </c>
      <c r="W680" s="97">
        <f>POISSON(N680,INDEX(Sectorwise!D:D,MATCH(Travel!F509,Sectorwise!A:A,0)),TRUE)</f>
        <v>0</v>
      </c>
    </row>
    <row r="681" spans="1:24" ht="15.75" hidden="1" customHeight="1" x14ac:dyDescent="0.2">
      <c r="A681" s="29" t="s">
        <v>1695</v>
      </c>
      <c r="B681" s="29" t="s">
        <v>1696</v>
      </c>
      <c r="C681" s="29"/>
      <c r="E681" s="63" t="s">
        <v>2293</v>
      </c>
      <c r="F681" s="60" t="s">
        <v>2199</v>
      </c>
      <c r="G681" s="69" t="s">
        <v>2308</v>
      </c>
      <c r="H681" s="29" t="s">
        <v>1697</v>
      </c>
      <c r="I681" s="29" t="s">
        <v>1698</v>
      </c>
      <c r="J681" s="65">
        <v>8449</v>
      </c>
      <c r="K681" s="65">
        <v>1583</v>
      </c>
      <c r="L681" s="26">
        <f t="shared" si="40"/>
        <v>10032</v>
      </c>
      <c r="M681" s="26">
        <f t="array" ref="M681">MEDIAN(IF($F$3:$F$810=F681,$L$3:$L$810))</f>
        <v>9855</v>
      </c>
      <c r="N681" s="65">
        <v>10032</v>
      </c>
      <c r="O681" s="62"/>
      <c r="P681" s="76">
        <f>IF(N681&lt;INDEX(Sectorwise!E:E,MATCH(F681,Sectorwise!A:A,0)),1,0)</f>
        <v>0</v>
      </c>
      <c r="Q681" s="76">
        <f>IF(AND(N681&gt;=INDEX(Sectorwise!E:E,MATCH(F681,Sectorwise!A:A,0)),N681&lt;=INDEX(Sectorwise!F:F,MATCH(F681,Sectorwise!A:A,0))),1,0)</f>
        <v>1</v>
      </c>
      <c r="R681" s="76">
        <f>IF(N681&gt;INDEX(Sectorwise!F:F,MATCH(F681,Sectorwise!A:A,0)),1,0)</f>
        <v>0</v>
      </c>
      <c r="S681" s="27">
        <f t="shared" si="41"/>
        <v>0</v>
      </c>
      <c r="T681" s="27">
        <f t="shared" si="42"/>
        <v>10032</v>
      </c>
      <c r="U681" s="27">
        <f t="shared" si="43"/>
        <v>0</v>
      </c>
      <c r="V681" s="95">
        <f>IF(R681=1,(N681-INDEX(Sectorwise!F:F,MATCH(F681,Sectorwise!A:A,0))),0)</f>
        <v>0</v>
      </c>
      <c r="W681" s="97">
        <f>POISSON(N681,INDEX(Sectorwise!D:D,MATCH(Travel!F644,Sectorwise!A:A,0)),TRUE)</f>
        <v>1</v>
      </c>
    </row>
    <row r="682" spans="1:24" ht="15.75" hidden="1" customHeight="1" x14ac:dyDescent="0.2">
      <c r="A682" s="29" t="s">
        <v>1672</v>
      </c>
      <c r="B682" s="29" t="s">
        <v>1673</v>
      </c>
      <c r="C682" s="29"/>
      <c r="E682" s="63" t="s">
        <v>2293</v>
      </c>
      <c r="F682" s="21" t="s">
        <v>2152</v>
      </c>
      <c r="G682" s="63" t="s">
        <v>2312</v>
      </c>
      <c r="H682" s="29" t="s">
        <v>1674</v>
      </c>
      <c r="I682" s="29" t="s">
        <v>1675</v>
      </c>
      <c r="J682" s="65">
        <v>2870</v>
      </c>
      <c r="K682" s="65">
        <v>2938</v>
      </c>
      <c r="L682" s="26">
        <f t="shared" si="40"/>
        <v>5808</v>
      </c>
      <c r="M682" s="26">
        <f t="array" ref="M682">MEDIAN(IF($F$3:$F$810=F682,$L$3:$L$810))</f>
        <v>5438</v>
      </c>
      <c r="N682" s="65">
        <v>5808</v>
      </c>
      <c r="O682" s="62"/>
      <c r="P682" s="76">
        <f>IF(N682&lt;INDEX(Sectorwise!E:E,MATCH(F682,Sectorwise!A:A,0)),1,0)</f>
        <v>0</v>
      </c>
      <c r="Q682" s="76">
        <f>IF(AND(N682&gt;=INDEX(Sectorwise!E:E,MATCH(F682,Sectorwise!A:A,0)),N682&lt;=INDEX(Sectorwise!F:F,MATCH(F682,Sectorwise!A:A,0))),1,0)</f>
        <v>1</v>
      </c>
      <c r="R682" s="76">
        <f>IF(N682&gt;INDEX(Sectorwise!F:F,MATCH(F682,Sectorwise!A:A,0)),1,0)</f>
        <v>0</v>
      </c>
      <c r="S682" s="27">
        <f t="shared" si="41"/>
        <v>0</v>
      </c>
      <c r="T682" s="27">
        <f t="shared" si="42"/>
        <v>5808</v>
      </c>
      <c r="U682" s="27">
        <f t="shared" si="43"/>
        <v>0</v>
      </c>
      <c r="V682" s="95">
        <f>IF(R682=1,(N682-INDEX(Sectorwise!F:F,MATCH(F682,Sectorwise!A:A,0))),0)</f>
        <v>0</v>
      </c>
      <c r="W682" s="97">
        <f>POISSON(N682,INDEX(Sectorwise!D:D,MATCH(Travel!F635,Sectorwise!A:A,0)),TRUE)</f>
        <v>0</v>
      </c>
    </row>
    <row r="683" spans="1:24" ht="15.75" hidden="1" customHeight="1" x14ac:dyDescent="0.2">
      <c r="A683" s="29" t="s">
        <v>1699</v>
      </c>
      <c r="B683" s="29" t="s">
        <v>1700</v>
      </c>
      <c r="C683" s="29"/>
      <c r="E683" s="63" t="s">
        <v>2293</v>
      </c>
      <c r="F683" s="21" t="s">
        <v>2152</v>
      </c>
      <c r="G683" s="63" t="s">
        <v>2312</v>
      </c>
      <c r="H683" s="29" t="s">
        <v>1701</v>
      </c>
      <c r="I683" s="29" t="s">
        <v>1702</v>
      </c>
      <c r="J683" s="65">
        <v>3070</v>
      </c>
      <c r="K683" s="65">
        <v>2949</v>
      </c>
      <c r="L683" s="26">
        <f t="shared" si="40"/>
        <v>6019</v>
      </c>
      <c r="M683" s="26">
        <f t="array" ref="M683">MEDIAN(IF($F$3:$F$810=F683,$L$3:$L$810))</f>
        <v>5438</v>
      </c>
      <c r="N683" s="65">
        <v>6019</v>
      </c>
      <c r="O683" s="62"/>
      <c r="P683" s="76">
        <f>IF(N683&lt;INDEX(Sectorwise!E:E,MATCH(F683,Sectorwise!A:A,0)),1,0)</f>
        <v>0</v>
      </c>
      <c r="Q683" s="76">
        <f>IF(AND(N683&gt;=INDEX(Sectorwise!E:E,MATCH(F683,Sectorwise!A:A,0)),N683&lt;=INDEX(Sectorwise!F:F,MATCH(F683,Sectorwise!A:A,0))),1,0)</f>
        <v>0</v>
      </c>
      <c r="R683" s="76">
        <f>IF(N683&gt;INDEX(Sectorwise!F:F,MATCH(F683,Sectorwise!A:A,0)),1,0)</f>
        <v>1</v>
      </c>
      <c r="S683" s="27">
        <f t="shared" si="41"/>
        <v>0</v>
      </c>
      <c r="T683" s="27">
        <f t="shared" si="42"/>
        <v>0</v>
      </c>
      <c r="U683" s="27">
        <f t="shared" si="43"/>
        <v>6019</v>
      </c>
      <c r="V683" s="95">
        <f>IF(R683=1,(N683-INDEX(Sectorwise!F:F,MATCH(F683,Sectorwise!A:A,0))),0)</f>
        <v>19</v>
      </c>
      <c r="W683" s="97">
        <f>POISSON(N683,INDEX(Sectorwise!D:D,MATCH(Travel!F645,Sectorwise!A:A,0)),TRUE)</f>
        <v>0</v>
      </c>
    </row>
    <row r="684" spans="1:24" ht="15.75" hidden="1" customHeight="1" x14ac:dyDescent="0.2">
      <c r="A684" s="69" t="s">
        <v>1984</v>
      </c>
      <c r="B684" s="69" t="s">
        <v>1989</v>
      </c>
      <c r="C684" s="69"/>
      <c r="E684" s="63" t="s">
        <v>2293</v>
      </c>
      <c r="F684" s="21" t="s">
        <v>2152</v>
      </c>
      <c r="G684" s="69" t="s">
        <v>2308</v>
      </c>
      <c r="H684" s="69" t="s">
        <v>1990</v>
      </c>
      <c r="I684" s="69" t="s">
        <v>1912</v>
      </c>
      <c r="J684" s="70">
        <v>3986</v>
      </c>
      <c r="K684" s="70">
        <v>1057</v>
      </c>
      <c r="L684" s="26">
        <f t="shared" si="40"/>
        <v>5043</v>
      </c>
      <c r="M684" s="26">
        <f t="array" ref="M684">MEDIAN(IF($F$3:$F$810=F684,$L$3:$L$810))</f>
        <v>5438</v>
      </c>
      <c r="N684" s="70">
        <v>5043</v>
      </c>
      <c r="O684" s="71">
        <v>0</v>
      </c>
      <c r="P684" s="76">
        <f>IF(N684&lt;INDEX(Sectorwise!E:E,MATCH(F684,Sectorwise!A:A,0)),1,0)</f>
        <v>0</v>
      </c>
      <c r="Q684" s="76">
        <f>IF(AND(N684&gt;=INDEX(Sectorwise!E:E,MATCH(F684,Sectorwise!A:A,0)),N684&lt;=INDEX(Sectorwise!F:F,MATCH(F684,Sectorwise!A:A,0))),1,0)</f>
        <v>1</v>
      </c>
      <c r="R684" s="76">
        <f>IF(N684&gt;INDEX(Sectorwise!F:F,MATCH(F684,Sectorwise!A:A,0)),1,0)</f>
        <v>0</v>
      </c>
      <c r="S684" s="27">
        <f t="shared" si="41"/>
        <v>0</v>
      </c>
      <c r="T684" s="27">
        <f t="shared" si="42"/>
        <v>5043</v>
      </c>
      <c r="U684" s="27">
        <f t="shared" si="43"/>
        <v>0</v>
      </c>
      <c r="V684" s="95">
        <f>IF(R684=1,(N684-INDEX(Sectorwise!F:F,MATCH(F684,Sectorwise!A:A,0))),0)</f>
        <v>0</v>
      </c>
      <c r="W684" s="97">
        <f>POISSON(N684,INDEX(Sectorwise!D:D,MATCH(Travel!F757,Sectorwise!A:A,0)),TRUE)</f>
        <v>3.079779606513556E-8</v>
      </c>
    </row>
    <row r="685" spans="1:24" ht="15.75" hidden="1" customHeight="1" x14ac:dyDescent="0.2">
      <c r="A685" s="63" t="s">
        <v>1413</v>
      </c>
      <c r="B685" s="63" t="s">
        <v>1419</v>
      </c>
      <c r="C685" s="63"/>
      <c r="E685" s="63" t="s">
        <v>2293</v>
      </c>
      <c r="F685" s="33" t="s">
        <v>2191</v>
      </c>
      <c r="G685" s="56" t="s">
        <v>2309</v>
      </c>
      <c r="H685" s="63" t="s">
        <v>1420</v>
      </c>
      <c r="I685" s="63" t="s">
        <v>1421</v>
      </c>
      <c r="J685" s="65">
        <v>4100</v>
      </c>
      <c r="K685" s="65">
        <v>1694</v>
      </c>
      <c r="L685" s="26">
        <f t="shared" si="40"/>
        <v>5794</v>
      </c>
      <c r="M685" s="26">
        <f t="array" ref="M685">MEDIAN(IF($F$3:$F$810=F685,$L$3:$L$810))</f>
        <v>5519</v>
      </c>
      <c r="N685" s="65">
        <v>5794</v>
      </c>
      <c r="O685" s="62">
        <v>0</v>
      </c>
      <c r="P685" s="76">
        <f>IF(N685&lt;INDEX(Sectorwise!E:E,MATCH(F685,Sectorwise!A:A,0)),1,0)</f>
        <v>0</v>
      </c>
      <c r="Q685" s="76">
        <f>IF(AND(N685&gt;=INDEX(Sectorwise!E:E,MATCH(F685,Sectorwise!A:A,0)),N685&lt;=INDEX(Sectorwise!F:F,MATCH(F685,Sectorwise!A:A,0))),1,0)</f>
        <v>1</v>
      </c>
      <c r="R685" s="76">
        <f>IF(N685&gt;INDEX(Sectorwise!F:F,MATCH(F685,Sectorwise!A:A,0)),1,0)</f>
        <v>0</v>
      </c>
      <c r="S685" s="27">
        <f t="shared" si="41"/>
        <v>0</v>
      </c>
      <c r="T685" s="27">
        <f t="shared" si="42"/>
        <v>5794</v>
      </c>
      <c r="U685" s="27">
        <f t="shared" si="43"/>
        <v>0</v>
      </c>
      <c r="V685" s="95">
        <f>IF(R685=1,(N685-INDEX(Sectorwise!F:F,MATCH(F685,Sectorwise!A:A,0))),0)</f>
        <v>0</v>
      </c>
      <c r="W685" s="97">
        <f>POISSON(N685,INDEX(Sectorwise!D:D,MATCH(Travel!F532,Sectorwise!A:A,0)),TRUE)</f>
        <v>3.7744328950658498E-69</v>
      </c>
    </row>
    <row r="686" spans="1:24" ht="15.75" hidden="1" customHeight="1" x14ac:dyDescent="0.2">
      <c r="A686" s="21" t="s">
        <v>59</v>
      </c>
      <c r="B686" s="21" t="s">
        <v>60</v>
      </c>
      <c r="C686" s="22"/>
      <c r="D686" s="23" t="s">
        <v>16</v>
      </c>
      <c r="E686" s="63" t="s">
        <v>2293</v>
      </c>
      <c r="F686" s="21" t="s">
        <v>2148</v>
      </c>
      <c r="G686" s="69" t="s">
        <v>2308</v>
      </c>
      <c r="H686" s="21" t="s">
        <v>61</v>
      </c>
      <c r="I686" s="21" t="s">
        <v>62</v>
      </c>
      <c r="J686" s="25">
        <v>7455</v>
      </c>
      <c r="K686" s="26">
        <v>774</v>
      </c>
      <c r="L686" s="26">
        <f t="shared" si="40"/>
        <v>8229</v>
      </c>
      <c r="M686" s="26">
        <f t="array" ref="M686">MEDIAN(IF($F$3:$F$810=F686,$L$3:$L$810))</f>
        <v>8229</v>
      </c>
      <c r="N686" s="26">
        <v>8229</v>
      </c>
      <c r="O686" s="27"/>
      <c r="P686" s="76">
        <f>IF(N686&lt;INDEX(Sectorwise!E:E,MATCH(F686,Sectorwise!A:A,0)),1,0)</f>
        <v>0</v>
      </c>
      <c r="Q686" s="76">
        <f>IF(AND(N686&gt;=INDEX(Sectorwise!E:E,MATCH(F686,Sectorwise!A:A,0)),N686&lt;=INDEX(Sectorwise!F:F,MATCH(F686,Sectorwise!A:A,0))),1,0)</f>
        <v>1</v>
      </c>
      <c r="R686" s="76">
        <f>IF(N686&gt;INDEX(Sectorwise!F:F,MATCH(F686,Sectorwise!A:A,0)),1,0)</f>
        <v>0</v>
      </c>
      <c r="S686" s="27">
        <f t="shared" si="41"/>
        <v>0</v>
      </c>
      <c r="T686" s="27">
        <f t="shared" si="42"/>
        <v>8229</v>
      </c>
      <c r="U686" s="27">
        <f t="shared" si="43"/>
        <v>0</v>
      </c>
      <c r="V686" s="95">
        <f>IF(R686=1,(N686-INDEX(Sectorwise!F:F,MATCH(F686,Sectorwise!A:A,0))),0)</f>
        <v>0</v>
      </c>
      <c r="W686" s="97">
        <f>POISSON(N686,INDEX(Sectorwise!D:D,MATCH(Travel!F18,Sectorwise!A:A,0)),TRUE)</f>
        <v>1</v>
      </c>
      <c r="X686" s="28">
        <v>8229</v>
      </c>
    </row>
    <row r="687" spans="1:24" ht="15.75" hidden="1" customHeight="1" x14ac:dyDescent="0.2">
      <c r="A687" s="69" t="s">
        <v>1980</v>
      </c>
      <c r="B687" s="69" t="s">
        <v>1981</v>
      </c>
      <c r="C687" s="69"/>
      <c r="E687" s="63" t="s">
        <v>2293</v>
      </c>
      <c r="F687" s="69" t="s">
        <v>2169</v>
      </c>
      <c r="G687" s="69" t="s">
        <v>2308</v>
      </c>
      <c r="H687" s="69" t="s">
        <v>1982</v>
      </c>
      <c r="I687" s="69" t="s">
        <v>1983</v>
      </c>
      <c r="J687" s="70">
        <v>15217</v>
      </c>
      <c r="K687" s="70">
        <v>1205</v>
      </c>
      <c r="L687" s="26">
        <f t="shared" si="40"/>
        <v>16422</v>
      </c>
      <c r="M687" s="26">
        <f t="array" ref="M687">MEDIAN(IF($F$3:$F$810=F687,$L$3:$L$810))</f>
        <v>16422</v>
      </c>
      <c r="N687" s="70">
        <v>16422</v>
      </c>
      <c r="O687" s="71">
        <v>0</v>
      </c>
      <c r="P687" s="76">
        <f>IF(N687&lt;INDEX(Sectorwise!E:E,MATCH(F687,Sectorwise!A:A,0)),1,0)</f>
        <v>0</v>
      </c>
      <c r="Q687" s="76">
        <f>IF(AND(N687&gt;=INDEX(Sectorwise!E:E,MATCH(F687,Sectorwise!A:A,0)),N687&lt;=INDEX(Sectorwise!F:F,MATCH(F687,Sectorwise!A:A,0))),1,0)</f>
        <v>1</v>
      </c>
      <c r="R687" s="76">
        <f>IF(N687&gt;INDEX(Sectorwise!F:F,MATCH(F687,Sectorwise!A:A,0)),1,0)</f>
        <v>0</v>
      </c>
      <c r="S687" s="27">
        <f t="shared" si="41"/>
        <v>0</v>
      </c>
      <c r="T687" s="27">
        <f t="shared" si="42"/>
        <v>16422</v>
      </c>
      <c r="U687" s="27">
        <f t="shared" si="43"/>
        <v>0</v>
      </c>
      <c r="V687" s="95">
        <f>IF(R687=1,(N687-INDEX(Sectorwise!F:F,MATCH(F687,Sectorwise!A:A,0))),0)</f>
        <v>0</v>
      </c>
      <c r="W687" s="97">
        <f>POISSON(N687,INDEX(Sectorwise!D:D,MATCH(Travel!F755,Sectorwise!A:A,0)),TRUE)</f>
        <v>1</v>
      </c>
    </row>
    <row r="688" spans="1:24" ht="15.75" hidden="1" customHeight="1" x14ac:dyDescent="0.2">
      <c r="A688" s="63" t="s">
        <v>1234</v>
      </c>
      <c r="B688" s="63" t="s">
        <v>1244</v>
      </c>
      <c r="C688" s="63"/>
      <c r="E688" s="63" t="s">
        <v>2293</v>
      </c>
      <c r="F688" s="63" t="s">
        <v>2221</v>
      </c>
      <c r="G688" s="63" t="s">
        <v>2315</v>
      </c>
      <c r="H688" s="63" t="s">
        <v>1245</v>
      </c>
      <c r="I688" s="63" t="s">
        <v>1214</v>
      </c>
      <c r="J688" s="65">
        <v>17135</v>
      </c>
      <c r="K688" s="65">
        <v>23865</v>
      </c>
      <c r="L688" s="26">
        <f t="shared" si="40"/>
        <v>41000</v>
      </c>
      <c r="M688" s="26">
        <f t="array" ref="M688">MEDIAN(IF($F$3:$F$810=F688,$L$3:$L$810))</f>
        <v>41000</v>
      </c>
      <c r="N688" s="65">
        <v>41000</v>
      </c>
      <c r="O688" s="62">
        <v>0</v>
      </c>
      <c r="P688" s="76">
        <f>IF(N688&lt;INDEX(Sectorwise!E:E,MATCH(F688,Sectorwise!A:A,0)),1,0)</f>
        <v>0</v>
      </c>
      <c r="Q688" s="76">
        <f>IF(AND(N688&gt;=INDEX(Sectorwise!E:E,MATCH(F688,Sectorwise!A:A,0)),N688&lt;=INDEX(Sectorwise!F:F,MATCH(F688,Sectorwise!A:A,0))),1,0)</f>
        <v>1</v>
      </c>
      <c r="R688" s="76">
        <f>IF(N688&gt;INDEX(Sectorwise!F:F,MATCH(F688,Sectorwise!A:A,0)),1,0)</f>
        <v>0</v>
      </c>
      <c r="S688" s="27">
        <f t="shared" si="41"/>
        <v>0</v>
      </c>
      <c r="T688" s="27">
        <f t="shared" si="42"/>
        <v>41000</v>
      </c>
      <c r="U688" s="27">
        <f t="shared" si="43"/>
        <v>0</v>
      </c>
      <c r="V688" s="95">
        <f>IF(R688=1,(N688-INDEX(Sectorwise!F:F,MATCH(F688,Sectorwise!A:A,0))),0)</f>
        <v>0</v>
      </c>
      <c r="W688" s="97">
        <f>POISSON(N688,INDEX(Sectorwise!D:D,MATCH(Travel!F468,Sectorwise!A:A,0)),TRUE)</f>
        <v>1</v>
      </c>
    </row>
    <row r="689" spans="1:24" ht="15.75" hidden="1" customHeight="1" x14ac:dyDescent="0.2">
      <c r="A689" s="63" t="s">
        <v>1713</v>
      </c>
      <c r="B689" s="63" t="s">
        <v>1726</v>
      </c>
      <c r="C689" s="63"/>
      <c r="E689" s="63" t="s">
        <v>2293</v>
      </c>
      <c r="F689" s="63" t="s">
        <v>1531</v>
      </c>
      <c r="G689" s="63" t="s">
        <v>2333</v>
      </c>
      <c r="H689" s="63" t="s">
        <v>1532</v>
      </c>
      <c r="I689" s="63" t="s">
        <v>41</v>
      </c>
      <c r="J689" s="65">
        <v>4800</v>
      </c>
      <c r="K689" s="65">
        <v>562</v>
      </c>
      <c r="L689" s="26">
        <f t="shared" si="40"/>
        <v>5362</v>
      </c>
      <c r="M689" s="26">
        <f t="array" ref="M689">MEDIAN(IF($F$3:$F$810=F689,$L$3:$L$810))</f>
        <v>5380</v>
      </c>
      <c r="N689" s="65">
        <v>5362</v>
      </c>
      <c r="O689" s="62">
        <v>0</v>
      </c>
      <c r="P689" s="76">
        <f>IF(N689&lt;INDEX(Sectorwise!E:E,MATCH(F689,Sectorwise!A:A,0)),1,0)</f>
        <v>0</v>
      </c>
      <c r="Q689" s="76">
        <f>IF(AND(N689&gt;=INDEX(Sectorwise!E:E,MATCH(F689,Sectorwise!A:A,0)),N689&lt;=INDEX(Sectorwise!F:F,MATCH(F689,Sectorwise!A:A,0))),1,0)</f>
        <v>1</v>
      </c>
      <c r="R689" s="76">
        <f>IF(N689&gt;INDEX(Sectorwise!F:F,MATCH(F689,Sectorwise!A:A,0)),1,0)</f>
        <v>0</v>
      </c>
      <c r="S689" s="27">
        <f t="shared" si="41"/>
        <v>0</v>
      </c>
      <c r="T689" s="27">
        <f t="shared" si="42"/>
        <v>5362</v>
      </c>
      <c r="U689" s="27">
        <f t="shared" si="43"/>
        <v>0</v>
      </c>
      <c r="V689" s="95">
        <f>IF(R689=1,(N689-INDEX(Sectorwise!F:F,MATCH(F689,Sectorwise!A:A,0))),0)</f>
        <v>0</v>
      </c>
      <c r="W689" s="97">
        <f>POISSON(N689,INDEX(Sectorwise!D:D,MATCH(Travel!F653,Sectorwise!A:A,0)),TRUE)</f>
        <v>1</v>
      </c>
    </row>
    <row r="690" spans="1:24" ht="15.75" hidden="1" customHeight="1" x14ac:dyDescent="0.2">
      <c r="A690" s="63" t="s">
        <v>1893</v>
      </c>
      <c r="B690" s="63" t="s">
        <v>1894</v>
      </c>
      <c r="C690" s="63"/>
      <c r="E690" s="60" t="s">
        <v>2294</v>
      </c>
      <c r="F690" s="29" t="s">
        <v>2134</v>
      </c>
      <c r="G690" s="69" t="s">
        <v>2308</v>
      </c>
      <c r="H690" s="63" t="s">
        <v>1895</v>
      </c>
      <c r="I690" s="63" t="s">
        <v>1807</v>
      </c>
      <c r="J690" s="65">
        <v>5766</v>
      </c>
      <c r="K690" s="65">
        <v>1053</v>
      </c>
      <c r="L690" s="26">
        <f t="shared" si="40"/>
        <v>6819</v>
      </c>
      <c r="M690" s="26">
        <f t="array" ref="M690">MEDIAN(IF($F$3:$F$810=F690,$L$3:$L$810))</f>
        <v>7412.5</v>
      </c>
      <c r="N690" s="65">
        <v>6819</v>
      </c>
      <c r="O690" s="62">
        <v>0</v>
      </c>
      <c r="P690" s="76">
        <f>IF(N690&lt;INDEX(Sectorwise!E:E,MATCH(F690,Sectorwise!A:A,0)),1,0)</f>
        <v>0</v>
      </c>
      <c r="Q690" s="76">
        <f>IF(AND(N690&gt;=INDEX(Sectorwise!E:E,MATCH(F690,Sectorwise!A:A,0)),N690&lt;=INDEX(Sectorwise!F:F,MATCH(F690,Sectorwise!A:A,0))),1,0)</f>
        <v>1</v>
      </c>
      <c r="R690" s="76">
        <f>IF(N690&gt;INDEX(Sectorwise!F:F,MATCH(F690,Sectorwise!A:A,0)),1,0)</f>
        <v>0</v>
      </c>
      <c r="S690" s="27">
        <f t="shared" si="41"/>
        <v>0</v>
      </c>
      <c r="T690" s="27">
        <f t="shared" si="42"/>
        <v>6819</v>
      </c>
      <c r="U690" s="27">
        <f t="shared" si="43"/>
        <v>0</v>
      </c>
      <c r="V690" s="95">
        <f>IF(R690=1,(N690-INDEX(Sectorwise!F:F,MATCH(F690,Sectorwise!A:A,0))),0)</f>
        <v>0</v>
      </c>
      <c r="W690" s="97">
        <f>POISSON(N690,INDEX(Sectorwise!D:D,MATCH(Travel!F722,Sectorwise!A:A,0)),TRUE)</f>
        <v>1.9063125726481558E-230</v>
      </c>
    </row>
    <row r="691" spans="1:24" ht="15.75" hidden="1" customHeight="1" x14ac:dyDescent="0.2">
      <c r="A691" s="33" t="s">
        <v>224</v>
      </c>
      <c r="B691" s="33" t="s">
        <v>230</v>
      </c>
      <c r="C691" s="40"/>
      <c r="D691" s="35"/>
      <c r="E691" s="60" t="s">
        <v>2294</v>
      </c>
      <c r="F691" s="21" t="s">
        <v>2147</v>
      </c>
      <c r="G691" s="69" t="s">
        <v>2308</v>
      </c>
      <c r="H691" s="33" t="s">
        <v>231</v>
      </c>
      <c r="I691" s="33" t="s">
        <v>136</v>
      </c>
      <c r="J691" s="36">
        <v>8256</v>
      </c>
      <c r="K691" s="36">
        <v>1537</v>
      </c>
      <c r="L691" s="26">
        <f t="shared" si="40"/>
        <v>9793</v>
      </c>
      <c r="M691" s="26">
        <f t="array" ref="M691">MEDIAN(IF($F$3:$F$810=F691,$L$3:$L$810))</f>
        <v>10605</v>
      </c>
      <c r="N691" s="41">
        <v>9793</v>
      </c>
      <c r="O691" s="38"/>
      <c r="P691" s="76">
        <f>IF(N691&lt;INDEX(Sectorwise!E:E,MATCH(F691,Sectorwise!A:A,0)),1,0)</f>
        <v>0</v>
      </c>
      <c r="Q691" s="76">
        <f>IF(AND(N691&gt;=INDEX(Sectorwise!E:E,MATCH(F691,Sectorwise!A:A,0)),N691&lt;=INDEX(Sectorwise!F:F,MATCH(F691,Sectorwise!A:A,0))),1,0)</f>
        <v>1</v>
      </c>
      <c r="R691" s="76">
        <f>IF(N691&gt;INDEX(Sectorwise!F:F,MATCH(F691,Sectorwise!A:A,0)),1,0)</f>
        <v>0</v>
      </c>
      <c r="S691" s="27">
        <f t="shared" si="41"/>
        <v>0</v>
      </c>
      <c r="T691" s="27">
        <f t="shared" si="42"/>
        <v>9793</v>
      </c>
      <c r="U691" s="27">
        <f t="shared" si="43"/>
        <v>0</v>
      </c>
      <c r="V691" s="95">
        <f>IF(R691=1,(N691-INDEX(Sectorwise!F:F,MATCH(F691,Sectorwise!A:A,0))),0)</f>
        <v>0</v>
      </c>
      <c r="W691" s="97">
        <f>POISSON(N691,INDEX(Sectorwise!D:D,MATCH(Travel!F87,Sectorwise!A:A,0)),TRUE)</f>
        <v>0</v>
      </c>
      <c r="X691" s="39">
        <f>+N691-O691</f>
        <v>9793</v>
      </c>
    </row>
    <row r="692" spans="1:24" ht="15.75" hidden="1" customHeight="1" x14ac:dyDescent="0.2">
      <c r="A692" s="53" t="s">
        <v>512</v>
      </c>
      <c r="B692" s="54" t="s">
        <v>521</v>
      </c>
      <c r="C692" s="22"/>
      <c r="D692" s="32"/>
      <c r="E692" s="60" t="s">
        <v>2294</v>
      </c>
      <c r="F692" s="21" t="s">
        <v>2147</v>
      </c>
      <c r="G692" s="69" t="s">
        <v>2308</v>
      </c>
      <c r="H692" s="21" t="s">
        <v>522</v>
      </c>
      <c r="I692" s="21" t="s">
        <v>512</v>
      </c>
      <c r="J692" s="25">
        <v>8246</v>
      </c>
      <c r="K692" s="25">
        <v>1535</v>
      </c>
      <c r="L692" s="26">
        <f t="shared" si="40"/>
        <v>9781</v>
      </c>
      <c r="M692" s="26">
        <f t="array" ref="M692">MEDIAN(IF($F$3:$F$810=F692,$L$3:$L$810))</f>
        <v>10605</v>
      </c>
      <c r="N692" s="47">
        <v>9781</v>
      </c>
      <c r="O692" s="27"/>
      <c r="P692" s="76">
        <f>IF(N692&lt;INDEX(Sectorwise!E:E,MATCH(F692,Sectorwise!A:A,0)),1,0)</f>
        <v>0</v>
      </c>
      <c r="Q692" s="76">
        <f>IF(AND(N692&gt;=INDEX(Sectorwise!E:E,MATCH(F692,Sectorwise!A:A,0)),N692&lt;=INDEX(Sectorwise!F:F,MATCH(F692,Sectorwise!A:A,0))),1,0)</f>
        <v>1</v>
      </c>
      <c r="R692" s="76">
        <f>IF(N692&gt;INDEX(Sectorwise!F:F,MATCH(F692,Sectorwise!A:A,0)),1,0)</f>
        <v>0</v>
      </c>
      <c r="S692" s="27">
        <f t="shared" si="41"/>
        <v>0</v>
      </c>
      <c r="T692" s="27">
        <f t="shared" si="42"/>
        <v>9781</v>
      </c>
      <c r="U692" s="27">
        <f t="shared" si="43"/>
        <v>0</v>
      </c>
      <c r="V692" s="95">
        <f>IF(R692=1,(N692-INDEX(Sectorwise!F:F,MATCH(F692,Sectorwise!A:A,0))),0)</f>
        <v>0</v>
      </c>
      <c r="W692" s="97">
        <f>POISSON(N692,INDEX(Sectorwise!D:D,MATCH(Travel!F193,Sectorwise!A:A,0)),TRUE)</f>
        <v>1</v>
      </c>
    </row>
    <row r="693" spans="1:24" ht="15.75" hidden="1" customHeight="1" x14ac:dyDescent="0.2">
      <c r="A693" s="53" t="s">
        <v>561</v>
      </c>
      <c r="B693" s="54" t="s">
        <v>565</v>
      </c>
      <c r="C693" s="22"/>
      <c r="D693" s="32"/>
      <c r="E693" s="60" t="s">
        <v>2294</v>
      </c>
      <c r="F693" s="21" t="s">
        <v>2147</v>
      </c>
      <c r="G693" s="69" t="s">
        <v>2308</v>
      </c>
      <c r="H693" s="21" t="s">
        <v>566</v>
      </c>
      <c r="I693" s="21" t="s">
        <v>561</v>
      </c>
      <c r="J693" s="25">
        <v>5314</v>
      </c>
      <c r="K693" s="25">
        <v>1873</v>
      </c>
      <c r="L693" s="26">
        <f t="shared" si="40"/>
        <v>7187</v>
      </c>
      <c r="M693" s="26">
        <f t="array" ref="M693">MEDIAN(IF($F$3:$F$810=F693,$L$3:$L$810))</f>
        <v>10605</v>
      </c>
      <c r="N693" s="47">
        <v>7187</v>
      </c>
      <c r="O693" s="27"/>
      <c r="P693" s="76">
        <f>IF(N693&lt;INDEX(Sectorwise!E:E,MATCH(F693,Sectorwise!A:A,0)),1,0)</f>
        <v>1</v>
      </c>
      <c r="Q693" s="76">
        <f>IF(AND(N693&gt;=INDEX(Sectorwise!E:E,MATCH(F693,Sectorwise!A:A,0)),N693&lt;=INDEX(Sectorwise!F:F,MATCH(F693,Sectorwise!A:A,0))),1,0)</f>
        <v>0</v>
      </c>
      <c r="R693" s="76">
        <f>IF(N693&gt;INDEX(Sectorwise!F:F,MATCH(F693,Sectorwise!A:A,0)),1,0)</f>
        <v>0</v>
      </c>
      <c r="S693" s="27">
        <f t="shared" si="41"/>
        <v>7187</v>
      </c>
      <c r="T693" s="27">
        <f t="shared" si="42"/>
        <v>0</v>
      </c>
      <c r="U693" s="27">
        <f t="shared" si="43"/>
        <v>0</v>
      </c>
      <c r="V693" s="95">
        <f>IF(R693=1,(N693-INDEX(Sectorwise!F:F,MATCH(F693,Sectorwise!A:A,0))),0)</f>
        <v>0</v>
      </c>
      <c r="W693" s="97">
        <f>POISSON(N693,INDEX(Sectorwise!D:D,MATCH(Travel!F213,Sectorwise!A:A,0)),TRUE)</f>
        <v>4.3348546452937273E-3</v>
      </c>
    </row>
    <row r="694" spans="1:24" ht="15.75" hidden="1" customHeight="1" x14ac:dyDescent="0.2">
      <c r="A694" s="21" t="s">
        <v>581</v>
      </c>
      <c r="B694" s="21" t="s">
        <v>582</v>
      </c>
      <c r="C694" s="22"/>
      <c r="E694" s="60" t="s">
        <v>2294</v>
      </c>
      <c r="F694" s="21" t="s">
        <v>2147</v>
      </c>
      <c r="G694" s="63" t="s">
        <v>2312</v>
      </c>
      <c r="H694" s="21" t="s">
        <v>583</v>
      </c>
      <c r="I694" s="21" t="s">
        <v>584</v>
      </c>
      <c r="J694" s="25">
        <v>4847</v>
      </c>
      <c r="K694" s="25">
        <v>5179</v>
      </c>
      <c r="L694" s="26">
        <f t="shared" si="40"/>
        <v>10026</v>
      </c>
      <c r="M694" s="26">
        <f t="array" ref="M694">MEDIAN(IF($F$3:$F$810=F694,$L$3:$L$810))</f>
        <v>10605</v>
      </c>
      <c r="N694" s="47">
        <v>10026</v>
      </c>
      <c r="O694" s="55"/>
      <c r="P694" s="76">
        <f>IF(N694&lt;INDEX(Sectorwise!E:E,MATCH(F694,Sectorwise!A:A,0)),1,0)</f>
        <v>0</v>
      </c>
      <c r="Q694" s="76">
        <f>IF(AND(N694&gt;=INDEX(Sectorwise!E:E,MATCH(F694,Sectorwise!A:A,0)),N694&lt;=INDEX(Sectorwise!F:F,MATCH(F694,Sectorwise!A:A,0))),1,0)</f>
        <v>1</v>
      </c>
      <c r="R694" s="76">
        <f>IF(N694&gt;INDEX(Sectorwise!F:F,MATCH(F694,Sectorwise!A:A,0)),1,0)</f>
        <v>0</v>
      </c>
      <c r="S694" s="27">
        <f t="shared" si="41"/>
        <v>0</v>
      </c>
      <c r="T694" s="27">
        <f t="shared" si="42"/>
        <v>10026</v>
      </c>
      <c r="U694" s="27">
        <f t="shared" si="43"/>
        <v>0</v>
      </c>
      <c r="V694" s="95">
        <f>IF(R694=1,(N694-INDEX(Sectorwise!F:F,MATCH(F694,Sectorwise!A:A,0))),0)</f>
        <v>0</v>
      </c>
      <c r="W694" s="97">
        <f>POISSON(N694,INDEX(Sectorwise!D:D,MATCH(Travel!F219,Sectorwise!A:A,0)),TRUE)</f>
        <v>1</v>
      </c>
    </row>
    <row r="695" spans="1:24" ht="15.75" hidden="1" customHeight="1" x14ac:dyDescent="0.2">
      <c r="A695" s="60" t="s">
        <v>857</v>
      </c>
      <c r="B695" s="60" t="s">
        <v>858</v>
      </c>
      <c r="C695" s="60"/>
      <c r="E695" s="60" t="s">
        <v>2294</v>
      </c>
      <c r="F695" s="60" t="s">
        <v>2147</v>
      </c>
      <c r="G695" s="63" t="s">
        <v>2312</v>
      </c>
      <c r="H695" s="60" t="s">
        <v>859</v>
      </c>
      <c r="I695" s="60" t="s">
        <v>860</v>
      </c>
      <c r="J695" s="61">
        <v>967</v>
      </c>
      <c r="K695" s="61">
        <v>4438</v>
      </c>
      <c r="L695" s="26">
        <f t="shared" si="40"/>
        <v>5405</v>
      </c>
      <c r="M695" s="26">
        <f t="array" ref="M695">MEDIAN(IF($F$3:$F$810=F695,$L$3:$L$810))</f>
        <v>10605</v>
      </c>
      <c r="N695" s="61">
        <v>5405</v>
      </c>
      <c r="O695" s="62">
        <v>0</v>
      </c>
      <c r="P695" s="76">
        <f>IF(N695&lt;INDEX(Sectorwise!E:E,MATCH(F695,Sectorwise!A:A,0)),1,0)</f>
        <v>1</v>
      </c>
      <c r="Q695" s="76">
        <f>IF(AND(N695&gt;=INDEX(Sectorwise!E:E,MATCH(F695,Sectorwise!A:A,0)),N695&lt;=INDEX(Sectorwise!F:F,MATCH(F695,Sectorwise!A:A,0))),1,0)</f>
        <v>0</v>
      </c>
      <c r="R695" s="76">
        <f>IF(N695&gt;INDEX(Sectorwise!F:F,MATCH(F695,Sectorwise!A:A,0)),1,0)</f>
        <v>0</v>
      </c>
      <c r="S695" s="27">
        <f t="shared" si="41"/>
        <v>5405</v>
      </c>
      <c r="T695" s="27">
        <f t="shared" si="42"/>
        <v>0</v>
      </c>
      <c r="U695" s="27">
        <f t="shared" si="43"/>
        <v>0</v>
      </c>
      <c r="V695" s="95">
        <f>IF(R695=1,(N695-INDEX(Sectorwise!F:F,MATCH(F695,Sectorwise!A:A,0))),0)</f>
        <v>0</v>
      </c>
      <c r="W695" s="97">
        <f>POISSON(N695,INDEX(Sectorwise!D:D,MATCH(Travel!F324,Sectorwise!A:A,0)),TRUE)</f>
        <v>7.1375800160601769E-133</v>
      </c>
    </row>
    <row r="696" spans="1:24" ht="15.75" hidden="1" customHeight="1" x14ac:dyDescent="0.2">
      <c r="A696" s="63" t="s">
        <v>1217</v>
      </c>
      <c r="B696" s="63" t="s">
        <v>1224</v>
      </c>
      <c r="C696" s="63"/>
      <c r="E696" s="60" t="s">
        <v>2294</v>
      </c>
      <c r="F696" s="21" t="s">
        <v>2147</v>
      </c>
      <c r="G696" s="69" t="s">
        <v>2308</v>
      </c>
      <c r="H696" s="63" t="s">
        <v>1225</v>
      </c>
      <c r="I696" s="63" t="s">
        <v>1226</v>
      </c>
      <c r="J696" s="65">
        <v>9128</v>
      </c>
      <c r="K696" s="65">
        <v>1585</v>
      </c>
      <c r="L696" s="26">
        <f t="shared" si="40"/>
        <v>10713</v>
      </c>
      <c r="M696" s="26">
        <f t="array" ref="M696">MEDIAN(IF($F$3:$F$810=F696,$L$3:$L$810))</f>
        <v>10605</v>
      </c>
      <c r="N696" s="65">
        <v>10713</v>
      </c>
      <c r="O696" s="62">
        <v>0</v>
      </c>
      <c r="P696" s="76">
        <f>IF(N696&lt;INDEX(Sectorwise!E:E,MATCH(F696,Sectorwise!A:A,0)),1,0)</f>
        <v>0</v>
      </c>
      <c r="Q696" s="76">
        <f>IF(AND(N696&gt;=INDEX(Sectorwise!E:E,MATCH(F696,Sectorwise!A:A,0)),N696&lt;=INDEX(Sectorwise!F:F,MATCH(F696,Sectorwise!A:A,0))),1,0)</f>
        <v>1</v>
      </c>
      <c r="R696" s="76">
        <f>IF(N696&gt;INDEX(Sectorwise!F:F,MATCH(F696,Sectorwise!A:A,0)),1,0)</f>
        <v>0</v>
      </c>
      <c r="S696" s="27">
        <f t="shared" si="41"/>
        <v>0</v>
      </c>
      <c r="T696" s="27">
        <f t="shared" si="42"/>
        <v>10713</v>
      </c>
      <c r="U696" s="27">
        <f t="shared" si="43"/>
        <v>0</v>
      </c>
      <c r="V696" s="95">
        <f>IF(R696=1,(N696-INDEX(Sectorwise!F:F,MATCH(F696,Sectorwise!A:A,0))),0)</f>
        <v>0</v>
      </c>
      <c r="W696" s="97">
        <f>POISSON(N696,INDEX(Sectorwise!D:D,MATCH(Travel!F462,Sectorwise!A:A,0)),TRUE)</f>
        <v>0.87102718956176384</v>
      </c>
    </row>
    <row r="697" spans="1:24" ht="15.75" hidden="1" customHeight="1" x14ac:dyDescent="0.2">
      <c r="A697" s="60" t="s">
        <v>1322</v>
      </c>
      <c r="B697" s="60" t="s">
        <v>1327</v>
      </c>
      <c r="C697" s="60" t="s">
        <v>1328</v>
      </c>
      <c r="E697" s="60" t="s">
        <v>2294</v>
      </c>
      <c r="F697" s="21" t="s">
        <v>2147</v>
      </c>
      <c r="G697" s="69" t="s">
        <v>2308</v>
      </c>
      <c r="H697" s="60" t="s">
        <v>1329</v>
      </c>
      <c r="I697" s="60" t="s">
        <v>1330</v>
      </c>
      <c r="J697" s="61">
        <v>9128</v>
      </c>
      <c r="K697" s="61">
        <v>1585</v>
      </c>
      <c r="L697" s="26">
        <f t="shared" si="40"/>
        <v>10713</v>
      </c>
      <c r="M697" s="26">
        <f t="array" ref="M697">MEDIAN(IF($F$3:$F$810=F697,$L$3:$L$810))</f>
        <v>10605</v>
      </c>
      <c r="N697" s="61">
        <v>10713</v>
      </c>
      <c r="O697" s="62">
        <v>10613</v>
      </c>
      <c r="P697" s="76">
        <f>IF(N697&lt;INDEX(Sectorwise!E:E,MATCH(F697,Sectorwise!A:A,0)),1,0)</f>
        <v>0</v>
      </c>
      <c r="Q697" s="76">
        <f>IF(AND(N697&gt;=INDEX(Sectorwise!E:E,MATCH(F697,Sectorwise!A:A,0)),N697&lt;=INDEX(Sectorwise!F:F,MATCH(F697,Sectorwise!A:A,0))),1,0)</f>
        <v>1</v>
      </c>
      <c r="R697" s="76">
        <f>IF(N697&gt;INDEX(Sectorwise!F:F,MATCH(F697,Sectorwise!A:A,0)),1,0)</f>
        <v>0</v>
      </c>
      <c r="S697" s="27">
        <f t="shared" si="41"/>
        <v>0</v>
      </c>
      <c r="T697" s="27">
        <f t="shared" si="42"/>
        <v>10713</v>
      </c>
      <c r="U697" s="27">
        <f t="shared" si="43"/>
        <v>0</v>
      </c>
      <c r="V697" s="95">
        <f>IF(R697=1,(N697-INDEX(Sectorwise!F:F,MATCH(F697,Sectorwise!A:A,0))),0)</f>
        <v>0</v>
      </c>
      <c r="W697" s="97">
        <f>POISSON(N697,INDEX(Sectorwise!D:D,MATCH(Travel!F497,Sectorwise!A:A,0)),TRUE)</f>
        <v>1</v>
      </c>
    </row>
    <row r="698" spans="1:24" ht="15.75" hidden="1" customHeight="1" x14ac:dyDescent="0.2">
      <c r="A698" s="60" t="s">
        <v>1344</v>
      </c>
      <c r="B698" s="60" t="s">
        <v>1345</v>
      </c>
      <c r="C698" s="60"/>
      <c r="E698" s="60" t="s">
        <v>2294</v>
      </c>
      <c r="F698" s="21" t="s">
        <v>2147</v>
      </c>
      <c r="G698" s="69" t="s">
        <v>2308</v>
      </c>
      <c r="H698" s="60" t="s">
        <v>1346</v>
      </c>
      <c r="I698" s="60" t="s">
        <v>1314</v>
      </c>
      <c r="J698" s="61">
        <v>9128</v>
      </c>
      <c r="K698" s="61">
        <v>1585</v>
      </c>
      <c r="L698" s="26">
        <f t="shared" si="40"/>
        <v>10713</v>
      </c>
      <c r="M698" s="26">
        <f t="array" ref="M698">MEDIAN(IF($F$3:$F$810=F698,$L$3:$L$810))</f>
        <v>10605</v>
      </c>
      <c r="N698" s="61">
        <v>10713</v>
      </c>
      <c r="O698" s="62">
        <v>0</v>
      </c>
      <c r="P698" s="76">
        <f>IF(N698&lt;INDEX(Sectorwise!E:E,MATCH(F698,Sectorwise!A:A,0)),1,0)</f>
        <v>0</v>
      </c>
      <c r="Q698" s="76">
        <f>IF(AND(N698&gt;=INDEX(Sectorwise!E:E,MATCH(F698,Sectorwise!A:A,0)),N698&lt;=INDEX(Sectorwise!F:F,MATCH(F698,Sectorwise!A:A,0))),1,0)</f>
        <v>1</v>
      </c>
      <c r="R698" s="76">
        <f>IF(N698&gt;INDEX(Sectorwise!F:F,MATCH(F698,Sectorwise!A:A,0)),1,0)</f>
        <v>0</v>
      </c>
      <c r="S698" s="27">
        <f t="shared" si="41"/>
        <v>0</v>
      </c>
      <c r="T698" s="27">
        <f t="shared" si="42"/>
        <v>10713</v>
      </c>
      <c r="U698" s="27">
        <f t="shared" si="43"/>
        <v>0</v>
      </c>
      <c r="V698" s="95">
        <f>IF(R698=1,(N698-INDEX(Sectorwise!F:F,MATCH(F698,Sectorwise!A:A,0))),0)</f>
        <v>0</v>
      </c>
      <c r="W698" s="97">
        <f>POISSON(N698,INDEX(Sectorwise!D:D,MATCH(Travel!F503,Sectorwise!A:A,0)),TRUE)</f>
        <v>1</v>
      </c>
    </row>
    <row r="699" spans="1:24" ht="15.75" hidden="1" customHeight="1" x14ac:dyDescent="0.2">
      <c r="A699" s="63" t="s">
        <v>1706</v>
      </c>
      <c r="B699" s="63" t="s">
        <v>1709</v>
      </c>
      <c r="C699" s="63" t="s">
        <v>1710</v>
      </c>
      <c r="E699" s="60" t="s">
        <v>2294</v>
      </c>
      <c r="F699" s="60" t="s">
        <v>2158</v>
      </c>
      <c r="G699" s="69" t="s">
        <v>2308</v>
      </c>
      <c r="H699" s="63" t="s">
        <v>1711</v>
      </c>
      <c r="I699" s="63" t="s">
        <v>1712</v>
      </c>
      <c r="J699" s="65">
        <v>17326</v>
      </c>
      <c r="K699" s="65">
        <v>3339</v>
      </c>
      <c r="L699" s="26">
        <f t="shared" si="40"/>
        <v>20665</v>
      </c>
      <c r="M699" s="26">
        <f t="array" ref="M699">MEDIAN(IF($F$3:$F$810=F699,$L$3:$L$810))</f>
        <v>20521</v>
      </c>
      <c r="N699" s="65">
        <v>20665</v>
      </c>
      <c r="O699" s="62">
        <v>10064</v>
      </c>
      <c r="P699" s="76">
        <f>IF(N699&lt;INDEX(Sectorwise!E:E,MATCH(F699,Sectorwise!A:A,0)),1,0)</f>
        <v>0</v>
      </c>
      <c r="Q699" s="76">
        <f>IF(AND(N699&gt;=INDEX(Sectorwise!E:E,MATCH(F699,Sectorwise!A:A,0)),N699&lt;=INDEX(Sectorwise!F:F,MATCH(F699,Sectorwise!A:A,0))),1,0)</f>
        <v>1</v>
      </c>
      <c r="R699" s="76">
        <f>IF(N699&gt;INDEX(Sectorwise!F:F,MATCH(F699,Sectorwise!A:A,0)),1,0)</f>
        <v>0</v>
      </c>
      <c r="S699" s="27">
        <f t="shared" si="41"/>
        <v>0</v>
      </c>
      <c r="T699" s="27">
        <f t="shared" si="42"/>
        <v>20665</v>
      </c>
      <c r="U699" s="27">
        <f t="shared" si="43"/>
        <v>0</v>
      </c>
      <c r="V699" s="95">
        <f>IF(R699=1,(N699-INDEX(Sectorwise!F:F,MATCH(F699,Sectorwise!A:A,0))),0)</f>
        <v>0</v>
      </c>
      <c r="W699" s="97">
        <f>POISSON(N699,INDEX(Sectorwise!D:D,MATCH(Travel!F648,Sectorwise!A:A,0)),TRUE)</f>
        <v>1</v>
      </c>
    </row>
    <row r="700" spans="1:24" ht="15.75" hidden="1" customHeight="1" x14ac:dyDescent="0.2">
      <c r="A700" s="56" t="s">
        <v>770</v>
      </c>
      <c r="B700" s="56" t="s">
        <v>784</v>
      </c>
      <c r="C700" s="56"/>
      <c r="E700" s="60" t="s">
        <v>2294</v>
      </c>
      <c r="F700" s="21" t="s">
        <v>2135</v>
      </c>
      <c r="G700" s="69" t="s">
        <v>2308</v>
      </c>
      <c r="H700" s="56" t="s">
        <v>785</v>
      </c>
      <c r="I700" s="56" t="s">
        <v>786</v>
      </c>
      <c r="J700" s="57">
        <v>4003</v>
      </c>
      <c r="K700" s="57">
        <v>917</v>
      </c>
      <c r="L700" s="26">
        <f t="shared" si="40"/>
        <v>4920</v>
      </c>
      <c r="M700" s="26">
        <f t="array" ref="M700">MEDIAN(IF($F$3:$F$810=F700,$L$3:$L$810))</f>
        <v>7234</v>
      </c>
      <c r="N700" s="57">
        <v>4920</v>
      </c>
      <c r="O700" s="58">
        <v>0</v>
      </c>
      <c r="P700" s="76">
        <f>IF(N700&lt;INDEX(Sectorwise!E:E,MATCH(F700,Sectorwise!A:A,0)),1,0)</f>
        <v>1</v>
      </c>
      <c r="Q700" s="76">
        <f>IF(AND(N700&gt;=INDEX(Sectorwise!E:E,MATCH(F700,Sectorwise!A:A,0)),N700&lt;=INDEX(Sectorwise!F:F,MATCH(F700,Sectorwise!A:A,0))),1,0)</f>
        <v>0</v>
      </c>
      <c r="R700" s="76">
        <f>IF(N700&gt;INDEX(Sectorwise!F:F,MATCH(F700,Sectorwise!A:A,0)),1,0)</f>
        <v>0</v>
      </c>
      <c r="S700" s="27">
        <f t="shared" si="41"/>
        <v>4920</v>
      </c>
      <c r="T700" s="27">
        <f t="shared" si="42"/>
        <v>0</v>
      </c>
      <c r="U700" s="27">
        <f t="shared" si="43"/>
        <v>0</v>
      </c>
      <c r="V700" s="95">
        <f>IF(R700=1,(N700-INDEX(Sectorwise!F:F,MATCH(F700,Sectorwise!A:A,0))),0)</f>
        <v>0</v>
      </c>
      <c r="W700" s="97">
        <f>POISSON(N700,INDEX(Sectorwise!D:D,MATCH(Travel!F295,Sectorwise!A:A,0)),TRUE)</f>
        <v>0</v>
      </c>
    </row>
    <row r="701" spans="1:24" ht="15.75" hidden="1" customHeight="1" x14ac:dyDescent="0.2">
      <c r="A701" s="60" t="s">
        <v>948</v>
      </c>
      <c r="B701" s="60" t="s">
        <v>958</v>
      </c>
      <c r="C701" s="60"/>
      <c r="E701" s="60" t="s">
        <v>2294</v>
      </c>
      <c r="F701" s="21" t="s">
        <v>2151</v>
      </c>
      <c r="G701" s="69" t="s">
        <v>2308</v>
      </c>
      <c r="H701" s="60" t="s">
        <v>959</v>
      </c>
      <c r="I701" s="60" t="s">
        <v>960</v>
      </c>
      <c r="J701" s="61">
        <v>8449</v>
      </c>
      <c r="K701" s="61">
        <v>1630</v>
      </c>
      <c r="L701" s="26">
        <f t="shared" si="40"/>
        <v>10079</v>
      </c>
      <c r="M701" s="26">
        <f t="array" ref="M701">MEDIAN(IF($F$3:$F$810=F701,$L$3:$L$810))</f>
        <v>10079</v>
      </c>
      <c r="N701" s="61">
        <v>10079</v>
      </c>
      <c r="O701" s="62">
        <v>0</v>
      </c>
      <c r="P701" s="76">
        <f>IF(N701&lt;INDEX(Sectorwise!E:E,MATCH(F701,Sectorwise!A:A,0)),1,0)</f>
        <v>0</v>
      </c>
      <c r="Q701" s="76">
        <f>IF(AND(N701&gt;=INDEX(Sectorwise!E:E,MATCH(F701,Sectorwise!A:A,0)),N701&lt;=INDEX(Sectorwise!F:F,MATCH(F701,Sectorwise!A:A,0))),1,0)</f>
        <v>1</v>
      </c>
      <c r="R701" s="76">
        <f>IF(N701&gt;INDEX(Sectorwise!F:F,MATCH(F701,Sectorwise!A:A,0)),1,0)</f>
        <v>0</v>
      </c>
      <c r="S701" s="27">
        <f t="shared" si="41"/>
        <v>0</v>
      </c>
      <c r="T701" s="27">
        <f t="shared" si="42"/>
        <v>10079</v>
      </c>
      <c r="U701" s="27">
        <f t="shared" si="43"/>
        <v>0</v>
      </c>
      <c r="V701" s="95">
        <f>IF(R701=1,(N701-INDEX(Sectorwise!F:F,MATCH(F701,Sectorwise!A:A,0))),0)</f>
        <v>0</v>
      </c>
      <c r="W701" s="97">
        <f>POISSON(N701,INDEX(Sectorwise!D:D,MATCH(Travel!F357,Sectorwise!A:A,0)),TRUE)</f>
        <v>1</v>
      </c>
    </row>
    <row r="702" spans="1:24" ht="15.75" hidden="1" customHeight="1" x14ac:dyDescent="0.2">
      <c r="A702" s="60" t="s">
        <v>1365</v>
      </c>
      <c r="B702" s="60" t="s">
        <v>1373</v>
      </c>
      <c r="C702" s="60" t="s">
        <v>1374</v>
      </c>
      <c r="E702" s="60" t="s">
        <v>2294</v>
      </c>
      <c r="F702" s="21" t="s">
        <v>2151</v>
      </c>
      <c r="G702" s="69" t="s">
        <v>2308</v>
      </c>
      <c r="H702" s="60" t="s">
        <v>1375</v>
      </c>
      <c r="I702" s="60" t="s">
        <v>1376</v>
      </c>
      <c r="J702" s="61">
        <v>8449</v>
      </c>
      <c r="K702" s="61">
        <v>1630</v>
      </c>
      <c r="L702" s="26">
        <f t="shared" si="40"/>
        <v>10079</v>
      </c>
      <c r="M702" s="26">
        <f t="array" ref="M702">MEDIAN(IF($F$3:$F$810=F702,$L$3:$L$810))</f>
        <v>10079</v>
      </c>
      <c r="N702" s="61">
        <v>10079</v>
      </c>
      <c r="O702" s="62">
        <v>9979</v>
      </c>
      <c r="P702" s="76">
        <f>IF(N702&lt;INDEX(Sectorwise!E:E,MATCH(F702,Sectorwise!A:A,0)),1,0)</f>
        <v>0</v>
      </c>
      <c r="Q702" s="76">
        <f>IF(AND(N702&gt;=INDEX(Sectorwise!E:E,MATCH(F702,Sectorwise!A:A,0)),N702&lt;=INDEX(Sectorwise!F:F,MATCH(F702,Sectorwise!A:A,0))),1,0)</f>
        <v>1</v>
      </c>
      <c r="R702" s="76">
        <f>IF(N702&gt;INDEX(Sectorwise!F:F,MATCH(F702,Sectorwise!A:A,0)),1,0)</f>
        <v>0</v>
      </c>
      <c r="S702" s="27">
        <f t="shared" si="41"/>
        <v>0</v>
      </c>
      <c r="T702" s="27">
        <f t="shared" si="42"/>
        <v>10079</v>
      </c>
      <c r="U702" s="27">
        <f t="shared" si="43"/>
        <v>0</v>
      </c>
      <c r="V702" s="95">
        <f>IF(R702=1,(N702-INDEX(Sectorwise!F:F,MATCH(F702,Sectorwise!A:A,0))),0)</f>
        <v>0</v>
      </c>
      <c r="W702" s="97">
        <f>POISSON(N702,INDEX(Sectorwise!D:D,MATCH(Travel!F514,Sectorwise!A:A,0)),TRUE)</f>
        <v>0</v>
      </c>
    </row>
    <row r="703" spans="1:24" ht="15.75" hidden="1" customHeight="1" x14ac:dyDescent="0.2">
      <c r="A703" s="60" t="s">
        <v>1383</v>
      </c>
      <c r="B703" s="60" t="s">
        <v>1392</v>
      </c>
      <c r="C703" s="60"/>
      <c r="E703" s="60" t="s">
        <v>2294</v>
      </c>
      <c r="F703" s="21" t="s">
        <v>2151</v>
      </c>
      <c r="G703" s="69" t="s">
        <v>2308</v>
      </c>
      <c r="H703" s="60" t="s">
        <v>1393</v>
      </c>
      <c r="I703" s="60" t="s">
        <v>1386</v>
      </c>
      <c r="J703" s="61">
        <v>8449</v>
      </c>
      <c r="K703" s="61">
        <v>1630</v>
      </c>
      <c r="L703" s="26">
        <f t="shared" si="40"/>
        <v>10079</v>
      </c>
      <c r="M703" s="26">
        <f t="array" ref="M703">MEDIAN(IF($F$3:$F$810=F703,$L$3:$L$810))</f>
        <v>10079</v>
      </c>
      <c r="N703" s="61">
        <v>10079</v>
      </c>
      <c r="O703" s="62">
        <v>0</v>
      </c>
      <c r="P703" s="76">
        <f>IF(N703&lt;INDEX(Sectorwise!E:E,MATCH(F703,Sectorwise!A:A,0)),1,0)</f>
        <v>0</v>
      </c>
      <c r="Q703" s="76">
        <f>IF(AND(N703&gt;=INDEX(Sectorwise!E:E,MATCH(F703,Sectorwise!A:A,0)),N703&lt;=INDEX(Sectorwise!F:F,MATCH(F703,Sectorwise!A:A,0))),1,0)</f>
        <v>1</v>
      </c>
      <c r="R703" s="76">
        <f>IF(N703&gt;INDEX(Sectorwise!F:F,MATCH(F703,Sectorwise!A:A,0)),1,0)</f>
        <v>0</v>
      </c>
      <c r="S703" s="27">
        <f t="shared" si="41"/>
        <v>0</v>
      </c>
      <c r="T703" s="27">
        <f t="shared" si="42"/>
        <v>10079</v>
      </c>
      <c r="U703" s="27">
        <f t="shared" si="43"/>
        <v>0</v>
      </c>
      <c r="V703" s="95">
        <f>IF(R703=1,(N703-INDEX(Sectorwise!F:F,MATCH(F703,Sectorwise!A:A,0))),0)</f>
        <v>0</v>
      </c>
      <c r="W703" s="97">
        <f>POISSON(N703,INDEX(Sectorwise!D:D,MATCH(Travel!F521,Sectorwise!A:A,0)),TRUE)</f>
        <v>8.4917907420720092E-55</v>
      </c>
    </row>
    <row r="704" spans="1:24" ht="15.75" hidden="1" customHeight="1" x14ac:dyDescent="0.2">
      <c r="A704" s="60" t="s">
        <v>1394</v>
      </c>
      <c r="B704" s="60" t="s">
        <v>1395</v>
      </c>
      <c r="C704" s="60"/>
      <c r="E704" s="60" t="s">
        <v>2294</v>
      </c>
      <c r="F704" s="21" t="s">
        <v>2151</v>
      </c>
      <c r="G704" s="69" t="s">
        <v>2308</v>
      </c>
      <c r="H704" s="60" t="s">
        <v>1396</v>
      </c>
      <c r="I704" s="60" t="s">
        <v>1376</v>
      </c>
      <c r="J704" s="61">
        <v>8449</v>
      </c>
      <c r="K704" s="61">
        <v>1630</v>
      </c>
      <c r="L704" s="26">
        <f t="shared" si="40"/>
        <v>10079</v>
      </c>
      <c r="M704" s="26">
        <f t="array" ref="M704">MEDIAN(IF($F$3:$F$810=F704,$L$3:$L$810))</f>
        <v>10079</v>
      </c>
      <c r="N704" s="61">
        <v>10079</v>
      </c>
      <c r="O704" s="62">
        <v>0</v>
      </c>
      <c r="P704" s="76">
        <f>IF(N704&lt;INDEX(Sectorwise!E:E,MATCH(F704,Sectorwise!A:A,0)),1,0)</f>
        <v>0</v>
      </c>
      <c r="Q704" s="76">
        <f>IF(AND(N704&gt;=INDEX(Sectorwise!E:E,MATCH(F704,Sectorwise!A:A,0)),N704&lt;=INDEX(Sectorwise!F:F,MATCH(F704,Sectorwise!A:A,0))),1,0)</f>
        <v>1</v>
      </c>
      <c r="R704" s="76">
        <f>IF(N704&gt;INDEX(Sectorwise!F:F,MATCH(F704,Sectorwise!A:A,0)),1,0)</f>
        <v>0</v>
      </c>
      <c r="S704" s="27">
        <f t="shared" si="41"/>
        <v>0</v>
      </c>
      <c r="T704" s="27">
        <f t="shared" si="42"/>
        <v>10079</v>
      </c>
      <c r="U704" s="27">
        <f t="shared" si="43"/>
        <v>0</v>
      </c>
      <c r="V704" s="95">
        <f>IF(R704=1,(N704-INDEX(Sectorwise!F:F,MATCH(F704,Sectorwise!A:A,0))),0)</f>
        <v>0</v>
      </c>
      <c r="W704" s="97">
        <f>POISSON(N704,INDEX(Sectorwise!D:D,MATCH(Travel!F522,Sectorwise!A:A,0)),TRUE)</f>
        <v>8.4917907420720092E-55</v>
      </c>
    </row>
    <row r="705" spans="1:24" ht="15.75" hidden="1" customHeight="1" x14ac:dyDescent="0.2">
      <c r="A705" s="63" t="s">
        <v>1893</v>
      </c>
      <c r="B705" s="63" t="s">
        <v>1896</v>
      </c>
      <c r="C705" s="63" t="s">
        <v>1897</v>
      </c>
      <c r="E705" s="60" t="s">
        <v>2294</v>
      </c>
      <c r="F705" s="21" t="s">
        <v>2151</v>
      </c>
      <c r="G705" s="69" t="s">
        <v>2308</v>
      </c>
      <c r="H705" s="63" t="s">
        <v>1898</v>
      </c>
      <c r="I705" s="63" t="s">
        <v>1899</v>
      </c>
      <c r="J705" s="65">
        <v>7959</v>
      </c>
      <c r="K705" s="65">
        <v>1769</v>
      </c>
      <c r="L705" s="26">
        <f t="shared" si="40"/>
        <v>9728</v>
      </c>
      <c r="M705" s="26">
        <f t="array" ref="M705">MEDIAN(IF($F$3:$F$810=F705,$L$3:$L$810))</f>
        <v>10079</v>
      </c>
      <c r="N705" s="65">
        <v>9728</v>
      </c>
      <c r="O705" s="62">
        <v>9628</v>
      </c>
      <c r="P705" s="76">
        <f>IF(N705&lt;INDEX(Sectorwise!E:E,MATCH(F705,Sectorwise!A:A,0)),1,0)</f>
        <v>0</v>
      </c>
      <c r="Q705" s="76">
        <f>IF(AND(N705&gt;=INDEX(Sectorwise!E:E,MATCH(F705,Sectorwise!A:A,0)),N705&lt;=INDEX(Sectorwise!F:F,MATCH(F705,Sectorwise!A:A,0))),1,0)</f>
        <v>1</v>
      </c>
      <c r="R705" s="76">
        <f>IF(N705&gt;INDEX(Sectorwise!F:F,MATCH(F705,Sectorwise!A:A,0)),1,0)</f>
        <v>0</v>
      </c>
      <c r="S705" s="27">
        <f t="shared" si="41"/>
        <v>0</v>
      </c>
      <c r="T705" s="27">
        <f t="shared" si="42"/>
        <v>9728</v>
      </c>
      <c r="U705" s="27">
        <f t="shared" si="43"/>
        <v>0</v>
      </c>
      <c r="V705" s="95">
        <f>IF(R705=1,(N705-INDEX(Sectorwise!F:F,MATCH(F705,Sectorwise!A:A,0))),0)</f>
        <v>0</v>
      </c>
      <c r="W705" s="97">
        <f>POISSON(N705,INDEX(Sectorwise!D:D,MATCH(Travel!F723,Sectorwise!A:A,0)),TRUE)</f>
        <v>0</v>
      </c>
    </row>
    <row r="706" spans="1:24" ht="15.75" hidden="1" customHeight="1" x14ac:dyDescent="0.2">
      <c r="A706" s="69" t="s">
        <v>1950</v>
      </c>
      <c r="B706" s="69" t="s">
        <v>1953</v>
      </c>
      <c r="C706" s="69"/>
      <c r="E706" s="60" t="s">
        <v>2294</v>
      </c>
      <c r="F706" s="21" t="s">
        <v>2151</v>
      </c>
      <c r="G706" s="69" t="s">
        <v>2308</v>
      </c>
      <c r="H706" s="69" t="s">
        <v>1954</v>
      </c>
      <c r="I706" s="69" t="s">
        <v>1799</v>
      </c>
      <c r="J706" s="70">
        <v>7407</v>
      </c>
      <c r="K706" s="70">
        <v>1572</v>
      </c>
      <c r="L706" s="26">
        <f t="shared" si="40"/>
        <v>8979</v>
      </c>
      <c r="M706" s="26">
        <f t="array" ref="M706">MEDIAN(IF($F$3:$F$810=F706,$L$3:$L$810))</f>
        <v>10079</v>
      </c>
      <c r="N706" s="70">
        <v>8979</v>
      </c>
      <c r="O706" s="71">
        <v>0</v>
      </c>
      <c r="P706" s="76">
        <f>IF(N706&lt;INDEX(Sectorwise!E:E,MATCH(F706,Sectorwise!A:A,0)),1,0)</f>
        <v>1</v>
      </c>
      <c r="Q706" s="76">
        <f>IF(AND(N706&gt;=INDEX(Sectorwise!E:E,MATCH(F706,Sectorwise!A:A,0)),N706&lt;=INDEX(Sectorwise!F:F,MATCH(F706,Sectorwise!A:A,0))),1,0)</f>
        <v>0</v>
      </c>
      <c r="R706" s="76">
        <f>IF(N706&gt;INDEX(Sectorwise!F:F,MATCH(F706,Sectorwise!A:A,0)),1,0)</f>
        <v>0</v>
      </c>
      <c r="S706" s="27">
        <f t="shared" si="41"/>
        <v>8979</v>
      </c>
      <c r="T706" s="27">
        <f t="shared" si="42"/>
        <v>0</v>
      </c>
      <c r="U706" s="27">
        <f t="shared" si="43"/>
        <v>0</v>
      </c>
      <c r="V706" s="95">
        <f>IF(R706=1,(N706-INDEX(Sectorwise!F:F,MATCH(F706,Sectorwise!A:A,0))),0)</f>
        <v>0</v>
      </c>
      <c r="W706" s="97">
        <f>POISSON(N706,INDEX(Sectorwise!D:D,MATCH(Travel!F746,Sectorwise!A:A,0)),TRUE)</f>
        <v>3.29039813189306E-154</v>
      </c>
    </row>
    <row r="707" spans="1:24" ht="15.75" hidden="1" customHeight="1" x14ac:dyDescent="0.2">
      <c r="A707" s="60" t="s">
        <v>1027</v>
      </c>
      <c r="B707" s="60" t="s">
        <v>1028</v>
      </c>
      <c r="C707" s="60"/>
      <c r="E707" s="60" t="s">
        <v>2294</v>
      </c>
      <c r="F707" s="60" t="s">
        <v>2193</v>
      </c>
      <c r="G707" s="63" t="s">
        <v>2313</v>
      </c>
      <c r="H707" s="60" t="s">
        <v>1029</v>
      </c>
      <c r="I707" s="60" t="s">
        <v>1030</v>
      </c>
      <c r="J707" s="61">
        <v>7420</v>
      </c>
      <c r="K707" s="61">
        <v>5580</v>
      </c>
      <c r="L707" s="26">
        <f t="shared" ref="L707:L770" si="44">J707+K707</f>
        <v>13000</v>
      </c>
      <c r="M707" s="26">
        <f t="array" ref="M707">MEDIAN(IF($F$3:$F$810=F707,$L$3:$L$810))</f>
        <v>13000</v>
      </c>
      <c r="N707" s="61">
        <v>13000</v>
      </c>
      <c r="O707" s="62">
        <v>0</v>
      </c>
      <c r="P707" s="76">
        <f>IF(N707&lt;INDEX(Sectorwise!E:E,MATCH(F707,Sectorwise!A:A,0)),1,0)</f>
        <v>0</v>
      </c>
      <c r="Q707" s="76">
        <f>IF(AND(N707&gt;=INDEX(Sectorwise!E:E,MATCH(F707,Sectorwise!A:A,0)),N707&lt;=INDEX(Sectorwise!F:F,MATCH(F707,Sectorwise!A:A,0))),1,0)</f>
        <v>1</v>
      </c>
      <c r="R707" s="76">
        <f>IF(N707&gt;INDEX(Sectorwise!F:F,MATCH(F707,Sectorwise!A:A,0)),1,0)</f>
        <v>0</v>
      </c>
      <c r="S707" s="27">
        <f t="shared" ref="S707:S770" si="45">IF(P707=0,0,N707)</f>
        <v>0</v>
      </c>
      <c r="T707" s="27">
        <f t="shared" ref="T707:T770" si="46">IF(Q707=0,0,N707)</f>
        <v>13000</v>
      </c>
      <c r="U707" s="27">
        <f t="shared" ref="U707:U770" si="47">IF(R707=0,0,N707)</f>
        <v>0</v>
      </c>
      <c r="V707" s="95">
        <f>IF(R707=1,(N707-INDEX(Sectorwise!F:F,MATCH(F707,Sectorwise!A:A,0))),0)</f>
        <v>0</v>
      </c>
      <c r="W707" s="97">
        <f>POISSON(N707,INDEX(Sectorwise!D:D,MATCH(Travel!F386,Sectorwise!A:A,0)),TRUE)</f>
        <v>1</v>
      </c>
    </row>
    <row r="708" spans="1:24" ht="15.75" hidden="1" customHeight="1" x14ac:dyDescent="0.2">
      <c r="A708" s="63" t="s">
        <v>1511</v>
      </c>
      <c r="B708" s="63" t="s">
        <v>1514</v>
      </c>
      <c r="C708" s="63"/>
      <c r="E708" s="60" t="s">
        <v>2294</v>
      </c>
      <c r="F708" s="63" t="s">
        <v>2216</v>
      </c>
      <c r="G708" s="63" t="s">
        <v>2323</v>
      </c>
      <c r="H708" s="63" t="s">
        <v>1515</v>
      </c>
      <c r="I708" s="63" t="s">
        <v>1516</v>
      </c>
      <c r="J708" s="65">
        <v>10110</v>
      </c>
      <c r="K708" s="65">
        <v>13436</v>
      </c>
      <c r="L708" s="26">
        <f t="shared" si="44"/>
        <v>23546</v>
      </c>
      <c r="M708" s="26">
        <f t="array" ref="M708">MEDIAN(IF($F$3:$F$810=F708,$L$3:$L$810))</f>
        <v>23546</v>
      </c>
      <c r="N708" s="65">
        <v>134680</v>
      </c>
      <c r="O708" s="62">
        <v>0</v>
      </c>
      <c r="P708" s="76">
        <f>IF(N708&lt;INDEX(Sectorwise!E:E,MATCH(F708,Sectorwise!A:A,0)),1,0)</f>
        <v>0</v>
      </c>
      <c r="Q708" s="76">
        <f>IF(AND(N708&gt;=INDEX(Sectorwise!E:E,MATCH(F708,Sectorwise!A:A,0)),N708&lt;=INDEX(Sectorwise!F:F,MATCH(F708,Sectorwise!A:A,0))),1,0)</f>
        <v>0</v>
      </c>
      <c r="R708" s="76">
        <f>IF(N708&gt;INDEX(Sectorwise!F:F,MATCH(F708,Sectorwise!A:A,0)),1,0)</f>
        <v>1</v>
      </c>
      <c r="S708" s="27">
        <f t="shared" si="45"/>
        <v>0</v>
      </c>
      <c r="T708" s="27">
        <f t="shared" si="46"/>
        <v>0</v>
      </c>
      <c r="U708" s="27">
        <f t="shared" si="47"/>
        <v>134680</v>
      </c>
      <c r="V708" s="95">
        <f>IF(R708=1,(N708-INDEX(Sectorwise!F:F,MATCH(F708,Sectorwise!A:A,0))),0)</f>
        <v>108680</v>
      </c>
      <c r="W708" s="97">
        <f>POISSON(N708,INDEX(Sectorwise!D:D,MATCH(Travel!F573,Sectorwise!A:A,0)),TRUE)</f>
        <v>1</v>
      </c>
    </row>
    <row r="709" spans="1:24" ht="15.75" hidden="1" customHeight="1" x14ac:dyDescent="0.2">
      <c r="A709" s="63" t="s">
        <v>1511</v>
      </c>
      <c r="B709" s="63" t="s">
        <v>1514</v>
      </c>
      <c r="C709" s="63"/>
      <c r="E709" s="60" t="s">
        <v>2294</v>
      </c>
      <c r="F709" s="63" t="s">
        <v>2230</v>
      </c>
      <c r="G709" s="63" t="s">
        <v>1517</v>
      </c>
      <c r="H709" s="63" t="s">
        <v>1518</v>
      </c>
      <c r="I709" s="63" t="s">
        <v>1519</v>
      </c>
      <c r="J709" s="65">
        <v>6561</v>
      </c>
      <c r="K709" s="65">
        <v>5231</v>
      </c>
      <c r="L709" s="26">
        <f t="shared" si="44"/>
        <v>11792</v>
      </c>
      <c r="M709" s="26">
        <f t="array" ref="M709">MEDIAN(IF($F$3:$F$810=F709,$L$3:$L$810))</f>
        <v>11792</v>
      </c>
      <c r="N709" s="57">
        <f>J709+K709</f>
        <v>11792</v>
      </c>
      <c r="O709" s="62">
        <v>0</v>
      </c>
      <c r="P709" s="76">
        <f>IF(N709&lt;INDEX(Sectorwise!E:E,MATCH(F709,Sectorwise!A:A,0)),1,0)</f>
        <v>0</v>
      </c>
      <c r="Q709" s="76">
        <f>IF(AND(N709&gt;=INDEX(Sectorwise!E:E,MATCH(F709,Sectorwise!A:A,0)),N709&lt;=INDEX(Sectorwise!F:F,MATCH(F709,Sectorwise!A:A,0))),1,0)</f>
        <v>1</v>
      </c>
      <c r="R709" s="76">
        <f>IF(N709&gt;INDEX(Sectorwise!F:F,MATCH(F709,Sectorwise!A:A,0)),1,0)</f>
        <v>0</v>
      </c>
      <c r="S709" s="27">
        <f t="shared" si="45"/>
        <v>0</v>
      </c>
      <c r="T709" s="27">
        <f t="shared" si="46"/>
        <v>11792</v>
      </c>
      <c r="U709" s="27">
        <f t="shared" si="47"/>
        <v>0</v>
      </c>
      <c r="V709" s="95">
        <f>IF(R709=1,(N709-INDEX(Sectorwise!F:F,MATCH(F709,Sectorwise!A:A,0))),0)</f>
        <v>0</v>
      </c>
      <c r="W709" s="97">
        <f>POISSON(N709,INDEX(Sectorwise!D:D,MATCH(Travel!F574,Sectorwise!A:A,0)),TRUE)</f>
        <v>1</v>
      </c>
    </row>
    <row r="710" spans="1:24" ht="15.75" hidden="1" customHeight="1" x14ac:dyDescent="0.2">
      <c r="A710" s="21" t="s">
        <v>490</v>
      </c>
      <c r="B710" s="21" t="s">
        <v>491</v>
      </c>
      <c r="C710" s="30"/>
      <c r="D710" s="32"/>
      <c r="E710" s="60" t="s">
        <v>2294</v>
      </c>
      <c r="F710" s="21" t="s">
        <v>2149</v>
      </c>
      <c r="G710" s="69" t="s">
        <v>2308</v>
      </c>
      <c r="H710" s="21" t="s">
        <v>492</v>
      </c>
      <c r="I710" s="21" t="s">
        <v>493</v>
      </c>
      <c r="J710" s="25">
        <v>8296</v>
      </c>
      <c r="K710" s="25">
        <v>1398</v>
      </c>
      <c r="L710" s="26">
        <f t="shared" si="44"/>
        <v>9694</v>
      </c>
      <c r="M710" s="26">
        <f t="array" ref="M710">MEDIAN(IF($F$3:$F$810=F710,$L$3:$L$810))</f>
        <v>10332</v>
      </c>
      <c r="N710" s="47">
        <f>J710+K710</f>
        <v>9694</v>
      </c>
      <c r="O710" s="50"/>
      <c r="P710" s="76">
        <f>IF(N710&lt;INDEX(Sectorwise!E:E,MATCH(F710,Sectorwise!A:A,0)),1,0)</f>
        <v>0</v>
      </c>
      <c r="Q710" s="76">
        <f>IF(AND(N710&gt;=INDEX(Sectorwise!E:E,MATCH(F710,Sectorwise!A:A,0)),N710&lt;=INDEX(Sectorwise!F:F,MATCH(F710,Sectorwise!A:A,0))),1,0)</f>
        <v>1</v>
      </c>
      <c r="R710" s="76">
        <f>IF(N710&gt;INDEX(Sectorwise!F:F,MATCH(F710,Sectorwise!A:A,0)),1,0)</f>
        <v>0</v>
      </c>
      <c r="S710" s="27">
        <f t="shared" si="45"/>
        <v>0</v>
      </c>
      <c r="T710" s="27">
        <f t="shared" si="46"/>
        <v>9694</v>
      </c>
      <c r="U710" s="27">
        <f t="shared" si="47"/>
        <v>0</v>
      </c>
      <c r="V710" s="95">
        <f>IF(R710=1,(N710-INDEX(Sectorwise!F:F,MATCH(F710,Sectorwise!A:A,0))),0)</f>
        <v>0</v>
      </c>
      <c r="W710" s="97">
        <f>POISSON(N710,INDEX(Sectorwise!D:D,MATCH(Travel!F182,Sectorwise!A:A,0)),TRUE)</f>
        <v>0</v>
      </c>
    </row>
    <row r="711" spans="1:24" ht="15.75" hidden="1" customHeight="1" x14ac:dyDescent="0.2">
      <c r="A711" s="53" t="s">
        <v>528</v>
      </c>
      <c r="B711" s="54" t="s">
        <v>537</v>
      </c>
      <c r="C711" s="22"/>
      <c r="D711" s="32"/>
      <c r="E711" s="60" t="s">
        <v>2294</v>
      </c>
      <c r="F711" s="21" t="s">
        <v>2149</v>
      </c>
      <c r="G711" s="69" t="s">
        <v>2308</v>
      </c>
      <c r="H711" s="21" t="s">
        <v>538</v>
      </c>
      <c r="I711" s="21" t="s">
        <v>528</v>
      </c>
      <c r="J711" s="25">
        <v>8296</v>
      </c>
      <c r="K711" s="25">
        <v>1398</v>
      </c>
      <c r="L711" s="26">
        <f t="shared" si="44"/>
        <v>9694</v>
      </c>
      <c r="M711" s="26">
        <f t="array" ref="M711">MEDIAN(IF($F$3:$F$810=F711,$L$3:$L$810))</f>
        <v>10332</v>
      </c>
      <c r="N711" s="47">
        <v>9694</v>
      </c>
      <c r="O711" s="27"/>
      <c r="P711" s="76">
        <f>IF(N711&lt;INDEX(Sectorwise!E:E,MATCH(F711,Sectorwise!A:A,0)),1,0)</f>
        <v>0</v>
      </c>
      <c r="Q711" s="76">
        <f>IF(AND(N711&gt;=INDEX(Sectorwise!E:E,MATCH(F711,Sectorwise!A:A,0)),N711&lt;=INDEX(Sectorwise!F:F,MATCH(F711,Sectorwise!A:A,0))),1,0)</f>
        <v>1</v>
      </c>
      <c r="R711" s="76">
        <f>IF(N711&gt;INDEX(Sectorwise!F:F,MATCH(F711,Sectorwise!A:A,0)),1,0)</f>
        <v>0</v>
      </c>
      <c r="S711" s="27">
        <f t="shared" si="45"/>
        <v>0</v>
      </c>
      <c r="T711" s="27">
        <f t="shared" si="46"/>
        <v>9694</v>
      </c>
      <c r="U711" s="27">
        <f t="shared" si="47"/>
        <v>0</v>
      </c>
      <c r="V711" s="95">
        <f>IF(R711=1,(N711-INDEX(Sectorwise!F:F,MATCH(F711,Sectorwise!A:A,0))),0)</f>
        <v>0</v>
      </c>
      <c r="W711" s="97">
        <f>POISSON(N711,INDEX(Sectorwise!D:D,MATCH(Travel!F200,Sectorwise!A:A,0)),TRUE)</f>
        <v>0</v>
      </c>
    </row>
    <row r="712" spans="1:24" ht="15.75" hidden="1" customHeight="1" x14ac:dyDescent="0.2">
      <c r="A712" s="63" t="s">
        <v>1169</v>
      </c>
      <c r="B712" s="63" t="s">
        <v>1170</v>
      </c>
      <c r="C712" s="63"/>
      <c r="E712" s="60" t="s">
        <v>2294</v>
      </c>
      <c r="F712" s="21" t="s">
        <v>2149</v>
      </c>
      <c r="G712" s="69" t="s">
        <v>2308</v>
      </c>
      <c r="H712" s="63" t="s">
        <v>1171</v>
      </c>
      <c r="I712" s="63" t="s">
        <v>907</v>
      </c>
      <c r="J712" s="65">
        <v>9178</v>
      </c>
      <c r="K712" s="65">
        <v>1446</v>
      </c>
      <c r="L712" s="26">
        <f t="shared" si="44"/>
        <v>10624</v>
      </c>
      <c r="M712" s="26">
        <f t="array" ref="M712">MEDIAN(IF($F$3:$F$810=F712,$L$3:$L$810))</f>
        <v>10332</v>
      </c>
      <c r="N712" s="65">
        <v>10624</v>
      </c>
      <c r="O712" s="62">
        <v>0</v>
      </c>
      <c r="P712" s="76">
        <f>IF(N712&lt;INDEX(Sectorwise!E:E,MATCH(F712,Sectorwise!A:A,0)),1,0)</f>
        <v>0</v>
      </c>
      <c r="Q712" s="76">
        <f>IF(AND(N712&gt;=INDEX(Sectorwise!E:E,MATCH(F712,Sectorwise!A:A,0)),N712&lt;=INDEX(Sectorwise!F:F,MATCH(F712,Sectorwise!A:A,0))),1,0)</f>
        <v>1</v>
      </c>
      <c r="R712" s="76">
        <f>IF(N712&gt;INDEX(Sectorwise!F:F,MATCH(F712,Sectorwise!A:A,0)),1,0)</f>
        <v>0</v>
      </c>
      <c r="S712" s="27">
        <f t="shared" si="45"/>
        <v>0</v>
      </c>
      <c r="T712" s="27">
        <f t="shared" si="46"/>
        <v>10624</v>
      </c>
      <c r="U712" s="27">
        <f t="shared" si="47"/>
        <v>0</v>
      </c>
      <c r="V712" s="95">
        <f>IF(R712=1,(N712-INDEX(Sectorwise!F:F,MATCH(F712,Sectorwise!A:A,0))),0)</f>
        <v>0</v>
      </c>
      <c r="W712" s="97">
        <f>POISSON(N712,INDEX(Sectorwise!D:D,MATCH(Travel!F442,Sectorwise!A:A,0)),TRUE)</f>
        <v>0.99792043618465343</v>
      </c>
    </row>
    <row r="713" spans="1:24" ht="15.75" hidden="1" customHeight="1" x14ac:dyDescent="0.2">
      <c r="A713" s="60" t="s">
        <v>1297</v>
      </c>
      <c r="B713" s="60" t="s">
        <v>1298</v>
      </c>
      <c r="C713" s="60"/>
      <c r="E713" s="60" t="s">
        <v>2294</v>
      </c>
      <c r="F713" s="21" t="s">
        <v>2149</v>
      </c>
      <c r="G713" s="69" t="s">
        <v>2308</v>
      </c>
      <c r="H713" s="60" t="s">
        <v>1299</v>
      </c>
      <c r="I713" s="60" t="s">
        <v>1300</v>
      </c>
      <c r="J713" s="61">
        <v>9178</v>
      </c>
      <c r="K713" s="61">
        <v>1446</v>
      </c>
      <c r="L713" s="26">
        <f t="shared" si="44"/>
        <v>10624</v>
      </c>
      <c r="M713" s="26">
        <f t="array" ref="M713">MEDIAN(IF($F$3:$F$810=F713,$L$3:$L$810))</f>
        <v>10332</v>
      </c>
      <c r="N713" s="61">
        <v>10624</v>
      </c>
      <c r="O713" s="62">
        <v>0</v>
      </c>
      <c r="P713" s="76">
        <f>IF(N713&lt;INDEX(Sectorwise!E:E,MATCH(F713,Sectorwise!A:A,0)),1,0)</f>
        <v>0</v>
      </c>
      <c r="Q713" s="76">
        <f>IF(AND(N713&gt;=INDEX(Sectorwise!E:E,MATCH(F713,Sectorwise!A:A,0)),N713&lt;=INDEX(Sectorwise!F:F,MATCH(F713,Sectorwise!A:A,0))),1,0)</f>
        <v>1</v>
      </c>
      <c r="R713" s="76">
        <f>IF(N713&gt;INDEX(Sectorwise!F:F,MATCH(F713,Sectorwise!A:A,0)),1,0)</f>
        <v>0</v>
      </c>
      <c r="S713" s="27">
        <f t="shared" si="45"/>
        <v>0</v>
      </c>
      <c r="T713" s="27">
        <f t="shared" si="46"/>
        <v>10624</v>
      </c>
      <c r="U713" s="27">
        <f t="shared" si="47"/>
        <v>0</v>
      </c>
      <c r="V713" s="95">
        <f>IF(R713=1,(N713-INDEX(Sectorwise!F:F,MATCH(F713,Sectorwise!A:A,0))),0)</f>
        <v>0</v>
      </c>
      <c r="W713" s="97">
        <f>POISSON(N713,INDEX(Sectorwise!D:D,MATCH(Travel!F487,Sectorwise!A:A,0)),TRUE)</f>
        <v>3.5233197052348743E-25</v>
      </c>
    </row>
    <row r="714" spans="1:24" ht="15.75" hidden="1" customHeight="1" x14ac:dyDescent="0.2">
      <c r="A714" s="63" t="s">
        <v>1771</v>
      </c>
      <c r="B714" s="63" t="s">
        <v>1772</v>
      </c>
      <c r="C714" s="63"/>
      <c r="E714" s="60" t="s">
        <v>2294</v>
      </c>
      <c r="F714" s="21" t="s">
        <v>2149</v>
      </c>
      <c r="G714" s="69" t="s">
        <v>2308</v>
      </c>
      <c r="H714" s="63" t="s">
        <v>1773</v>
      </c>
      <c r="I714" s="63" t="s">
        <v>1774</v>
      </c>
      <c r="J714" s="65">
        <v>8688</v>
      </c>
      <c r="K714" s="65">
        <v>1601</v>
      </c>
      <c r="L714" s="26">
        <f t="shared" si="44"/>
        <v>10289</v>
      </c>
      <c r="M714" s="26">
        <f t="array" ref="M714">MEDIAN(IF($F$3:$F$810=F714,$L$3:$L$810))</f>
        <v>10332</v>
      </c>
      <c r="N714" s="65">
        <v>10289</v>
      </c>
      <c r="O714" s="62">
        <v>0</v>
      </c>
      <c r="P714" s="76">
        <f>IF(N714&lt;INDEX(Sectorwise!E:E,MATCH(F714,Sectorwise!A:A,0)),1,0)</f>
        <v>0</v>
      </c>
      <c r="Q714" s="76">
        <f>IF(AND(N714&gt;=INDEX(Sectorwise!E:E,MATCH(F714,Sectorwise!A:A,0)),N714&lt;=INDEX(Sectorwise!F:F,MATCH(F714,Sectorwise!A:A,0))),1,0)</f>
        <v>1</v>
      </c>
      <c r="R714" s="76">
        <f>IF(N714&gt;INDEX(Sectorwise!F:F,MATCH(F714,Sectorwise!A:A,0)),1,0)</f>
        <v>0</v>
      </c>
      <c r="S714" s="27">
        <f t="shared" si="45"/>
        <v>0</v>
      </c>
      <c r="T714" s="27">
        <f t="shared" si="46"/>
        <v>10289</v>
      </c>
      <c r="U714" s="27">
        <f t="shared" si="47"/>
        <v>0</v>
      </c>
      <c r="V714" s="95">
        <f>IF(R714=1,(N714-INDEX(Sectorwise!F:F,MATCH(F714,Sectorwise!A:A,0))),0)</f>
        <v>0</v>
      </c>
      <c r="W714" s="97">
        <f>POISSON(N714,INDEX(Sectorwise!D:D,MATCH(Travel!F673,Sectorwise!A:A,0)),TRUE)</f>
        <v>1</v>
      </c>
    </row>
    <row r="715" spans="1:24" ht="15.75" hidden="1" customHeight="1" x14ac:dyDescent="0.2">
      <c r="A715" s="21" t="s">
        <v>171</v>
      </c>
      <c r="B715" s="21" t="s">
        <v>172</v>
      </c>
      <c r="C715" s="30" t="s">
        <v>173</v>
      </c>
      <c r="D715" s="32"/>
      <c r="E715" s="60" t="s">
        <v>2294</v>
      </c>
      <c r="F715" s="21" t="s">
        <v>2210</v>
      </c>
      <c r="G715" s="69" t="s">
        <v>2308</v>
      </c>
      <c r="H715" s="21" t="s">
        <v>174</v>
      </c>
      <c r="I715" s="21" t="s">
        <v>175</v>
      </c>
      <c r="J715" s="25">
        <v>16562</v>
      </c>
      <c r="K715" s="25">
        <v>2933</v>
      </c>
      <c r="L715" s="26">
        <f t="shared" si="44"/>
        <v>19495</v>
      </c>
      <c r="M715" s="26">
        <f t="array" ref="M715">MEDIAN(IF($F$3:$F$810=F715,$L$3:$L$810))</f>
        <v>19495</v>
      </c>
      <c r="N715" s="26">
        <v>19495</v>
      </c>
      <c r="O715" s="27">
        <v>19295</v>
      </c>
      <c r="P715" s="76">
        <f>IF(N715&lt;INDEX(Sectorwise!E:E,MATCH(F715,Sectorwise!A:A,0)),1,0)</f>
        <v>0</v>
      </c>
      <c r="Q715" s="76">
        <f>IF(AND(N715&gt;=INDEX(Sectorwise!E:E,MATCH(F715,Sectorwise!A:A,0)),N715&lt;=INDEX(Sectorwise!F:F,MATCH(F715,Sectorwise!A:A,0))),1,0)</f>
        <v>1</v>
      </c>
      <c r="R715" s="76">
        <f>IF(N715&gt;INDEX(Sectorwise!F:F,MATCH(F715,Sectorwise!A:A,0)),1,0)</f>
        <v>0</v>
      </c>
      <c r="S715" s="27">
        <f t="shared" si="45"/>
        <v>0</v>
      </c>
      <c r="T715" s="27">
        <f t="shared" si="46"/>
        <v>19495</v>
      </c>
      <c r="U715" s="27">
        <f t="shared" si="47"/>
        <v>0</v>
      </c>
      <c r="V715" s="95">
        <f>IF(R715=1,(N715-INDEX(Sectorwise!F:F,MATCH(F715,Sectorwise!A:A,0))),0)</f>
        <v>0</v>
      </c>
      <c r="W715" s="97">
        <f>POISSON(N715,INDEX(Sectorwise!D:D,MATCH(Travel!F61,Sectorwise!A:A,0)),TRUE)</f>
        <v>1</v>
      </c>
      <c r="X715" s="28">
        <v>200</v>
      </c>
    </row>
    <row r="716" spans="1:24" ht="15.75" hidden="1" customHeight="1" x14ac:dyDescent="0.2">
      <c r="A716" s="21" t="s">
        <v>176</v>
      </c>
      <c r="B716" s="21" t="s">
        <v>177</v>
      </c>
      <c r="C716" s="30"/>
      <c r="D716" s="32"/>
      <c r="E716" s="60" t="s">
        <v>2294</v>
      </c>
      <c r="F716" s="21" t="s">
        <v>2210</v>
      </c>
      <c r="G716" s="69" t="s">
        <v>2308</v>
      </c>
      <c r="H716" s="21" t="s">
        <v>178</v>
      </c>
      <c r="I716" s="21" t="s">
        <v>179</v>
      </c>
      <c r="J716" s="25">
        <v>16562</v>
      </c>
      <c r="K716" s="25">
        <v>2933</v>
      </c>
      <c r="L716" s="26">
        <f t="shared" si="44"/>
        <v>19495</v>
      </c>
      <c r="M716" s="26">
        <f t="array" ref="M716">MEDIAN(IF($F$3:$F$810=F716,$L$3:$L$810))</f>
        <v>19495</v>
      </c>
      <c r="N716" s="26">
        <v>19495</v>
      </c>
      <c r="O716" s="27"/>
      <c r="P716" s="76">
        <f>IF(N716&lt;INDEX(Sectorwise!E:E,MATCH(F716,Sectorwise!A:A,0)),1,0)</f>
        <v>0</v>
      </c>
      <c r="Q716" s="76">
        <f>IF(AND(N716&gt;=INDEX(Sectorwise!E:E,MATCH(F716,Sectorwise!A:A,0)),N716&lt;=INDEX(Sectorwise!F:F,MATCH(F716,Sectorwise!A:A,0))),1,0)</f>
        <v>1</v>
      </c>
      <c r="R716" s="76">
        <f>IF(N716&gt;INDEX(Sectorwise!F:F,MATCH(F716,Sectorwise!A:A,0)),1,0)</f>
        <v>0</v>
      </c>
      <c r="S716" s="27">
        <f t="shared" si="45"/>
        <v>0</v>
      </c>
      <c r="T716" s="27">
        <f t="shared" si="46"/>
        <v>19495</v>
      </c>
      <c r="U716" s="27">
        <f t="shared" si="47"/>
        <v>0</v>
      </c>
      <c r="V716" s="95">
        <f>IF(R716=1,(N716-INDEX(Sectorwise!F:F,MATCH(F716,Sectorwise!A:A,0))),0)</f>
        <v>0</v>
      </c>
      <c r="W716" s="97">
        <f>POISSON(N716,INDEX(Sectorwise!D:D,MATCH(Travel!F62,Sectorwise!A:A,0)),TRUE)</f>
        <v>1</v>
      </c>
      <c r="X716" s="28">
        <v>19495</v>
      </c>
    </row>
    <row r="717" spans="1:24" ht="15.75" hidden="1" customHeight="1" x14ac:dyDescent="0.2">
      <c r="A717" s="53" t="s">
        <v>512</v>
      </c>
      <c r="B717" s="54" t="s">
        <v>523</v>
      </c>
      <c r="C717" s="22"/>
      <c r="D717" s="32"/>
      <c r="E717" s="60" t="s">
        <v>2294</v>
      </c>
      <c r="F717" s="21" t="s">
        <v>2210</v>
      </c>
      <c r="G717" s="69" t="s">
        <v>2308</v>
      </c>
      <c r="H717" s="21" t="s">
        <v>524</v>
      </c>
      <c r="I717" s="21" t="s">
        <v>512</v>
      </c>
      <c r="J717" s="25">
        <v>16542</v>
      </c>
      <c r="K717" s="25">
        <v>2932</v>
      </c>
      <c r="L717" s="26">
        <f t="shared" si="44"/>
        <v>19474</v>
      </c>
      <c r="M717" s="26">
        <f t="array" ref="M717">MEDIAN(IF($F$3:$F$810=F717,$L$3:$L$810))</f>
        <v>19495</v>
      </c>
      <c r="N717" s="47">
        <v>19474</v>
      </c>
      <c r="O717" s="27"/>
      <c r="P717" s="76">
        <f>IF(N717&lt;INDEX(Sectorwise!E:E,MATCH(F717,Sectorwise!A:A,0)),1,0)</f>
        <v>0</v>
      </c>
      <c r="Q717" s="76">
        <f>IF(AND(N717&gt;=INDEX(Sectorwise!E:E,MATCH(F717,Sectorwise!A:A,0)),N717&lt;=INDEX(Sectorwise!F:F,MATCH(F717,Sectorwise!A:A,0))),1,0)</f>
        <v>1</v>
      </c>
      <c r="R717" s="76">
        <f>IF(N717&gt;INDEX(Sectorwise!F:F,MATCH(F717,Sectorwise!A:A,0)),1,0)</f>
        <v>0</v>
      </c>
      <c r="S717" s="27">
        <f t="shared" si="45"/>
        <v>0</v>
      </c>
      <c r="T717" s="27">
        <f t="shared" si="46"/>
        <v>19474</v>
      </c>
      <c r="U717" s="27">
        <f t="shared" si="47"/>
        <v>0</v>
      </c>
      <c r="V717" s="95">
        <f>IF(R717=1,(N717-INDEX(Sectorwise!F:F,MATCH(F717,Sectorwise!A:A,0))),0)</f>
        <v>0</v>
      </c>
      <c r="W717" s="97">
        <f>POISSON(N717,INDEX(Sectorwise!D:D,MATCH(Travel!F194,Sectorwise!A:A,0)),TRUE)</f>
        <v>1</v>
      </c>
    </row>
    <row r="718" spans="1:24" ht="15.75" hidden="1" customHeight="1" x14ac:dyDescent="0.2">
      <c r="A718" s="63" t="s">
        <v>1273</v>
      </c>
      <c r="B718" s="63" t="s">
        <v>1274</v>
      </c>
      <c r="C718" s="63" t="s">
        <v>1275</v>
      </c>
      <c r="E718" s="60" t="s">
        <v>2294</v>
      </c>
      <c r="F718" s="21" t="s">
        <v>2210</v>
      </c>
      <c r="G718" s="69" t="s">
        <v>2308</v>
      </c>
      <c r="H718" s="63" t="s">
        <v>1276</v>
      </c>
      <c r="I718" s="63" t="s">
        <v>1277</v>
      </c>
      <c r="J718" s="65">
        <v>18306</v>
      </c>
      <c r="K718" s="65">
        <v>3030</v>
      </c>
      <c r="L718" s="26">
        <f t="shared" si="44"/>
        <v>21336</v>
      </c>
      <c r="M718" s="26">
        <f t="array" ref="M718">MEDIAN(IF($F$3:$F$810=F718,$L$3:$L$810))</f>
        <v>19495</v>
      </c>
      <c r="N718" s="65">
        <v>21336</v>
      </c>
      <c r="O718" s="62">
        <v>10399</v>
      </c>
      <c r="P718" s="76">
        <f>IF(N718&lt;INDEX(Sectorwise!E:E,MATCH(F718,Sectorwise!A:A,0)),1,0)</f>
        <v>0</v>
      </c>
      <c r="Q718" s="76">
        <f>IF(AND(N718&gt;=INDEX(Sectorwise!E:E,MATCH(F718,Sectorwise!A:A,0)),N718&lt;=INDEX(Sectorwise!F:F,MATCH(F718,Sectorwise!A:A,0))),1,0)</f>
        <v>1</v>
      </c>
      <c r="R718" s="76">
        <f>IF(N718&gt;INDEX(Sectorwise!F:F,MATCH(F718,Sectorwise!A:A,0)),1,0)</f>
        <v>0</v>
      </c>
      <c r="S718" s="27">
        <f t="shared" si="45"/>
        <v>0</v>
      </c>
      <c r="T718" s="27">
        <f t="shared" si="46"/>
        <v>21336</v>
      </c>
      <c r="U718" s="27">
        <f t="shared" si="47"/>
        <v>0</v>
      </c>
      <c r="V718" s="95">
        <f>IF(R718=1,(N718-INDEX(Sectorwise!F:F,MATCH(F718,Sectorwise!A:A,0))),0)</f>
        <v>0</v>
      </c>
      <c r="W718" s="97">
        <f>POISSON(N718,INDEX(Sectorwise!D:D,MATCH(Travel!F479,Sectorwise!A:A,0)),TRUE)</f>
        <v>1</v>
      </c>
    </row>
    <row r="719" spans="1:24" ht="15.75" hidden="1" customHeight="1" x14ac:dyDescent="0.2">
      <c r="A719" s="56" t="s">
        <v>770</v>
      </c>
      <c r="B719" s="56" t="s">
        <v>781</v>
      </c>
      <c r="C719" s="59" t="s">
        <v>782</v>
      </c>
      <c r="E719" s="60" t="s">
        <v>2294</v>
      </c>
      <c r="F719" s="21" t="s">
        <v>2153</v>
      </c>
      <c r="G719" s="69" t="s">
        <v>2308</v>
      </c>
      <c r="H719" s="56" t="s">
        <v>783</v>
      </c>
      <c r="I719" s="56" t="s">
        <v>773</v>
      </c>
      <c r="J719" s="57">
        <v>4983</v>
      </c>
      <c r="K719" s="57">
        <v>1214</v>
      </c>
      <c r="L719" s="26">
        <f t="shared" si="44"/>
        <v>6197</v>
      </c>
      <c r="M719" s="26">
        <f t="array" ref="M719">MEDIAN(IF($F$3:$F$810=F719,$L$3:$L$810))</f>
        <v>9855</v>
      </c>
      <c r="N719" s="57">
        <v>6197</v>
      </c>
      <c r="O719" s="58">
        <v>6097</v>
      </c>
      <c r="P719" s="76">
        <f>IF(N719&lt;INDEX(Sectorwise!E:E,MATCH(F719,Sectorwise!A:A,0)),1,0)</f>
        <v>1</v>
      </c>
      <c r="Q719" s="76">
        <f>IF(AND(N719&gt;=INDEX(Sectorwise!E:E,MATCH(F719,Sectorwise!A:A,0)),N719&lt;=INDEX(Sectorwise!F:F,MATCH(F719,Sectorwise!A:A,0))),1,0)</f>
        <v>0</v>
      </c>
      <c r="R719" s="76">
        <f>IF(N719&gt;INDEX(Sectorwise!F:F,MATCH(F719,Sectorwise!A:A,0)),1,0)</f>
        <v>0</v>
      </c>
      <c r="S719" s="27">
        <f t="shared" si="45"/>
        <v>6197</v>
      </c>
      <c r="T719" s="27">
        <f t="shared" si="46"/>
        <v>0</v>
      </c>
      <c r="U719" s="27">
        <f t="shared" si="47"/>
        <v>0</v>
      </c>
      <c r="V719" s="95">
        <f>IF(R719=1,(N719-INDEX(Sectorwise!F:F,MATCH(F719,Sectorwise!A:A,0))),0)</f>
        <v>0</v>
      </c>
      <c r="W719" s="97">
        <f>POISSON(N719,INDEX(Sectorwise!D:D,MATCH(Travel!F294,Sectorwise!A:A,0)),TRUE)</f>
        <v>0</v>
      </c>
    </row>
    <row r="720" spans="1:24" ht="15.75" hidden="1" customHeight="1" x14ac:dyDescent="0.2">
      <c r="A720" s="56" t="s">
        <v>787</v>
      </c>
      <c r="B720" s="56" t="s">
        <v>792</v>
      </c>
      <c r="E720" s="60" t="s">
        <v>2294</v>
      </c>
      <c r="F720" s="21" t="s">
        <v>2153</v>
      </c>
      <c r="G720" s="69" t="s">
        <v>2308</v>
      </c>
      <c r="H720" s="56" t="s">
        <v>793</v>
      </c>
      <c r="I720" s="56" t="s">
        <v>773</v>
      </c>
      <c r="J720" s="57">
        <v>4983</v>
      </c>
      <c r="K720" s="57">
        <v>1214</v>
      </c>
      <c r="L720" s="26">
        <f t="shared" si="44"/>
        <v>6197</v>
      </c>
      <c r="M720" s="26">
        <f t="array" ref="M720">MEDIAN(IF($F$3:$F$810=F720,$L$3:$L$810))</f>
        <v>9855</v>
      </c>
      <c r="N720" s="57">
        <v>6197</v>
      </c>
      <c r="O720" s="58">
        <v>0</v>
      </c>
      <c r="P720" s="76">
        <f>IF(N720&lt;INDEX(Sectorwise!E:E,MATCH(F720,Sectorwise!A:A,0)),1,0)</f>
        <v>1</v>
      </c>
      <c r="Q720" s="76">
        <f>IF(AND(N720&gt;=INDEX(Sectorwise!E:E,MATCH(F720,Sectorwise!A:A,0)),N720&lt;=INDEX(Sectorwise!F:F,MATCH(F720,Sectorwise!A:A,0))),1,0)</f>
        <v>0</v>
      </c>
      <c r="R720" s="76">
        <f>IF(N720&gt;INDEX(Sectorwise!F:F,MATCH(F720,Sectorwise!A:A,0)),1,0)</f>
        <v>0</v>
      </c>
      <c r="S720" s="27">
        <f t="shared" si="45"/>
        <v>6197</v>
      </c>
      <c r="T720" s="27">
        <f t="shared" si="46"/>
        <v>0</v>
      </c>
      <c r="U720" s="27">
        <f t="shared" si="47"/>
        <v>0</v>
      </c>
      <c r="V720" s="95">
        <f>IF(R720=1,(N720-INDEX(Sectorwise!F:F,MATCH(F720,Sectorwise!A:A,0))),0)</f>
        <v>0</v>
      </c>
      <c r="W720" s="97">
        <f>POISSON(N720,INDEX(Sectorwise!D:D,MATCH(Travel!F298,Sectorwise!A:A,0)),TRUE)</f>
        <v>0</v>
      </c>
    </row>
    <row r="721" spans="1:23" ht="15.75" hidden="1" customHeight="1" x14ac:dyDescent="0.2">
      <c r="A721" s="60" t="s">
        <v>1383</v>
      </c>
      <c r="B721" s="60" t="s">
        <v>1390</v>
      </c>
      <c r="C721" s="60"/>
      <c r="E721" s="60" t="s">
        <v>2294</v>
      </c>
      <c r="F721" s="21" t="s">
        <v>2153</v>
      </c>
      <c r="G721" s="69" t="s">
        <v>2308</v>
      </c>
      <c r="H721" s="60" t="s">
        <v>1391</v>
      </c>
      <c r="I721" s="60" t="s">
        <v>1389</v>
      </c>
      <c r="J721" s="61">
        <v>8449</v>
      </c>
      <c r="K721" s="61">
        <v>1406</v>
      </c>
      <c r="L721" s="26">
        <f t="shared" si="44"/>
        <v>9855</v>
      </c>
      <c r="M721" s="26">
        <f t="array" ref="M721">MEDIAN(IF($F$3:$F$810=F721,$L$3:$L$810))</f>
        <v>9855</v>
      </c>
      <c r="N721" s="61">
        <v>9855</v>
      </c>
      <c r="O721" s="62">
        <v>0</v>
      </c>
      <c r="P721" s="76">
        <f>IF(N721&lt;INDEX(Sectorwise!E:E,MATCH(F721,Sectorwise!A:A,0)),1,0)</f>
        <v>0</v>
      </c>
      <c r="Q721" s="76">
        <f>IF(AND(N721&gt;=INDEX(Sectorwise!E:E,MATCH(F721,Sectorwise!A:A,0)),N721&lt;=INDEX(Sectorwise!F:F,MATCH(F721,Sectorwise!A:A,0))),1,0)</f>
        <v>1</v>
      </c>
      <c r="R721" s="76">
        <f>IF(N721&gt;INDEX(Sectorwise!F:F,MATCH(F721,Sectorwise!A:A,0)),1,0)</f>
        <v>0</v>
      </c>
      <c r="S721" s="27">
        <f t="shared" si="45"/>
        <v>0</v>
      </c>
      <c r="T721" s="27">
        <f t="shared" si="46"/>
        <v>9855</v>
      </c>
      <c r="U721" s="27">
        <f t="shared" si="47"/>
        <v>0</v>
      </c>
      <c r="V721" s="95">
        <f>IF(R721=1,(N721-INDEX(Sectorwise!F:F,MATCH(F721,Sectorwise!A:A,0))),0)</f>
        <v>0</v>
      </c>
      <c r="W721" s="97">
        <f>POISSON(N721,INDEX(Sectorwise!D:D,MATCH(Travel!F520,Sectorwise!A:A,0)),TRUE)</f>
        <v>0</v>
      </c>
    </row>
    <row r="722" spans="1:23" ht="15.75" hidden="1" customHeight="1" x14ac:dyDescent="0.2">
      <c r="A722" s="63" t="s">
        <v>1401</v>
      </c>
      <c r="B722" s="63" t="s">
        <v>1404</v>
      </c>
      <c r="C722" s="66" t="s">
        <v>1405</v>
      </c>
      <c r="E722" s="60" t="s">
        <v>2294</v>
      </c>
      <c r="F722" s="21" t="s">
        <v>2153</v>
      </c>
      <c r="G722" s="69" t="s">
        <v>2308</v>
      </c>
      <c r="H722" s="63" t="s">
        <v>1406</v>
      </c>
      <c r="I722" s="63" t="s">
        <v>1389</v>
      </c>
      <c r="J722" s="65">
        <v>8449</v>
      </c>
      <c r="K722" s="65">
        <v>1406</v>
      </c>
      <c r="L722" s="26">
        <f t="shared" si="44"/>
        <v>9855</v>
      </c>
      <c r="M722" s="26">
        <f t="array" ref="M722">MEDIAN(IF($F$3:$F$810=F722,$L$3:$L$810))</f>
        <v>9855</v>
      </c>
      <c r="N722" s="65">
        <v>9855</v>
      </c>
      <c r="O722" s="67">
        <v>9755</v>
      </c>
      <c r="P722" s="76">
        <f>IF(N722&lt;INDEX(Sectorwise!E:E,MATCH(F722,Sectorwise!A:A,0)),1,0)</f>
        <v>0</v>
      </c>
      <c r="Q722" s="76">
        <f>IF(AND(N722&gt;=INDEX(Sectorwise!E:E,MATCH(F722,Sectorwise!A:A,0)),N722&lt;=INDEX(Sectorwise!F:F,MATCH(F722,Sectorwise!A:A,0))),1,0)</f>
        <v>1</v>
      </c>
      <c r="R722" s="76">
        <f>IF(N722&gt;INDEX(Sectorwise!F:F,MATCH(F722,Sectorwise!A:A,0)),1,0)</f>
        <v>0</v>
      </c>
      <c r="S722" s="27">
        <f t="shared" si="45"/>
        <v>0</v>
      </c>
      <c r="T722" s="27">
        <f t="shared" si="46"/>
        <v>9855</v>
      </c>
      <c r="U722" s="27">
        <f t="shared" si="47"/>
        <v>0</v>
      </c>
      <c r="V722" s="95">
        <f>IF(R722=1,(N722-INDEX(Sectorwise!F:F,MATCH(F722,Sectorwise!A:A,0))),0)</f>
        <v>0</v>
      </c>
      <c r="W722" s="97">
        <f>POISSON(N722,INDEX(Sectorwise!D:D,MATCH(Travel!F526,Sectorwise!A:A,0)),TRUE)</f>
        <v>1</v>
      </c>
    </row>
    <row r="723" spans="1:23" ht="15.75" hidden="1" customHeight="1" x14ac:dyDescent="0.2">
      <c r="A723" s="60" t="s">
        <v>877</v>
      </c>
      <c r="B723" s="60" t="s">
        <v>886</v>
      </c>
      <c r="C723" s="60"/>
      <c r="E723" s="60" t="s">
        <v>2294</v>
      </c>
      <c r="F723" s="63" t="s">
        <v>2212</v>
      </c>
      <c r="G723" s="69" t="s">
        <v>2308</v>
      </c>
      <c r="H723" s="60" t="s">
        <v>887</v>
      </c>
      <c r="I723" s="60" t="s">
        <v>888</v>
      </c>
      <c r="J723" s="61">
        <v>16898</v>
      </c>
      <c r="K723" s="61">
        <v>3034</v>
      </c>
      <c r="L723" s="26">
        <f t="shared" si="44"/>
        <v>19932</v>
      </c>
      <c r="M723" s="26">
        <f t="array" ref="M723">MEDIAN(IF($F$3:$F$810=F723,$L$3:$L$810))</f>
        <v>19932</v>
      </c>
      <c r="N723" s="61">
        <v>19932</v>
      </c>
      <c r="O723" s="62">
        <v>0</v>
      </c>
      <c r="P723" s="76">
        <f>IF(N723&lt;INDEX(Sectorwise!E:E,MATCH(F723,Sectorwise!A:A,0)),1,0)</f>
        <v>0</v>
      </c>
      <c r="Q723" s="76">
        <f>IF(AND(N723&gt;=INDEX(Sectorwise!E:E,MATCH(F723,Sectorwise!A:A,0)),N723&lt;=INDEX(Sectorwise!F:F,MATCH(F723,Sectorwise!A:A,0))),1,0)</f>
        <v>1</v>
      </c>
      <c r="R723" s="76">
        <f>IF(N723&gt;INDEX(Sectorwise!F:F,MATCH(F723,Sectorwise!A:A,0)),1,0)</f>
        <v>0</v>
      </c>
      <c r="S723" s="27">
        <f t="shared" si="45"/>
        <v>0</v>
      </c>
      <c r="T723" s="27">
        <f t="shared" si="46"/>
        <v>19932</v>
      </c>
      <c r="U723" s="27">
        <f t="shared" si="47"/>
        <v>0</v>
      </c>
      <c r="V723" s="95">
        <f>IF(R723=1,(N723-INDEX(Sectorwise!F:F,MATCH(F723,Sectorwise!A:A,0))),0)</f>
        <v>0</v>
      </c>
      <c r="W723" s="97">
        <f>POISSON(N723,INDEX(Sectorwise!D:D,MATCH(Travel!F334,Sectorwise!A:A,0)),TRUE)</f>
        <v>1</v>
      </c>
    </row>
    <row r="724" spans="1:23" ht="15.75" hidden="1" customHeight="1" x14ac:dyDescent="0.2">
      <c r="A724" s="60" t="s">
        <v>895</v>
      </c>
      <c r="B724" s="60" t="s">
        <v>908</v>
      </c>
      <c r="C724" s="64" t="s">
        <v>909</v>
      </c>
      <c r="E724" s="60" t="s">
        <v>2294</v>
      </c>
      <c r="F724" s="63" t="s">
        <v>2212</v>
      </c>
      <c r="G724" s="69" t="s">
        <v>2308</v>
      </c>
      <c r="H724" s="60" t="s">
        <v>910</v>
      </c>
      <c r="I724" s="60" t="s">
        <v>911</v>
      </c>
      <c r="J724" s="61">
        <v>16898</v>
      </c>
      <c r="K724" s="61">
        <v>3034</v>
      </c>
      <c r="L724" s="26">
        <f t="shared" si="44"/>
        <v>19932</v>
      </c>
      <c r="M724" s="26">
        <f t="array" ref="M724">MEDIAN(IF($F$3:$F$810=F724,$L$3:$L$810))</f>
        <v>19932</v>
      </c>
      <c r="N724" s="61">
        <v>19932</v>
      </c>
      <c r="O724" s="62">
        <v>9954</v>
      </c>
      <c r="P724" s="76">
        <f>IF(N724&lt;INDEX(Sectorwise!E:E,MATCH(F724,Sectorwise!A:A,0)),1,0)</f>
        <v>0</v>
      </c>
      <c r="Q724" s="76">
        <f>IF(AND(N724&gt;=INDEX(Sectorwise!E:E,MATCH(F724,Sectorwise!A:A,0)),N724&lt;=INDEX(Sectorwise!F:F,MATCH(F724,Sectorwise!A:A,0))),1,0)</f>
        <v>1</v>
      </c>
      <c r="R724" s="76">
        <f>IF(N724&gt;INDEX(Sectorwise!F:F,MATCH(F724,Sectorwise!A:A,0)),1,0)</f>
        <v>0</v>
      </c>
      <c r="S724" s="27">
        <f t="shared" si="45"/>
        <v>0</v>
      </c>
      <c r="T724" s="27">
        <f t="shared" si="46"/>
        <v>19932</v>
      </c>
      <c r="U724" s="27">
        <f t="shared" si="47"/>
        <v>0</v>
      </c>
      <c r="V724" s="95">
        <f>IF(R724=1,(N724-INDEX(Sectorwise!F:F,MATCH(F724,Sectorwise!A:A,0))),0)</f>
        <v>0</v>
      </c>
      <c r="W724" s="97">
        <f>POISSON(N724,INDEX(Sectorwise!D:D,MATCH(Travel!F340,Sectorwise!A:A,0)),TRUE)</f>
        <v>1</v>
      </c>
    </row>
    <row r="725" spans="1:23" ht="15.75" hidden="1" customHeight="1" x14ac:dyDescent="0.2">
      <c r="A725" s="63" t="s">
        <v>1460</v>
      </c>
      <c r="B725" s="63" t="s">
        <v>1464</v>
      </c>
      <c r="C725" s="63"/>
      <c r="E725" s="60" t="s">
        <v>2294</v>
      </c>
      <c r="F725" s="63" t="s">
        <v>2212</v>
      </c>
      <c r="G725" s="69" t="s">
        <v>2308</v>
      </c>
      <c r="H725" s="63" t="s">
        <v>1465</v>
      </c>
      <c r="I725" s="63" t="s">
        <v>1466</v>
      </c>
      <c r="J725" s="65">
        <v>15918</v>
      </c>
      <c r="K725" s="65">
        <v>2981</v>
      </c>
      <c r="L725" s="26">
        <f t="shared" si="44"/>
        <v>18899</v>
      </c>
      <c r="M725" s="26">
        <f t="array" ref="M725">MEDIAN(IF($F$3:$F$810=F725,$L$3:$L$810))</f>
        <v>19932</v>
      </c>
      <c r="N725" s="65">
        <v>18899</v>
      </c>
      <c r="O725" s="62">
        <v>0</v>
      </c>
      <c r="P725" s="76">
        <f>IF(N725&lt;INDEX(Sectorwise!E:E,MATCH(F725,Sectorwise!A:A,0)),1,0)</f>
        <v>0</v>
      </c>
      <c r="Q725" s="76">
        <f>IF(AND(N725&gt;=INDEX(Sectorwise!E:E,MATCH(F725,Sectorwise!A:A,0)),N725&lt;=INDEX(Sectorwise!F:F,MATCH(F725,Sectorwise!A:A,0))),1,0)</f>
        <v>1</v>
      </c>
      <c r="R725" s="76">
        <f>IF(N725&gt;INDEX(Sectorwise!F:F,MATCH(F725,Sectorwise!A:A,0)),1,0)</f>
        <v>0</v>
      </c>
      <c r="S725" s="27">
        <f t="shared" si="45"/>
        <v>0</v>
      </c>
      <c r="T725" s="27">
        <f t="shared" si="46"/>
        <v>18899</v>
      </c>
      <c r="U725" s="27">
        <f t="shared" si="47"/>
        <v>0</v>
      </c>
      <c r="V725" s="95">
        <f>IF(R725=1,(N725-INDEX(Sectorwise!F:F,MATCH(F725,Sectorwise!A:A,0))),0)</f>
        <v>0</v>
      </c>
      <c r="W725" s="97">
        <f>POISSON(N725,INDEX(Sectorwise!D:D,MATCH(Travel!F549,Sectorwise!A:A,0)),TRUE)</f>
        <v>1</v>
      </c>
    </row>
    <row r="726" spans="1:23" ht="15.75" hidden="1" customHeight="1" x14ac:dyDescent="0.2">
      <c r="A726" s="60" t="s">
        <v>1365</v>
      </c>
      <c r="B726" s="60" t="s">
        <v>1371</v>
      </c>
      <c r="C726" s="60"/>
      <c r="E726" s="60" t="s">
        <v>2294</v>
      </c>
      <c r="F726" s="60" t="s">
        <v>2199</v>
      </c>
      <c r="G726" s="69" t="s">
        <v>2308</v>
      </c>
      <c r="H726" s="60" t="s">
        <v>1372</v>
      </c>
      <c r="I726" s="60" t="s">
        <v>1358</v>
      </c>
      <c r="J726" s="61">
        <v>8449</v>
      </c>
      <c r="K726" s="61">
        <v>1406</v>
      </c>
      <c r="L726" s="26">
        <f t="shared" si="44"/>
        <v>9855</v>
      </c>
      <c r="M726" s="26">
        <f t="array" ref="M726">MEDIAN(IF($F$3:$F$810=F726,$L$3:$L$810))</f>
        <v>9855</v>
      </c>
      <c r="N726" s="61">
        <v>9855</v>
      </c>
      <c r="O726" s="62">
        <v>0</v>
      </c>
      <c r="P726" s="76">
        <f>IF(N726&lt;INDEX(Sectorwise!E:E,MATCH(F726,Sectorwise!A:A,0)),1,0)</f>
        <v>0</v>
      </c>
      <c r="Q726" s="76">
        <f>IF(AND(N726&gt;=INDEX(Sectorwise!E:E,MATCH(F726,Sectorwise!A:A,0)),N726&lt;=INDEX(Sectorwise!F:F,MATCH(F726,Sectorwise!A:A,0))),1,0)</f>
        <v>1</v>
      </c>
      <c r="R726" s="76">
        <f>IF(N726&gt;INDEX(Sectorwise!F:F,MATCH(F726,Sectorwise!A:A,0)),1,0)</f>
        <v>0</v>
      </c>
      <c r="S726" s="27">
        <f t="shared" si="45"/>
        <v>0</v>
      </c>
      <c r="T726" s="27">
        <f t="shared" si="46"/>
        <v>9855</v>
      </c>
      <c r="U726" s="27">
        <f t="shared" si="47"/>
        <v>0</v>
      </c>
      <c r="V726" s="95">
        <f>IF(R726=1,(N726-INDEX(Sectorwise!F:F,MATCH(F726,Sectorwise!A:A,0))),0)</f>
        <v>0</v>
      </c>
      <c r="W726" s="97">
        <f>POISSON(N726,INDEX(Sectorwise!D:D,MATCH(Travel!F513,Sectorwise!A:A,0)),TRUE)</f>
        <v>1</v>
      </c>
    </row>
    <row r="727" spans="1:23" ht="15.75" hidden="1" customHeight="1" x14ac:dyDescent="0.2">
      <c r="A727" s="29" t="s">
        <v>2083</v>
      </c>
      <c r="B727" s="29" t="s">
        <v>2091</v>
      </c>
      <c r="C727" s="29"/>
      <c r="E727" s="60" t="s">
        <v>2294</v>
      </c>
      <c r="F727" s="60" t="s">
        <v>2199</v>
      </c>
      <c r="G727" s="69" t="s">
        <v>2308</v>
      </c>
      <c r="H727" s="29" t="s">
        <v>2092</v>
      </c>
      <c r="I727" s="29" t="s">
        <v>2088</v>
      </c>
      <c r="J727" s="65">
        <v>7383</v>
      </c>
      <c r="K727" s="65">
        <v>1346</v>
      </c>
      <c r="L727" s="26">
        <f t="shared" si="44"/>
        <v>8729</v>
      </c>
      <c r="M727" s="26">
        <f t="array" ref="M727">MEDIAN(IF($F$3:$F$810=F727,$L$3:$L$810))</f>
        <v>9855</v>
      </c>
      <c r="N727" s="65">
        <v>8729</v>
      </c>
      <c r="O727" s="65" t="e">
        <f>N727-#REF!</f>
        <v>#REF!</v>
      </c>
      <c r="P727" s="76">
        <f>IF(N727&lt;INDEX(Sectorwise!E:E,MATCH(F727,Sectorwise!A:A,0)),1,0)</f>
        <v>1</v>
      </c>
      <c r="Q727" s="76">
        <f>IF(AND(N727&gt;=INDEX(Sectorwise!E:E,MATCH(F727,Sectorwise!A:A,0)),N727&lt;=INDEX(Sectorwise!F:F,MATCH(F727,Sectorwise!A:A,0))),1,0)</f>
        <v>0</v>
      </c>
      <c r="R727" s="76">
        <f>IF(N727&gt;INDEX(Sectorwise!F:F,MATCH(F727,Sectorwise!A:A,0)),1,0)</f>
        <v>0</v>
      </c>
      <c r="S727" s="27">
        <f t="shared" si="45"/>
        <v>8729</v>
      </c>
      <c r="T727" s="27">
        <f t="shared" si="46"/>
        <v>0</v>
      </c>
      <c r="U727" s="27">
        <f t="shared" si="47"/>
        <v>0</v>
      </c>
      <c r="V727" s="95">
        <f>IF(R727=1,(N727-INDEX(Sectorwise!F:F,MATCH(F727,Sectorwise!A:A,0))),0)</f>
        <v>0</v>
      </c>
      <c r="W727" s="97">
        <f>POISSON(N727,INDEX(Sectorwise!D:D,MATCH(Travel!F794,Sectorwise!A:A,0)),TRUE)</f>
        <v>1</v>
      </c>
    </row>
    <row r="728" spans="1:23" ht="15.75" hidden="1" customHeight="1" x14ac:dyDescent="0.2">
      <c r="A728" s="63" t="s">
        <v>1916</v>
      </c>
      <c r="B728" s="63" t="s">
        <v>1920</v>
      </c>
      <c r="C728" s="63"/>
      <c r="E728" s="60" t="s">
        <v>2294</v>
      </c>
      <c r="F728" s="63" t="s">
        <v>2198</v>
      </c>
      <c r="G728" s="63" t="s">
        <v>2312</v>
      </c>
      <c r="H728" s="63" t="s">
        <v>1921</v>
      </c>
      <c r="I728" s="63" t="s">
        <v>1912</v>
      </c>
      <c r="J728" s="65">
        <v>2500</v>
      </c>
      <c r="K728" s="65">
        <v>49300</v>
      </c>
      <c r="L728" s="26">
        <f t="shared" si="44"/>
        <v>51800</v>
      </c>
      <c r="M728" s="26">
        <f t="array" ref="M728">MEDIAN(IF($F$3:$F$810=F728,$L$3:$L$810))</f>
        <v>51800</v>
      </c>
      <c r="N728" s="65">
        <v>51800</v>
      </c>
      <c r="O728" s="62">
        <v>0</v>
      </c>
      <c r="P728" s="76">
        <f>IF(N728&lt;INDEX(Sectorwise!E:E,MATCH(F728,Sectorwise!A:A,0)),1,0)</f>
        <v>0</v>
      </c>
      <c r="Q728" s="76">
        <f>IF(AND(N728&gt;=INDEX(Sectorwise!E:E,MATCH(F728,Sectorwise!A:A,0)),N728&lt;=INDEX(Sectorwise!F:F,MATCH(F728,Sectorwise!A:A,0))),1,0)</f>
        <v>1</v>
      </c>
      <c r="R728" s="76">
        <f>IF(N728&gt;INDEX(Sectorwise!F:F,MATCH(F728,Sectorwise!A:A,0)),1,0)</f>
        <v>0</v>
      </c>
      <c r="S728" s="27">
        <f t="shared" si="45"/>
        <v>0</v>
      </c>
      <c r="T728" s="27">
        <f t="shared" si="46"/>
        <v>51800</v>
      </c>
      <c r="U728" s="27">
        <f t="shared" si="47"/>
        <v>0</v>
      </c>
      <c r="V728" s="95">
        <f>IF(R728=1,(N728-INDEX(Sectorwise!F:F,MATCH(F728,Sectorwise!A:A,0))),0)</f>
        <v>0</v>
      </c>
      <c r="W728" s="97">
        <f>POISSON(N728,INDEX(Sectorwise!D:D,MATCH(Travel!F731,Sectorwise!A:A,0)),TRUE)</f>
        <v>1</v>
      </c>
    </row>
    <row r="729" spans="1:23" ht="15.75" hidden="1" customHeight="1" x14ac:dyDescent="0.2">
      <c r="A729" s="63" t="s">
        <v>1511</v>
      </c>
      <c r="B729" s="63" t="s">
        <v>1514</v>
      </c>
      <c r="C729" s="63"/>
      <c r="E729" s="60" t="s">
        <v>2294</v>
      </c>
      <c r="F729" s="63" t="s">
        <v>2200</v>
      </c>
      <c r="G729" s="63" t="s">
        <v>2312</v>
      </c>
      <c r="H729" s="63" t="s">
        <v>1520</v>
      </c>
      <c r="I729" s="63" t="s">
        <v>1501</v>
      </c>
      <c r="J729" s="65">
        <v>33150</v>
      </c>
      <c r="K729" s="65">
        <v>66192</v>
      </c>
      <c r="L729" s="26">
        <f t="shared" si="44"/>
        <v>99342</v>
      </c>
      <c r="M729" s="26">
        <f t="array" ref="M729">MEDIAN(IF($F$3:$F$810=F729,$L$3:$L$810))</f>
        <v>99342</v>
      </c>
      <c r="N729" s="57">
        <f>J729+K729</f>
        <v>99342</v>
      </c>
      <c r="O729" s="62">
        <v>0</v>
      </c>
      <c r="P729" s="76">
        <f>IF(N729&lt;INDEX(Sectorwise!E:E,MATCH(F729,Sectorwise!A:A,0)),1,0)</f>
        <v>0</v>
      </c>
      <c r="Q729" s="76">
        <f>IF(AND(N729&gt;=INDEX(Sectorwise!E:E,MATCH(F729,Sectorwise!A:A,0)),N729&lt;=INDEX(Sectorwise!F:F,MATCH(F729,Sectorwise!A:A,0))),1,0)</f>
        <v>1</v>
      </c>
      <c r="R729" s="76">
        <f>IF(N729&gt;INDEX(Sectorwise!F:F,MATCH(F729,Sectorwise!A:A,0)),1,0)</f>
        <v>0</v>
      </c>
      <c r="S729" s="27">
        <f t="shared" si="45"/>
        <v>0</v>
      </c>
      <c r="T729" s="27">
        <f t="shared" si="46"/>
        <v>99342</v>
      </c>
      <c r="U729" s="27">
        <f t="shared" si="47"/>
        <v>0</v>
      </c>
      <c r="V729" s="95">
        <f>IF(R729=1,(N729-INDEX(Sectorwise!F:F,MATCH(F729,Sectorwise!A:A,0))),0)</f>
        <v>0</v>
      </c>
      <c r="W729" s="97">
        <f>POISSON(N729,INDEX(Sectorwise!D:D,MATCH(Travel!F575,Sectorwise!A:A,0)),TRUE)</f>
        <v>1</v>
      </c>
    </row>
    <row r="730" spans="1:23" ht="15.75" hidden="1" customHeight="1" x14ac:dyDescent="0.2">
      <c r="A730" s="63" t="s">
        <v>1916</v>
      </c>
      <c r="B730" s="63" t="s">
        <v>1924</v>
      </c>
      <c r="C730" s="63"/>
      <c r="E730" s="60" t="s">
        <v>2294</v>
      </c>
      <c r="F730" s="63" t="s">
        <v>2205</v>
      </c>
      <c r="G730" s="63" t="s">
        <v>2322</v>
      </c>
      <c r="H730" s="63" t="s">
        <v>1925</v>
      </c>
      <c r="I730" s="63" t="s">
        <v>1909</v>
      </c>
      <c r="J730" s="65">
        <v>13215</v>
      </c>
      <c r="K730" s="65">
        <v>8785</v>
      </c>
      <c r="L730" s="26">
        <f t="shared" si="44"/>
        <v>22000</v>
      </c>
      <c r="M730" s="26">
        <f t="array" ref="M730">MEDIAN(IF($F$3:$F$810=F730,$L$3:$L$810))</f>
        <v>21000</v>
      </c>
      <c r="N730" s="65">
        <v>22000</v>
      </c>
      <c r="O730" s="62">
        <v>0</v>
      </c>
      <c r="P730" s="76">
        <f>IF(N730&lt;INDEX(Sectorwise!E:E,MATCH(F730,Sectorwise!A:A,0)),1,0)</f>
        <v>0</v>
      </c>
      <c r="Q730" s="76">
        <f>IF(AND(N730&gt;=INDEX(Sectorwise!E:E,MATCH(F730,Sectorwise!A:A,0)),N730&lt;=INDEX(Sectorwise!F:F,MATCH(F730,Sectorwise!A:A,0))),1,0)</f>
        <v>1</v>
      </c>
      <c r="R730" s="76">
        <f>IF(N730&gt;INDEX(Sectorwise!F:F,MATCH(F730,Sectorwise!A:A,0)),1,0)</f>
        <v>0</v>
      </c>
      <c r="S730" s="27">
        <f t="shared" si="45"/>
        <v>0</v>
      </c>
      <c r="T730" s="27">
        <f t="shared" si="46"/>
        <v>22000</v>
      </c>
      <c r="U730" s="27">
        <f t="shared" si="47"/>
        <v>0</v>
      </c>
      <c r="V730" s="95">
        <f>IF(R730=1,(N730-INDEX(Sectorwise!F:F,MATCH(F730,Sectorwise!A:A,0))),0)</f>
        <v>0</v>
      </c>
      <c r="W730" s="97">
        <f>POISSON(N730,INDEX(Sectorwise!D:D,MATCH(Travel!F733,Sectorwise!A:A,0)),TRUE)</f>
        <v>1</v>
      </c>
    </row>
    <row r="731" spans="1:23" ht="15.75" hidden="1" customHeight="1" x14ac:dyDescent="0.2">
      <c r="A731" s="29" t="s">
        <v>2083</v>
      </c>
      <c r="B731" s="29" t="s">
        <v>2093</v>
      </c>
      <c r="C731" s="29"/>
      <c r="E731" s="60" t="s">
        <v>2294</v>
      </c>
      <c r="F731" s="21" t="s">
        <v>2152</v>
      </c>
      <c r="G731" s="69" t="s">
        <v>2308</v>
      </c>
      <c r="H731" s="29" t="s">
        <v>2094</v>
      </c>
      <c r="I731" s="29" t="s">
        <v>2040</v>
      </c>
      <c r="J731" s="65">
        <v>3965</v>
      </c>
      <c r="K731" s="65">
        <v>1056</v>
      </c>
      <c r="L731" s="26">
        <f t="shared" si="44"/>
        <v>5021</v>
      </c>
      <c r="M731" s="26">
        <f t="array" ref="M731">MEDIAN(IF($F$3:$F$810=F731,$L$3:$L$810))</f>
        <v>5438</v>
      </c>
      <c r="N731" s="65">
        <v>5021</v>
      </c>
      <c r="O731" s="65" t="e">
        <f>N731-#REF!</f>
        <v>#REF!</v>
      </c>
      <c r="P731" s="76">
        <f>IF(N731&lt;INDEX(Sectorwise!E:E,MATCH(F731,Sectorwise!A:A,0)),1,0)</f>
        <v>0</v>
      </c>
      <c r="Q731" s="76">
        <f>IF(AND(N731&gt;=INDEX(Sectorwise!E:E,MATCH(F731,Sectorwise!A:A,0)),N731&lt;=INDEX(Sectorwise!F:F,MATCH(F731,Sectorwise!A:A,0))),1,0)</f>
        <v>1</v>
      </c>
      <c r="R731" s="76">
        <f>IF(N731&gt;INDEX(Sectorwise!F:F,MATCH(F731,Sectorwise!A:A,0)),1,0)</f>
        <v>0</v>
      </c>
      <c r="S731" s="27">
        <f t="shared" si="45"/>
        <v>0</v>
      </c>
      <c r="T731" s="27">
        <f t="shared" si="46"/>
        <v>5021</v>
      </c>
      <c r="U731" s="27">
        <f t="shared" si="47"/>
        <v>0</v>
      </c>
      <c r="V731" s="95">
        <f>IF(R731=1,(N731-INDEX(Sectorwise!F:F,MATCH(F731,Sectorwise!A:A,0))),0)</f>
        <v>0</v>
      </c>
      <c r="W731" s="97">
        <f>POISSON(N731,INDEX(Sectorwise!D:D,MATCH(Travel!F795,Sectorwise!A:A,0)),TRUE)</f>
        <v>5.319306934911179E-9</v>
      </c>
    </row>
    <row r="732" spans="1:23" ht="15.75" hidden="1" customHeight="1" x14ac:dyDescent="0.2">
      <c r="A732" s="60" t="s">
        <v>1365</v>
      </c>
      <c r="B732" s="60" t="s">
        <v>1366</v>
      </c>
      <c r="C732" s="60"/>
      <c r="E732" s="60" t="s">
        <v>2294</v>
      </c>
      <c r="F732" s="33" t="s">
        <v>2191</v>
      </c>
      <c r="G732" s="56" t="s">
        <v>2309</v>
      </c>
      <c r="H732" s="60" t="s">
        <v>1367</v>
      </c>
      <c r="I732" s="60" t="s">
        <v>1368</v>
      </c>
      <c r="J732" s="61">
        <v>4300</v>
      </c>
      <c r="K732" s="61">
        <v>1705</v>
      </c>
      <c r="L732" s="26">
        <f t="shared" si="44"/>
        <v>6005</v>
      </c>
      <c r="M732" s="26">
        <f t="array" ref="M732">MEDIAN(IF($F$3:$F$810=F732,$L$3:$L$810))</f>
        <v>5519</v>
      </c>
      <c r="N732" s="61">
        <v>6005</v>
      </c>
      <c r="O732" s="62">
        <v>0</v>
      </c>
      <c r="P732" s="76">
        <f>IF(N732&lt;INDEX(Sectorwise!E:E,MATCH(F732,Sectorwise!A:A,0)),1,0)</f>
        <v>0</v>
      </c>
      <c r="Q732" s="76">
        <f>IF(AND(N732&gt;=INDEX(Sectorwise!E:E,MATCH(F732,Sectorwise!A:A,0)),N732&lt;=INDEX(Sectorwise!F:F,MATCH(F732,Sectorwise!A:A,0))),1,0)</f>
        <v>1</v>
      </c>
      <c r="R732" s="76">
        <f>IF(N732&gt;INDEX(Sectorwise!F:F,MATCH(F732,Sectorwise!A:A,0)),1,0)</f>
        <v>0</v>
      </c>
      <c r="S732" s="27">
        <f t="shared" si="45"/>
        <v>0</v>
      </c>
      <c r="T732" s="27">
        <f t="shared" si="46"/>
        <v>6005</v>
      </c>
      <c r="U732" s="27">
        <f t="shared" si="47"/>
        <v>0</v>
      </c>
      <c r="V732" s="95">
        <f>IF(R732=1,(N732-INDEX(Sectorwise!F:F,MATCH(F732,Sectorwise!A:A,0))),0)</f>
        <v>0</v>
      </c>
      <c r="W732" s="97">
        <f>POISSON(N732,INDEX(Sectorwise!D:D,MATCH(Travel!F511,Sectorwise!A:A,0)),TRUE)</f>
        <v>2.133695357728399E-50</v>
      </c>
    </row>
    <row r="733" spans="1:23" ht="15.75" hidden="1" customHeight="1" x14ac:dyDescent="0.2">
      <c r="A733" s="63" t="s">
        <v>1916</v>
      </c>
      <c r="B733" s="63" t="s">
        <v>1922</v>
      </c>
      <c r="C733" s="63"/>
      <c r="E733" s="60" t="s">
        <v>2294</v>
      </c>
      <c r="F733" s="63" t="s">
        <v>2168</v>
      </c>
      <c r="G733" s="63" t="s">
        <v>2313</v>
      </c>
      <c r="H733" s="63" t="s">
        <v>1923</v>
      </c>
      <c r="I733" s="63" t="s">
        <v>1912</v>
      </c>
      <c r="J733" s="65">
        <v>7850</v>
      </c>
      <c r="K733" s="65">
        <v>12150</v>
      </c>
      <c r="L733" s="26">
        <f t="shared" si="44"/>
        <v>20000</v>
      </c>
      <c r="M733" s="26">
        <f t="array" ref="M733">MEDIAN(IF($F$3:$F$810=F733,$L$3:$L$810))</f>
        <v>20000</v>
      </c>
      <c r="N733" s="65">
        <v>20000</v>
      </c>
      <c r="O733" s="62">
        <v>0</v>
      </c>
      <c r="P733" s="76">
        <f>IF(N733&lt;INDEX(Sectorwise!E:E,MATCH(F733,Sectorwise!A:A,0)),1,0)</f>
        <v>0</v>
      </c>
      <c r="Q733" s="76">
        <f>IF(AND(N733&gt;=INDEX(Sectorwise!E:E,MATCH(F733,Sectorwise!A:A,0)),N733&lt;=INDEX(Sectorwise!F:F,MATCH(F733,Sectorwise!A:A,0))),1,0)</f>
        <v>1</v>
      </c>
      <c r="R733" s="76">
        <f>IF(N733&gt;INDEX(Sectorwise!F:F,MATCH(F733,Sectorwise!A:A,0)),1,0)</f>
        <v>0</v>
      </c>
      <c r="S733" s="27">
        <f t="shared" si="45"/>
        <v>0</v>
      </c>
      <c r="T733" s="27">
        <f t="shared" si="46"/>
        <v>20000</v>
      </c>
      <c r="U733" s="27">
        <f t="shared" si="47"/>
        <v>0</v>
      </c>
      <c r="V733" s="95">
        <f>IF(R733=1,(N733-INDEX(Sectorwise!F:F,MATCH(F733,Sectorwise!A:A,0))),0)</f>
        <v>0</v>
      </c>
      <c r="W733" s="97">
        <f>POISSON(N733,INDEX(Sectorwise!D:D,MATCH(Travel!F732,Sectorwise!A:A,0)),TRUE)</f>
        <v>1</v>
      </c>
    </row>
    <row r="734" spans="1:23" ht="15.75" hidden="1" customHeight="1" x14ac:dyDescent="0.2">
      <c r="A734" s="63" t="s">
        <v>1069</v>
      </c>
      <c r="B734" s="63" t="s">
        <v>1075</v>
      </c>
      <c r="C734" s="63"/>
      <c r="E734" s="60" t="s">
        <v>2294</v>
      </c>
      <c r="F734" s="63" t="s">
        <v>2194</v>
      </c>
      <c r="G734" s="63" t="s">
        <v>2312</v>
      </c>
      <c r="H734" s="63" t="s">
        <v>1076</v>
      </c>
      <c r="I734" s="63" t="s">
        <v>1074</v>
      </c>
      <c r="J734" s="65">
        <v>0</v>
      </c>
      <c r="K734" s="65">
        <v>6500</v>
      </c>
      <c r="L734" s="26">
        <f t="shared" si="44"/>
        <v>6500</v>
      </c>
      <c r="M734" s="26">
        <f t="array" ref="M734">MEDIAN(IF($F$3:$F$810=F734,$L$3:$L$810))</f>
        <v>3250</v>
      </c>
      <c r="N734" s="65">
        <v>6500</v>
      </c>
      <c r="O734" s="62">
        <v>0</v>
      </c>
      <c r="P734" s="76">
        <f>IF(N734&lt;INDEX(Sectorwise!E:E,MATCH(F734,Sectorwise!A:A,0)),1,0)</f>
        <v>0</v>
      </c>
      <c r="Q734" s="76">
        <f>IF(AND(N734&gt;=INDEX(Sectorwise!E:E,MATCH(F734,Sectorwise!A:A,0)),N734&lt;=INDEX(Sectorwise!F:F,MATCH(F734,Sectorwise!A:A,0))),1,0)</f>
        <v>0</v>
      </c>
      <c r="R734" s="76">
        <f>IF(N734&gt;INDEX(Sectorwise!F:F,MATCH(F734,Sectorwise!A:A,0)),1,0)</f>
        <v>1</v>
      </c>
      <c r="S734" s="27">
        <f t="shared" si="45"/>
        <v>0</v>
      </c>
      <c r="T734" s="27">
        <f t="shared" si="46"/>
        <v>0</v>
      </c>
      <c r="U734" s="27">
        <f t="shared" si="47"/>
        <v>6500</v>
      </c>
      <c r="V734" s="95">
        <f>IF(R734=1,(N734-INDEX(Sectorwise!F:F,MATCH(F734,Sectorwise!A:A,0))),0)</f>
        <v>2900</v>
      </c>
      <c r="W734" s="97">
        <f>POISSON(N734,INDEX(Sectorwise!D:D,MATCH(Travel!F405,Sectorwise!A:A,0)),TRUE)</f>
        <v>8.6187181479398301E-285</v>
      </c>
    </row>
    <row r="735" spans="1:23" ht="15.75" hidden="1" customHeight="1" x14ac:dyDescent="0.2">
      <c r="A735" s="63" t="s">
        <v>1511</v>
      </c>
      <c r="B735" s="63" t="s">
        <v>1514</v>
      </c>
      <c r="C735" s="63"/>
      <c r="E735" s="60" t="s">
        <v>2294</v>
      </c>
      <c r="F735" s="63" t="s">
        <v>2194</v>
      </c>
      <c r="G735" s="63" t="s">
        <v>2312</v>
      </c>
      <c r="H735" s="63" t="s">
        <v>1521</v>
      </c>
      <c r="I735" s="63" t="s">
        <v>1522</v>
      </c>
      <c r="J735" s="65">
        <v>0</v>
      </c>
      <c r="K735" s="65">
        <v>0</v>
      </c>
      <c r="L735" s="26">
        <f t="shared" si="44"/>
        <v>0</v>
      </c>
      <c r="M735" s="26">
        <f t="array" ref="M735">MEDIAN(IF($F$3:$F$810=F735,$L$3:$L$810))</f>
        <v>3250</v>
      </c>
      <c r="N735" s="57">
        <f>J735+K735</f>
        <v>0</v>
      </c>
      <c r="O735" s="62">
        <v>0</v>
      </c>
      <c r="P735" s="76">
        <f>IF(N735&lt;INDEX(Sectorwise!E:E,MATCH(F735,Sectorwise!A:A,0)),1,0)</f>
        <v>1</v>
      </c>
      <c r="Q735" s="76">
        <f>IF(AND(N735&gt;=INDEX(Sectorwise!E:E,MATCH(F735,Sectorwise!A:A,0)),N735&lt;=INDEX(Sectorwise!F:F,MATCH(F735,Sectorwise!A:A,0))),1,0)</f>
        <v>0</v>
      </c>
      <c r="R735" s="76">
        <f>IF(N735&gt;INDEX(Sectorwise!F:F,MATCH(F735,Sectorwise!A:A,0)),1,0)</f>
        <v>0</v>
      </c>
      <c r="S735" s="27">
        <f t="shared" si="45"/>
        <v>0</v>
      </c>
      <c r="T735" s="27">
        <f t="shared" si="46"/>
        <v>0</v>
      </c>
      <c r="U735" s="27">
        <f t="shared" si="47"/>
        <v>0</v>
      </c>
      <c r="V735" s="95">
        <f>IF(R735=1,(N735-INDEX(Sectorwise!F:F,MATCH(F735,Sectorwise!A:A,0))),0)</f>
        <v>0</v>
      </c>
      <c r="W735" s="97">
        <f>POISSON(N735,INDEX(Sectorwise!D:D,MATCH(Travel!F576,Sectorwise!A:A,0)),TRUE)</f>
        <v>0</v>
      </c>
    </row>
    <row r="736" spans="1:23" ht="15.75" hidden="1" customHeight="1" x14ac:dyDescent="0.2">
      <c r="A736" s="63" t="s">
        <v>1916</v>
      </c>
      <c r="B736" s="63" t="s">
        <v>1930</v>
      </c>
      <c r="C736" s="63"/>
      <c r="E736" s="60" t="s">
        <v>2294</v>
      </c>
      <c r="F736" s="63" t="s">
        <v>2190</v>
      </c>
      <c r="G736" s="63" t="s">
        <v>2318</v>
      </c>
      <c r="H736" s="63" t="s">
        <v>1931</v>
      </c>
      <c r="I736" s="63" t="s">
        <v>1932</v>
      </c>
      <c r="J736" s="65">
        <v>15485</v>
      </c>
      <c r="K736" s="65">
        <v>23315</v>
      </c>
      <c r="L736" s="26">
        <f t="shared" si="44"/>
        <v>38800</v>
      </c>
      <c r="M736" s="26">
        <f t="array" ref="M736">MEDIAN(IF($F$3:$F$810=F736,$L$3:$L$810))</f>
        <v>38800</v>
      </c>
      <c r="N736" s="65">
        <v>38800</v>
      </c>
      <c r="O736" s="62">
        <v>0</v>
      </c>
      <c r="P736" s="76">
        <f>IF(N736&lt;INDEX(Sectorwise!E:E,MATCH(F736,Sectorwise!A:A,0)),1,0)</f>
        <v>0</v>
      </c>
      <c r="Q736" s="76">
        <f>IF(AND(N736&gt;=INDEX(Sectorwise!E:E,MATCH(F736,Sectorwise!A:A,0)),N736&lt;=INDEX(Sectorwise!F:F,MATCH(F736,Sectorwise!A:A,0))),1,0)</f>
        <v>1</v>
      </c>
      <c r="R736" s="76">
        <f>IF(N736&gt;INDEX(Sectorwise!F:F,MATCH(F736,Sectorwise!A:A,0)),1,0)</f>
        <v>0</v>
      </c>
      <c r="S736" s="27">
        <f t="shared" si="45"/>
        <v>0</v>
      </c>
      <c r="T736" s="27">
        <f t="shared" si="46"/>
        <v>38800</v>
      </c>
      <c r="U736" s="27">
        <f t="shared" si="47"/>
        <v>0</v>
      </c>
      <c r="V736" s="95">
        <f>IF(R736=1,(N736-INDEX(Sectorwise!F:F,MATCH(F736,Sectorwise!A:A,0))),0)</f>
        <v>0</v>
      </c>
      <c r="W736" s="97">
        <f>POISSON(N736,INDEX(Sectorwise!D:D,MATCH(Travel!F736,Sectorwise!A:A,0)),TRUE)</f>
        <v>0.50135021060180995</v>
      </c>
    </row>
    <row r="737" spans="1:24" ht="15.75" hidden="1" customHeight="1" x14ac:dyDescent="0.2">
      <c r="A737" s="21" t="s">
        <v>141</v>
      </c>
      <c r="B737" s="21" t="s">
        <v>155</v>
      </c>
      <c r="C737" s="30" t="s">
        <v>156</v>
      </c>
      <c r="D737" s="32"/>
      <c r="E737" s="21" t="s">
        <v>157</v>
      </c>
      <c r="F737" s="29" t="s">
        <v>2134</v>
      </c>
      <c r="G737" s="69" t="s">
        <v>2308</v>
      </c>
      <c r="H737" s="21" t="s">
        <v>158</v>
      </c>
      <c r="I737" s="21" t="s">
        <v>159</v>
      </c>
      <c r="J737" s="25">
        <v>3720</v>
      </c>
      <c r="K737" s="25">
        <v>3336</v>
      </c>
      <c r="L737" s="26">
        <f t="shared" si="44"/>
        <v>7056</v>
      </c>
      <c r="M737" s="26">
        <f t="array" ref="M737">MEDIAN(IF($F$3:$F$810=F737,$L$3:$L$810))</f>
        <v>7412.5</v>
      </c>
      <c r="N737" s="26">
        <v>7056</v>
      </c>
      <c r="O737" s="27">
        <v>5956</v>
      </c>
      <c r="P737" s="76">
        <f>IF(N737&lt;INDEX(Sectorwise!E:E,MATCH(F737,Sectorwise!A:A,0)),1,0)</f>
        <v>0</v>
      </c>
      <c r="Q737" s="76">
        <f>IF(AND(N737&gt;=INDEX(Sectorwise!E:E,MATCH(F737,Sectorwise!A:A,0)),N737&lt;=INDEX(Sectorwise!F:F,MATCH(F737,Sectorwise!A:A,0))),1,0)</f>
        <v>1</v>
      </c>
      <c r="R737" s="76">
        <f>IF(N737&gt;INDEX(Sectorwise!F:F,MATCH(F737,Sectorwise!A:A,0)),1,0)</f>
        <v>0</v>
      </c>
      <c r="S737" s="27">
        <f t="shared" si="45"/>
        <v>0</v>
      </c>
      <c r="T737" s="27">
        <f t="shared" si="46"/>
        <v>7056</v>
      </c>
      <c r="U737" s="27">
        <f t="shared" si="47"/>
        <v>0</v>
      </c>
      <c r="V737" s="95">
        <f>IF(R737=1,(N737-INDEX(Sectorwise!F:F,MATCH(F737,Sectorwise!A:A,0))),0)</f>
        <v>0</v>
      </c>
      <c r="W737" s="97">
        <f>POISSON(N737,INDEX(Sectorwise!D:D,MATCH(Travel!F55,Sectorwise!A:A,0)),TRUE)</f>
        <v>1.0262664605381923E-222</v>
      </c>
      <c r="X737" s="28">
        <v>1100</v>
      </c>
    </row>
    <row r="738" spans="1:24" ht="15.75" hidden="1" customHeight="1" x14ac:dyDescent="0.2">
      <c r="A738" s="21" t="s">
        <v>168</v>
      </c>
      <c r="B738" s="21" t="s">
        <v>169</v>
      </c>
      <c r="C738" s="22"/>
      <c r="D738" s="32"/>
      <c r="E738" s="21" t="s">
        <v>157</v>
      </c>
      <c r="F738" s="29" t="s">
        <v>2134</v>
      </c>
      <c r="G738" s="63" t="s">
        <v>2312</v>
      </c>
      <c r="H738" s="21" t="s">
        <v>170</v>
      </c>
      <c r="I738" s="21" t="s">
        <v>159</v>
      </c>
      <c r="J738" s="25">
        <v>3940</v>
      </c>
      <c r="K738" s="25">
        <v>3088</v>
      </c>
      <c r="L738" s="26">
        <f t="shared" si="44"/>
        <v>7028</v>
      </c>
      <c r="M738" s="26">
        <f t="array" ref="M738">MEDIAN(IF($F$3:$F$810=F738,$L$3:$L$810))</f>
        <v>7412.5</v>
      </c>
      <c r="N738" s="26">
        <v>7028</v>
      </c>
      <c r="O738" s="27"/>
      <c r="P738" s="76">
        <f>IF(N738&lt;INDEX(Sectorwise!E:E,MATCH(F738,Sectorwise!A:A,0)),1,0)</f>
        <v>0</v>
      </c>
      <c r="Q738" s="76">
        <f>IF(AND(N738&gt;=INDEX(Sectorwise!E:E,MATCH(F738,Sectorwise!A:A,0)),N738&lt;=INDEX(Sectorwise!F:F,MATCH(F738,Sectorwise!A:A,0))),1,0)</f>
        <v>1</v>
      </c>
      <c r="R738" s="76">
        <f>IF(N738&gt;INDEX(Sectorwise!F:F,MATCH(F738,Sectorwise!A:A,0)),1,0)</f>
        <v>0</v>
      </c>
      <c r="S738" s="27">
        <f t="shared" si="45"/>
        <v>0</v>
      </c>
      <c r="T738" s="27">
        <f t="shared" si="46"/>
        <v>7028</v>
      </c>
      <c r="U738" s="27">
        <f t="shared" si="47"/>
        <v>0</v>
      </c>
      <c r="V738" s="95">
        <f>IF(R738=1,(N738-INDEX(Sectorwise!F:F,MATCH(F738,Sectorwise!A:A,0))),0)</f>
        <v>0</v>
      </c>
      <c r="W738" s="97">
        <f>POISSON(N738,INDEX(Sectorwise!D:D,MATCH(Travel!F60,Sectorwise!A:A,0)),TRUE)</f>
        <v>2.6168149059511191E-261</v>
      </c>
      <c r="X738" s="28">
        <v>7028</v>
      </c>
    </row>
    <row r="739" spans="1:24" ht="15.75" hidden="1" customHeight="1" x14ac:dyDescent="0.2">
      <c r="A739" s="21" t="s">
        <v>141</v>
      </c>
      <c r="B739" s="21" t="s">
        <v>155</v>
      </c>
      <c r="C739" s="22"/>
      <c r="D739" s="32"/>
      <c r="E739" s="21" t="s">
        <v>157</v>
      </c>
      <c r="F739" s="21" t="s">
        <v>2135</v>
      </c>
      <c r="G739" s="33" t="s">
        <v>2321</v>
      </c>
      <c r="H739" s="21" t="s">
        <v>160</v>
      </c>
      <c r="I739" s="21" t="s">
        <v>58</v>
      </c>
      <c r="J739" s="25">
        <v>5299</v>
      </c>
      <c r="K739" s="25">
        <v>3667</v>
      </c>
      <c r="L739" s="26">
        <f t="shared" si="44"/>
        <v>8966</v>
      </c>
      <c r="M739" s="26">
        <f t="array" ref="M739">MEDIAN(IF($F$3:$F$810=F739,$L$3:$L$810))</f>
        <v>7234</v>
      </c>
      <c r="N739" s="26">
        <v>8966</v>
      </c>
      <c r="O739" s="27"/>
      <c r="P739" s="76">
        <f>IF(N739&lt;INDEX(Sectorwise!E:E,MATCH(F739,Sectorwise!A:A,0)),1,0)</f>
        <v>0</v>
      </c>
      <c r="Q739" s="76">
        <f>IF(AND(N739&gt;=INDEX(Sectorwise!E:E,MATCH(F739,Sectorwise!A:A,0)),N739&lt;=INDEX(Sectorwise!F:F,MATCH(F739,Sectorwise!A:A,0))),1,0)</f>
        <v>0</v>
      </c>
      <c r="R739" s="76">
        <f>IF(N739&gt;INDEX(Sectorwise!F:F,MATCH(F739,Sectorwise!A:A,0)),1,0)</f>
        <v>1</v>
      </c>
      <c r="S739" s="27">
        <f t="shared" si="45"/>
        <v>0</v>
      </c>
      <c r="T739" s="27">
        <f t="shared" si="46"/>
        <v>0</v>
      </c>
      <c r="U739" s="27">
        <f t="shared" si="47"/>
        <v>8966</v>
      </c>
      <c r="V739" s="95">
        <f>IF(R739=1,(N739-INDEX(Sectorwise!F:F,MATCH(F739,Sectorwise!A:A,0))),0)</f>
        <v>966</v>
      </c>
      <c r="W739" s="97">
        <f>POISSON(N739,INDEX(Sectorwise!D:D,MATCH(Travel!F56,Sectorwise!A:A,0)),TRUE)</f>
        <v>0</v>
      </c>
      <c r="X739" s="28">
        <v>8966</v>
      </c>
    </row>
    <row r="740" spans="1:24" ht="15.75" hidden="1" customHeight="1" x14ac:dyDescent="0.2">
      <c r="A740" s="21" t="s">
        <v>95</v>
      </c>
      <c r="B740" s="21" t="s">
        <v>96</v>
      </c>
      <c r="C740" s="22"/>
      <c r="D740" s="23" t="s">
        <v>16</v>
      </c>
      <c r="E740" s="21" t="s">
        <v>28</v>
      </c>
      <c r="F740" s="21" t="s">
        <v>2143</v>
      </c>
      <c r="G740" s="63" t="s">
        <v>2312</v>
      </c>
      <c r="H740" s="21" t="s">
        <v>97</v>
      </c>
      <c r="I740" s="21" t="s">
        <v>98</v>
      </c>
      <c r="J740" s="25">
        <v>2300</v>
      </c>
      <c r="K740" s="26">
        <v>2554</v>
      </c>
      <c r="L740" s="26">
        <f t="shared" si="44"/>
        <v>4854</v>
      </c>
      <c r="M740" s="26">
        <f t="array" ref="M740">MEDIAN(IF($F$3:$F$810=F740,$L$3:$L$810))</f>
        <v>4854</v>
      </c>
      <c r="N740" s="26">
        <v>4854</v>
      </c>
      <c r="O740" s="27"/>
      <c r="P740" s="76">
        <f>IF(N740&lt;INDEX(Sectorwise!E:E,MATCH(F740,Sectorwise!A:A,0)),1,0)</f>
        <v>0</v>
      </c>
      <c r="Q740" s="76">
        <f>IF(AND(N740&gt;=INDEX(Sectorwise!E:E,MATCH(F740,Sectorwise!A:A,0)),N740&lt;=INDEX(Sectorwise!F:F,MATCH(F740,Sectorwise!A:A,0))),1,0)</f>
        <v>1</v>
      </c>
      <c r="R740" s="76">
        <f>IF(N740&gt;INDEX(Sectorwise!F:F,MATCH(F740,Sectorwise!A:A,0)),1,0)</f>
        <v>0</v>
      </c>
      <c r="S740" s="27">
        <f t="shared" si="45"/>
        <v>0</v>
      </c>
      <c r="T740" s="27">
        <f t="shared" si="46"/>
        <v>4854</v>
      </c>
      <c r="U740" s="27">
        <f t="shared" si="47"/>
        <v>0</v>
      </c>
      <c r="V740" s="95">
        <f>IF(R740=1,(N740-INDEX(Sectorwise!F:F,MATCH(F740,Sectorwise!A:A,0))),0)</f>
        <v>0</v>
      </c>
      <c r="W740" s="97">
        <f>POISSON(N740,INDEX(Sectorwise!D:D,MATCH(Travel!F30,Sectorwise!A:A,0)),TRUE)</f>
        <v>0</v>
      </c>
      <c r="X740" s="28">
        <v>4854</v>
      </c>
    </row>
    <row r="741" spans="1:24" ht="15.75" hidden="1" customHeight="1" x14ac:dyDescent="0.2">
      <c r="A741" s="21" t="s">
        <v>20</v>
      </c>
      <c r="B741" s="21" t="s">
        <v>27</v>
      </c>
      <c r="C741" s="22"/>
      <c r="D741" s="23" t="s">
        <v>16</v>
      </c>
      <c r="E741" s="21" t="s">
        <v>28</v>
      </c>
      <c r="F741" s="29" t="s">
        <v>2134</v>
      </c>
      <c r="G741" s="33" t="s">
        <v>2321</v>
      </c>
      <c r="H741" s="21" t="s">
        <v>29</v>
      </c>
      <c r="I741" s="21" t="s">
        <v>30</v>
      </c>
      <c r="J741" s="25">
        <v>2978</v>
      </c>
      <c r="K741" s="26">
        <v>3136</v>
      </c>
      <c r="L741" s="26">
        <f t="shared" si="44"/>
        <v>6114</v>
      </c>
      <c r="M741" s="26">
        <f t="array" ref="M741">MEDIAN(IF($F$3:$F$810=F741,$L$3:$L$810))</f>
        <v>7412.5</v>
      </c>
      <c r="N741" s="26">
        <v>6114</v>
      </c>
      <c r="O741" s="27"/>
      <c r="P741" s="76">
        <f>IF(N741&lt;INDEX(Sectorwise!E:E,MATCH(F741,Sectorwise!A:A,0)),1,0)</f>
        <v>1</v>
      </c>
      <c r="Q741" s="76">
        <f>IF(AND(N741&gt;=INDEX(Sectorwise!E:E,MATCH(F741,Sectorwise!A:A,0)),N741&lt;=INDEX(Sectorwise!F:F,MATCH(F741,Sectorwise!A:A,0))),1,0)</f>
        <v>0</v>
      </c>
      <c r="R741" s="76">
        <f>IF(N741&gt;INDEX(Sectorwise!F:F,MATCH(F741,Sectorwise!A:A,0)),1,0)</f>
        <v>0</v>
      </c>
      <c r="S741" s="27">
        <f t="shared" si="45"/>
        <v>6114</v>
      </c>
      <c r="T741" s="27">
        <f t="shared" si="46"/>
        <v>0</v>
      </c>
      <c r="U741" s="27">
        <f t="shared" si="47"/>
        <v>0</v>
      </c>
      <c r="V741" s="95">
        <f>IF(R741=1,(N741-INDEX(Sectorwise!F:F,MATCH(F741,Sectorwise!A:A,0))),0)</f>
        <v>0</v>
      </c>
      <c r="W741" s="97">
        <f>POISSON(N741,INDEX(Sectorwise!D:D,MATCH(Travel!F7,Sectorwise!A:A,0)),TRUE)</f>
        <v>0</v>
      </c>
      <c r="X741" s="28">
        <v>6114</v>
      </c>
    </row>
    <row r="742" spans="1:24" ht="15.75" hidden="1" customHeight="1" x14ac:dyDescent="0.2">
      <c r="A742" s="33" t="s">
        <v>349</v>
      </c>
      <c r="B742" s="33" t="s">
        <v>355</v>
      </c>
      <c r="C742" s="40"/>
      <c r="D742" s="35"/>
      <c r="E742" s="33" t="s">
        <v>28</v>
      </c>
      <c r="F742" s="29" t="s">
        <v>2134</v>
      </c>
      <c r="G742" s="69" t="s">
        <v>2308</v>
      </c>
      <c r="H742" s="33" t="s">
        <v>357</v>
      </c>
      <c r="I742" s="33" t="s">
        <v>354</v>
      </c>
      <c r="J742" s="42">
        <v>2740</v>
      </c>
      <c r="K742" s="45">
        <v>3220</v>
      </c>
      <c r="L742" s="26">
        <f t="shared" si="44"/>
        <v>5960</v>
      </c>
      <c r="M742" s="26">
        <f t="array" ref="M742">MEDIAN(IF($F$3:$F$810=F742,$L$3:$L$810))</f>
        <v>7412.5</v>
      </c>
      <c r="N742" s="43">
        <f>+J742+K742</f>
        <v>5960</v>
      </c>
      <c r="O742" s="38"/>
      <c r="P742" s="76">
        <f>IF(N742&lt;INDEX(Sectorwise!E:E,MATCH(F742,Sectorwise!A:A,0)),1,0)</f>
        <v>1</v>
      </c>
      <c r="Q742" s="76">
        <f>IF(AND(N742&gt;=INDEX(Sectorwise!E:E,MATCH(F742,Sectorwise!A:A,0)),N742&lt;=INDEX(Sectorwise!F:F,MATCH(F742,Sectorwise!A:A,0))),1,0)</f>
        <v>0</v>
      </c>
      <c r="R742" s="76">
        <f>IF(N742&gt;INDEX(Sectorwise!F:F,MATCH(F742,Sectorwise!A:A,0)),1,0)</f>
        <v>0</v>
      </c>
      <c r="S742" s="27">
        <f t="shared" si="45"/>
        <v>5960</v>
      </c>
      <c r="T742" s="27">
        <f t="shared" si="46"/>
        <v>0</v>
      </c>
      <c r="U742" s="27">
        <f t="shared" si="47"/>
        <v>0</v>
      </c>
      <c r="V742" s="95">
        <f>IF(R742=1,(N742-INDEX(Sectorwise!F:F,MATCH(F742,Sectorwise!A:A,0))),0)</f>
        <v>0</v>
      </c>
      <c r="W742" s="97">
        <f>POISSON(N742,INDEX(Sectorwise!D:D,MATCH(Travel!F132,Sectorwise!A:A,0)),TRUE)</f>
        <v>1.3462313906577258E-68</v>
      </c>
      <c r="X742" s="44">
        <f>+N742-O742</f>
        <v>5960</v>
      </c>
    </row>
    <row r="743" spans="1:24" ht="15.75" hidden="1" customHeight="1" x14ac:dyDescent="0.2">
      <c r="A743" s="21" t="s">
        <v>95</v>
      </c>
      <c r="B743" s="21" t="s">
        <v>96</v>
      </c>
      <c r="C743" s="22"/>
      <c r="D743" s="23" t="s">
        <v>16</v>
      </c>
      <c r="E743" s="21" t="s">
        <v>28</v>
      </c>
      <c r="F743" s="21" t="s">
        <v>2192</v>
      </c>
      <c r="G743" s="69" t="s">
        <v>2308</v>
      </c>
      <c r="H743" s="21" t="s">
        <v>99</v>
      </c>
      <c r="I743" s="21" t="s">
        <v>94</v>
      </c>
      <c r="J743" s="25">
        <v>2140</v>
      </c>
      <c r="K743" s="26">
        <v>2960</v>
      </c>
      <c r="L743" s="26">
        <f t="shared" si="44"/>
        <v>5100</v>
      </c>
      <c r="M743" s="26">
        <f t="array" ref="M743">MEDIAN(IF($F$3:$F$810=F743,$L$3:$L$810))</f>
        <v>3186</v>
      </c>
      <c r="N743" s="26">
        <v>5100</v>
      </c>
      <c r="O743" s="27"/>
      <c r="P743" s="76">
        <f>IF(N743&lt;INDEX(Sectorwise!E:E,MATCH(F743,Sectorwise!A:A,0)),1,0)</f>
        <v>0</v>
      </c>
      <c r="Q743" s="76">
        <f>IF(AND(N743&gt;=INDEX(Sectorwise!E:E,MATCH(F743,Sectorwise!A:A,0)),N743&lt;=INDEX(Sectorwise!F:F,MATCH(F743,Sectorwise!A:A,0))),1,0)</f>
        <v>0</v>
      </c>
      <c r="R743" s="76">
        <f>IF(N743&gt;INDEX(Sectorwise!F:F,MATCH(F743,Sectorwise!A:A,0)),1,0)</f>
        <v>1</v>
      </c>
      <c r="S743" s="27">
        <f t="shared" si="45"/>
        <v>0</v>
      </c>
      <c r="T743" s="27">
        <f t="shared" si="46"/>
        <v>0</v>
      </c>
      <c r="U743" s="27">
        <f t="shared" si="47"/>
        <v>5100</v>
      </c>
      <c r="V743" s="95">
        <f>IF(R743=1,(N743-INDEX(Sectorwise!F:F,MATCH(F743,Sectorwise!A:A,0))),0)</f>
        <v>1500</v>
      </c>
      <c r="W743" s="97">
        <f>POISSON(N743,INDEX(Sectorwise!D:D,MATCH(Travel!F31,Sectorwise!A:A,0)),TRUE)</f>
        <v>0</v>
      </c>
      <c r="X743" s="28">
        <v>5100</v>
      </c>
    </row>
    <row r="744" spans="1:24" ht="15.75" hidden="1" customHeight="1" x14ac:dyDescent="0.2">
      <c r="A744" s="21" t="s">
        <v>20</v>
      </c>
      <c r="B744" s="21" t="s">
        <v>27</v>
      </c>
      <c r="C744" s="22"/>
      <c r="D744" s="23" t="s">
        <v>16</v>
      </c>
      <c r="E744" s="21" t="s">
        <v>28</v>
      </c>
      <c r="F744" s="21" t="s">
        <v>2135</v>
      </c>
      <c r="G744" s="69" t="s">
        <v>2308</v>
      </c>
      <c r="H744" s="21" t="s">
        <v>31</v>
      </c>
      <c r="I744" s="21" t="s">
        <v>26</v>
      </c>
      <c r="J744" s="25">
        <v>3039</v>
      </c>
      <c r="K744" s="26">
        <v>3289</v>
      </c>
      <c r="L744" s="26">
        <f t="shared" si="44"/>
        <v>6328</v>
      </c>
      <c r="M744" s="26">
        <f t="array" ref="M744">MEDIAN(IF($F$3:$F$810=F744,$L$3:$L$810))</f>
        <v>7234</v>
      </c>
      <c r="N744" s="26">
        <v>6328</v>
      </c>
      <c r="O744" s="27"/>
      <c r="P744" s="76">
        <f>IF(N744&lt;INDEX(Sectorwise!E:E,MATCH(F744,Sectorwise!A:A,0)),1,0)</f>
        <v>1</v>
      </c>
      <c r="Q744" s="76">
        <f>IF(AND(N744&gt;=INDEX(Sectorwise!E:E,MATCH(F744,Sectorwise!A:A,0)),N744&lt;=INDEX(Sectorwise!F:F,MATCH(F744,Sectorwise!A:A,0))),1,0)</f>
        <v>0</v>
      </c>
      <c r="R744" s="76">
        <f>IF(N744&gt;INDEX(Sectorwise!F:F,MATCH(F744,Sectorwise!A:A,0)),1,0)</f>
        <v>0</v>
      </c>
      <c r="S744" s="27">
        <f t="shared" si="45"/>
        <v>6328</v>
      </c>
      <c r="T744" s="27">
        <f t="shared" si="46"/>
        <v>0</v>
      </c>
      <c r="U744" s="27">
        <f t="shared" si="47"/>
        <v>0</v>
      </c>
      <c r="V744" s="95">
        <f>IF(R744=1,(N744-INDEX(Sectorwise!F:F,MATCH(F744,Sectorwise!A:A,0))),0)</f>
        <v>0</v>
      </c>
      <c r="W744" s="97">
        <f>POISSON(N744,INDEX(Sectorwise!D:D,MATCH(Travel!F8,Sectorwise!A:A,0)),TRUE)</f>
        <v>1.0269011898841032E-252</v>
      </c>
      <c r="X744" s="28">
        <v>6328</v>
      </c>
    </row>
    <row r="745" spans="1:24" ht="15.75" hidden="1" customHeight="1" x14ac:dyDescent="0.2">
      <c r="A745" s="33" t="s">
        <v>349</v>
      </c>
      <c r="B745" s="33" t="s">
        <v>355</v>
      </c>
      <c r="C745" s="40"/>
      <c r="D745" s="35"/>
      <c r="E745" s="33" t="s">
        <v>28</v>
      </c>
      <c r="F745" s="21" t="s">
        <v>2135</v>
      </c>
      <c r="G745" s="56" t="s">
        <v>2309</v>
      </c>
      <c r="H745" s="33" t="s">
        <v>356</v>
      </c>
      <c r="I745" s="33" t="s">
        <v>352</v>
      </c>
      <c r="J745" s="42">
        <v>3950</v>
      </c>
      <c r="K745" s="45">
        <v>3171</v>
      </c>
      <c r="L745" s="26">
        <f t="shared" si="44"/>
        <v>7121</v>
      </c>
      <c r="M745" s="26">
        <f t="array" ref="M745">MEDIAN(IF($F$3:$F$810=F745,$L$3:$L$810))</f>
        <v>7234</v>
      </c>
      <c r="N745" s="43">
        <f>+J745+K745</f>
        <v>7121</v>
      </c>
      <c r="O745" s="38"/>
      <c r="P745" s="76">
        <f>IF(N745&lt;INDEX(Sectorwise!E:E,MATCH(F745,Sectorwise!A:A,0)),1,0)</f>
        <v>0</v>
      </c>
      <c r="Q745" s="76">
        <f>IF(AND(N745&gt;=INDEX(Sectorwise!E:E,MATCH(F745,Sectorwise!A:A,0)),N745&lt;=INDEX(Sectorwise!F:F,MATCH(F745,Sectorwise!A:A,0))),1,0)</f>
        <v>1</v>
      </c>
      <c r="R745" s="76">
        <f>IF(N745&gt;INDEX(Sectorwise!F:F,MATCH(F745,Sectorwise!A:A,0)),1,0)</f>
        <v>0</v>
      </c>
      <c r="S745" s="27">
        <f t="shared" si="45"/>
        <v>0</v>
      </c>
      <c r="T745" s="27">
        <f t="shared" si="46"/>
        <v>7121</v>
      </c>
      <c r="U745" s="27">
        <f t="shared" si="47"/>
        <v>0</v>
      </c>
      <c r="V745" s="95">
        <f>IF(R745=1,(N745-INDEX(Sectorwise!F:F,MATCH(F745,Sectorwise!A:A,0))),0)</f>
        <v>0</v>
      </c>
      <c r="W745" s="97">
        <f>POISSON(N745,INDEX(Sectorwise!D:D,MATCH(Travel!F131,Sectorwise!A:A,0)),TRUE)</f>
        <v>3.3632733669478553E-4</v>
      </c>
      <c r="X745" s="44">
        <f>+N745-O745</f>
        <v>7121</v>
      </c>
    </row>
    <row r="746" spans="1:24" ht="15.75" hidden="1" customHeight="1" x14ac:dyDescent="0.2">
      <c r="A746" s="21" t="s">
        <v>161</v>
      </c>
      <c r="B746" s="21" t="s">
        <v>162</v>
      </c>
      <c r="C746" s="22"/>
      <c r="D746" s="32"/>
      <c r="E746" s="21" t="s">
        <v>28</v>
      </c>
      <c r="F746" s="21" t="s">
        <v>2173</v>
      </c>
      <c r="G746" s="33" t="s">
        <v>2321</v>
      </c>
      <c r="H746" s="21" t="s">
        <v>163</v>
      </c>
      <c r="I746" s="21" t="s">
        <v>164</v>
      </c>
      <c r="J746" s="25">
        <v>9598</v>
      </c>
      <c r="K746" s="25">
        <v>7071</v>
      </c>
      <c r="L746" s="26">
        <f t="shared" si="44"/>
        <v>16669</v>
      </c>
      <c r="M746" s="26">
        <f t="array" ref="M746">MEDIAN(IF($F$3:$F$810=F746,$L$3:$L$810))</f>
        <v>11722</v>
      </c>
      <c r="N746" s="26">
        <v>16669</v>
      </c>
      <c r="O746" s="27"/>
      <c r="P746" s="76">
        <f>IF(N746&lt;INDEX(Sectorwise!E:E,MATCH(F746,Sectorwise!A:A,0)),1,0)</f>
        <v>0</v>
      </c>
      <c r="Q746" s="76">
        <f>IF(AND(N746&gt;=INDEX(Sectorwise!E:E,MATCH(F746,Sectorwise!A:A,0)),N746&lt;=INDEX(Sectorwise!F:F,MATCH(F746,Sectorwise!A:A,0))),1,0)</f>
        <v>0</v>
      </c>
      <c r="R746" s="76">
        <f>IF(N746&gt;INDEX(Sectorwise!F:F,MATCH(F746,Sectorwise!A:A,0)),1,0)</f>
        <v>1</v>
      </c>
      <c r="S746" s="27">
        <f t="shared" si="45"/>
        <v>0</v>
      </c>
      <c r="T746" s="27">
        <f t="shared" si="46"/>
        <v>0</v>
      </c>
      <c r="U746" s="27">
        <f t="shared" si="47"/>
        <v>16669</v>
      </c>
      <c r="V746" s="95">
        <f>IF(R746=1,(N746-INDEX(Sectorwise!F:F,MATCH(F746,Sectorwise!A:A,0))),0)</f>
        <v>3769</v>
      </c>
      <c r="W746" s="97">
        <f>POISSON(N746,INDEX(Sectorwise!D:D,MATCH(Travel!F57,Sectorwise!A:A,0)),TRUE)</f>
        <v>1</v>
      </c>
      <c r="X746" s="28">
        <v>16669</v>
      </c>
    </row>
    <row r="747" spans="1:24" ht="15.75" hidden="1" customHeight="1" x14ac:dyDescent="0.2">
      <c r="A747" s="69" t="s">
        <v>2026</v>
      </c>
      <c r="B747" s="69" t="s">
        <v>2033</v>
      </c>
      <c r="C747" s="69"/>
      <c r="E747" s="69" t="s">
        <v>2281</v>
      </c>
      <c r="F747" s="69" t="s">
        <v>2144</v>
      </c>
      <c r="G747" s="69" t="s">
        <v>2308</v>
      </c>
      <c r="H747" s="69" t="s">
        <v>2034</v>
      </c>
      <c r="I747" s="69" t="s">
        <v>2035</v>
      </c>
      <c r="J747" s="70">
        <v>8617</v>
      </c>
      <c r="K747" s="70">
        <v>963</v>
      </c>
      <c r="L747" s="26">
        <f t="shared" si="44"/>
        <v>9580</v>
      </c>
      <c r="M747" s="26">
        <f t="array" ref="M747">MEDIAN(IF($F$3:$F$810=F747,$L$3:$L$810))</f>
        <v>9066</v>
      </c>
      <c r="N747" s="57">
        <f>J747+K747</f>
        <v>9580</v>
      </c>
      <c r="O747" s="71">
        <v>0</v>
      </c>
      <c r="P747" s="76">
        <f>IF(N747&lt;INDEX(Sectorwise!E:E,MATCH(F747,Sectorwise!A:A,0)),1,0)</f>
        <v>0</v>
      </c>
      <c r="Q747" s="76">
        <f>IF(AND(N747&gt;=INDEX(Sectorwise!E:E,MATCH(F747,Sectorwise!A:A,0)),N747&lt;=INDEX(Sectorwise!F:F,MATCH(F747,Sectorwise!A:A,0))),1,0)</f>
        <v>1</v>
      </c>
      <c r="R747" s="76">
        <f>IF(N747&gt;INDEX(Sectorwise!F:F,MATCH(F747,Sectorwise!A:A,0)),1,0)</f>
        <v>0</v>
      </c>
      <c r="S747" s="27">
        <f t="shared" si="45"/>
        <v>0</v>
      </c>
      <c r="T747" s="27">
        <f t="shared" si="46"/>
        <v>9580</v>
      </c>
      <c r="U747" s="27">
        <f t="shared" si="47"/>
        <v>0</v>
      </c>
      <c r="V747" s="95">
        <f>IF(R747=1,(N747-INDEX(Sectorwise!F:F,MATCH(F747,Sectorwise!A:A,0))),0)</f>
        <v>0</v>
      </c>
      <c r="W747" s="97">
        <f>POISSON(N747,INDEX(Sectorwise!D:D,MATCH(Travel!F776,Sectorwise!A:A,0)),TRUE)</f>
        <v>3.6027888757958807E-14</v>
      </c>
    </row>
    <row r="748" spans="1:24" ht="15.75" hidden="1" customHeight="1" x14ac:dyDescent="0.2">
      <c r="A748" s="29" t="s">
        <v>2036</v>
      </c>
      <c r="B748" s="29" t="s">
        <v>2043</v>
      </c>
      <c r="C748" s="29"/>
      <c r="E748" s="69" t="s">
        <v>2281</v>
      </c>
      <c r="F748" s="21" t="s">
        <v>2154</v>
      </c>
      <c r="G748" s="69" t="s">
        <v>2308</v>
      </c>
      <c r="H748" s="29" t="s">
        <v>2044</v>
      </c>
      <c r="I748" s="29" t="s">
        <v>2045</v>
      </c>
      <c r="J748" s="65">
        <v>8543</v>
      </c>
      <c r="K748" s="65">
        <v>1086</v>
      </c>
      <c r="L748" s="26">
        <f t="shared" si="44"/>
        <v>9629</v>
      </c>
      <c r="M748" s="26">
        <f t="array" ref="M748">MEDIAN(IF($F$3:$F$810=F748,$L$3:$L$810))</f>
        <v>9477</v>
      </c>
      <c r="N748" s="65">
        <v>9629</v>
      </c>
      <c r="O748" s="65" t="e">
        <f>N748-#REF!</f>
        <v>#REF!</v>
      </c>
      <c r="P748" s="76">
        <f>IF(N748&lt;INDEX(Sectorwise!E:E,MATCH(F748,Sectorwise!A:A,0)),1,0)</f>
        <v>0</v>
      </c>
      <c r="Q748" s="76">
        <f>IF(AND(N748&gt;=INDEX(Sectorwise!E:E,MATCH(F748,Sectorwise!A:A,0)),N748&lt;=INDEX(Sectorwise!F:F,MATCH(F748,Sectorwise!A:A,0))),1,0)</f>
        <v>1</v>
      </c>
      <c r="R748" s="76">
        <f>IF(N748&gt;INDEX(Sectorwise!F:F,MATCH(F748,Sectorwise!A:A,0)),1,0)</f>
        <v>0</v>
      </c>
      <c r="S748" s="27">
        <f t="shared" si="45"/>
        <v>0</v>
      </c>
      <c r="T748" s="27">
        <f t="shared" si="46"/>
        <v>9629</v>
      </c>
      <c r="U748" s="27">
        <f t="shared" si="47"/>
        <v>0</v>
      </c>
      <c r="V748" s="95">
        <f>IF(R748=1,(N748-INDEX(Sectorwise!F:F,MATCH(F748,Sectorwise!A:A,0))),0)</f>
        <v>0</v>
      </c>
      <c r="W748" s="97">
        <f>POISSON(N748,INDEX(Sectorwise!D:D,MATCH(Travel!F779,Sectorwise!A:A,0)),TRUE)</f>
        <v>1</v>
      </c>
    </row>
    <row r="749" spans="1:24" ht="15.75" hidden="1" customHeight="1" x14ac:dyDescent="0.2">
      <c r="A749" s="21" t="s">
        <v>69</v>
      </c>
      <c r="B749" s="21" t="s">
        <v>82</v>
      </c>
      <c r="C749" s="22"/>
      <c r="D749" s="23" t="s">
        <v>16</v>
      </c>
      <c r="E749" s="69" t="s">
        <v>2281</v>
      </c>
      <c r="F749" s="29" t="s">
        <v>2134</v>
      </c>
      <c r="G749" s="63" t="s">
        <v>2312</v>
      </c>
      <c r="H749" s="21" t="s">
        <v>83</v>
      </c>
      <c r="I749" s="21" t="s">
        <v>84</v>
      </c>
      <c r="J749" s="25">
        <v>4400</v>
      </c>
      <c r="K749" s="26">
        <v>3112</v>
      </c>
      <c r="L749" s="26">
        <f t="shared" si="44"/>
        <v>7512</v>
      </c>
      <c r="M749" s="26">
        <f t="array" ref="M749">MEDIAN(IF($F$3:$F$810=F749,$L$3:$L$810))</f>
        <v>7412.5</v>
      </c>
      <c r="N749" s="26">
        <v>7512</v>
      </c>
      <c r="O749" s="27"/>
      <c r="P749" s="76">
        <f>IF(N749&lt;INDEX(Sectorwise!E:E,MATCH(F749,Sectorwise!A:A,0)),1,0)</f>
        <v>0</v>
      </c>
      <c r="Q749" s="76">
        <f>IF(AND(N749&gt;=INDEX(Sectorwise!E:E,MATCH(F749,Sectorwise!A:A,0)),N749&lt;=INDEX(Sectorwise!F:F,MATCH(F749,Sectorwise!A:A,0))),1,0)</f>
        <v>1</v>
      </c>
      <c r="R749" s="76">
        <f>IF(N749&gt;INDEX(Sectorwise!F:F,MATCH(F749,Sectorwise!A:A,0)),1,0)</f>
        <v>0</v>
      </c>
      <c r="S749" s="27">
        <f t="shared" si="45"/>
        <v>0</v>
      </c>
      <c r="T749" s="27">
        <f t="shared" si="46"/>
        <v>7512</v>
      </c>
      <c r="U749" s="27">
        <f t="shared" si="47"/>
        <v>0</v>
      </c>
      <c r="V749" s="95">
        <f>IF(R749=1,(N749-INDEX(Sectorwise!F:F,MATCH(F749,Sectorwise!A:A,0))),0)</f>
        <v>0</v>
      </c>
      <c r="W749" s="97">
        <f>POISSON(N749,INDEX(Sectorwise!D:D,MATCH(Travel!F25,Sectorwise!A:A,0)),TRUE)</f>
        <v>0</v>
      </c>
      <c r="X749" s="28">
        <v>7512</v>
      </c>
    </row>
    <row r="750" spans="1:24" ht="15.75" hidden="1" customHeight="1" x14ac:dyDescent="0.2">
      <c r="A750" s="33" t="s">
        <v>271</v>
      </c>
      <c r="B750" s="33" t="s">
        <v>272</v>
      </c>
      <c r="C750" s="34"/>
      <c r="D750" s="35"/>
      <c r="E750" s="69" t="s">
        <v>2281</v>
      </c>
      <c r="F750" s="33" t="s">
        <v>2158</v>
      </c>
      <c r="G750" s="69" t="s">
        <v>2308</v>
      </c>
      <c r="H750" s="33" t="s">
        <v>273</v>
      </c>
      <c r="I750" s="33" t="s">
        <v>243</v>
      </c>
      <c r="J750" s="36">
        <v>16562</v>
      </c>
      <c r="K750" s="36">
        <v>2933</v>
      </c>
      <c r="L750" s="26">
        <f t="shared" si="44"/>
        <v>19495</v>
      </c>
      <c r="M750" s="26">
        <f t="array" ref="M750">MEDIAN(IF($F$3:$F$810=F750,$L$3:$L$810))</f>
        <v>20521</v>
      </c>
      <c r="N750" s="41">
        <v>19495</v>
      </c>
      <c r="O750" s="38"/>
      <c r="P750" s="76">
        <f>IF(N750&lt;INDEX(Sectorwise!E:E,MATCH(F750,Sectorwise!A:A,0)),1,0)</f>
        <v>0</v>
      </c>
      <c r="Q750" s="76">
        <f>IF(AND(N750&gt;=INDEX(Sectorwise!E:E,MATCH(F750,Sectorwise!A:A,0)),N750&lt;=INDEX(Sectorwise!F:F,MATCH(F750,Sectorwise!A:A,0))),1,0)</f>
        <v>1</v>
      </c>
      <c r="R750" s="76">
        <f>IF(N750&gt;INDEX(Sectorwise!F:F,MATCH(F750,Sectorwise!A:A,0)),1,0)</f>
        <v>0</v>
      </c>
      <c r="S750" s="27">
        <f t="shared" si="45"/>
        <v>0</v>
      </c>
      <c r="T750" s="27">
        <f t="shared" si="46"/>
        <v>19495</v>
      </c>
      <c r="U750" s="27">
        <f t="shared" si="47"/>
        <v>0</v>
      </c>
      <c r="V750" s="95">
        <f>IF(R750=1,(N750-INDEX(Sectorwise!F:F,MATCH(F750,Sectorwise!A:A,0))),0)</f>
        <v>0</v>
      </c>
      <c r="W750" s="97">
        <f>POISSON(N750,INDEX(Sectorwise!D:D,MATCH(Travel!F102,Sectorwise!A:A,0)),TRUE)</f>
        <v>1</v>
      </c>
      <c r="X750" s="39">
        <f>+N750-O750</f>
        <v>19495</v>
      </c>
    </row>
    <row r="751" spans="1:24" ht="15.75" hidden="1" customHeight="1" x14ac:dyDescent="0.2">
      <c r="A751" s="63" t="s">
        <v>1473</v>
      </c>
      <c r="B751" s="63" t="s">
        <v>1484</v>
      </c>
      <c r="C751" s="63"/>
      <c r="E751" s="69" t="s">
        <v>2281</v>
      </c>
      <c r="F751" s="21" t="s">
        <v>2142</v>
      </c>
      <c r="G751" s="69" t="s">
        <v>2308</v>
      </c>
      <c r="H751" s="63" t="s">
        <v>1485</v>
      </c>
      <c r="I751" s="63" t="s">
        <v>1486</v>
      </c>
      <c r="J751" s="65">
        <v>4310</v>
      </c>
      <c r="K751" s="65">
        <v>851</v>
      </c>
      <c r="L751" s="26">
        <f t="shared" si="44"/>
        <v>5161</v>
      </c>
      <c r="M751" s="26">
        <f t="array" ref="M751">MEDIAN(IF($F$3:$F$810=F751,$L$3:$L$810))</f>
        <v>5161</v>
      </c>
      <c r="N751" s="65">
        <v>10322</v>
      </c>
      <c r="O751" s="62">
        <v>0</v>
      </c>
      <c r="P751" s="76">
        <f>IF(N751&lt;INDEX(Sectorwise!E:E,MATCH(F751,Sectorwise!A:A,0)),1,0)</f>
        <v>0</v>
      </c>
      <c r="Q751" s="76">
        <f>IF(AND(N751&gt;=INDEX(Sectorwise!E:E,MATCH(F751,Sectorwise!A:A,0)),N751&lt;=INDEX(Sectorwise!F:F,MATCH(F751,Sectorwise!A:A,0))),1,0)</f>
        <v>0</v>
      </c>
      <c r="R751" s="76">
        <f>IF(N751&gt;INDEX(Sectorwise!F:F,MATCH(F751,Sectorwise!A:A,0)),1,0)</f>
        <v>1</v>
      </c>
      <c r="S751" s="27">
        <f t="shared" si="45"/>
        <v>0</v>
      </c>
      <c r="T751" s="27">
        <f t="shared" si="46"/>
        <v>0</v>
      </c>
      <c r="U751" s="27">
        <f t="shared" si="47"/>
        <v>10322</v>
      </c>
      <c r="V751" s="95">
        <f>IF(R751=1,(N751-INDEX(Sectorwise!F:F,MATCH(F751,Sectorwise!A:A,0))),0)</f>
        <v>4622</v>
      </c>
      <c r="W751" s="97">
        <f>POISSON(N751,INDEX(Sectorwise!D:D,MATCH(Travel!F558,Sectorwise!A:A,0)),TRUE)</f>
        <v>1</v>
      </c>
    </row>
    <row r="752" spans="1:24" ht="15.75" hidden="1" customHeight="1" x14ac:dyDescent="0.2">
      <c r="A752" s="63" t="s">
        <v>1496</v>
      </c>
      <c r="B752" s="63" t="s">
        <v>1508</v>
      </c>
      <c r="C752" s="63"/>
      <c r="E752" s="69" t="s">
        <v>2281</v>
      </c>
      <c r="F752" s="63" t="s">
        <v>2161</v>
      </c>
      <c r="G752" s="63" t="s">
        <v>2313</v>
      </c>
      <c r="H752" s="63" t="s">
        <v>1509</v>
      </c>
      <c r="I752" s="63" t="s">
        <v>1510</v>
      </c>
      <c r="J752" s="65">
        <v>64280</v>
      </c>
      <c r="K752" s="65">
        <v>50720</v>
      </c>
      <c r="L752" s="26">
        <f t="shared" si="44"/>
        <v>115000</v>
      </c>
      <c r="M752" s="26">
        <f t="array" ref="M752">MEDIAN(IF($F$3:$F$810=F752,$L$3:$L$810))</f>
        <v>115000</v>
      </c>
      <c r="N752" s="65">
        <v>115000</v>
      </c>
      <c r="O752" s="62">
        <v>0</v>
      </c>
      <c r="P752" s="76">
        <f>IF(N752&lt;INDEX(Sectorwise!E:E,MATCH(F752,Sectorwise!A:A,0)),1,0)</f>
        <v>0</v>
      </c>
      <c r="Q752" s="76">
        <f>IF(AND(N752&gt;=INDEX(Sectorwise!E:E,MATCH(F752,Sectorwise!A:A,0)),N752&lt;=INDEX(Sectorwise!F:F,MATCH(F752,Sectorwise!A:A,0))),1,0)</f>
        <v>1</v>
      </c>
      <c r="R752" s="76">
        <f>IF(N752&gt;INDEX(Sectorwise!F:F,MATCH(F752,Sectorwise!A:A,0)),1,0)</f>
        <v>0</v>
      </c>
      <c r="S752" s="27">
        <f t="shared" si="45"/>
        <v>0</v>
      </c>
      <c r="T752" s="27">
        <f t="shared" si="46"/>
        <v>115000</v>
      </c>
      <c r="U752" s="27">
        <f t="shared" si="47"/>
        <v>0</v>
      </c>
      <c r="V752" s="95">
        <f>IF(R752=1,(N752-INDEX(Sectorwise!F:F,MATCH(F752,Sectorwise!A:A,0))),0)</f>
        <v>0</v>
      </c>
      <c r="W752" s="97">
        <f>POISSON(N752,INDEX(Sectorwise!D:D,MATCH(Travel!F570,Sectorwise!A:A,0)),TRUE)</f>
        <v>1</v>
      </c>
    </row>
    <row r="753" spans="1:24" ht="15.75" hidden="1" customHeight="1" x14ac:dyDescent="0.2">
      <c r="A753" s="63" t="s">
        <v>1893</v>
      </c>
      <c r="B753" s="63" t="s">
        <v>1900</v>
      </c>
      <c r="C753" s="63"/>
      <c r="E753" s="69" t="s">
        <v>2281</v>
      </c>
      <c r="F753" s="63" t="s">
        <v>2234</v>
      </c>
      <c r="G753" s="69" t="s">
        <v>2308</v>
      </c>
      <c r="H753" s="63" t="s">
        <v>1901</v>
      </c>
      <c r="I753" s="63" t="s">
        <v>1807</v>
      </c>
      <c r="J753" s="65">
        <v>23803</v>
      </c>
      <c r="K753" s="65">
        <v>2792</v>
      </c>
      <c r="L753" s="26">
        <f t="shared" si="44"/>
        <v>26595</v>
      </c>
      <c r="M753" s="26">
        <f t="array" ref="M753">MEDIAN(IF($F$3:$F$810=F753,$L$3:$L$810))</f>
        <v>20677</v>
      </c>
      <c r="N753" s="65">
        <v>26595</v>
      </c>
      <c r="O753" s="62">
        <v>0</v>
      </c>
      <c r="P753" s="76">
        <f>IF(N753&lt;INDEX(Sectorwise!E:E,MATCH(F753,Sectorwise!A:A,0)),1,0)</f>
        <v>0</v>
      </c>
      <c r="Q753" s="76">
        <f>IF(AND(N753&gt;=INDEX(Sectorwise!E:E,MATCH(F753,Sectorwise!A:A,0)),N753&lt;=INDEX(Sectorwise!F:F,MATCH(F753,Sectorwise!A:A,0))),1,0)</f>
        <v>0</v>
      </c>
      <c r="R753" s="76">
        <f>IF(N753&gt;INDEX(Sectorwise!F:F,MATCH(F753,Sectorwise!A:A,0)),1,0)</f>
        <v>1</v>
      </c>
      <c r="S753" s="27">
        <f t="shared" si="45"/>
        <v>0</v>
      </c>
      <c r="T753" s="27">
        <f t="shared" si="46"/>
        <v>0</v>
      </c>
      <c r="U753" s="27">
        <f t="shared" si="47"/>
        <v>26595</v>
      </c>
      <c r="V753" s="95">
        <f>IF(R753=1,(N753-INDEX(Sectorwise!F:F,MATCH(F753,Sectorwise!A:A,0))),0)</f>
        <v>3795</v>
      </c>
      <c r="W753" s="97">
        <f>POISSON(N753,INDEX(Sectorwise!D:D,MATCH(Travel!F724,Sectorwise!A:A,0)),TRUE)</f>
        <v>1</v>
      </c>
    </row>
    <row r="754" spans="1:24" ht="15.75" hidden="1" customHeight="1" x14ac:dyDescent="0.2">
      <c r="A754" s="21" t="s">
        <v>69</v>
      </c>
      <c r="B754" s="21" t="s">
        <v>85</v>
      </c>
      <c r="C754" s="30" t="s">
        <v>86</v>
      </c>
      <c r="D754" s="23" t="s">
        <v>16</v>
      </c>
      <c r="E754" s="69" t="s">
        <v>2281</v>
      </c>
      <c r="F754" s="21" t="s">
        <v>2135</v>
      </c>
      <c r="G754" s="33" t="s">
        <v>2321</v>
      </c>
      <c r="H754" s="21" t="s">
        <v>87</v>
      </c>
      <c r="I754" s="21" t="s">
        <v>84</v>
      </c>
      <c r="J754" s="25">
        <v>5672</v>
      </c>
      <c r="K754" s="26">
        <v>1010</v>
      </c>
      <c r="L754" s="26">
        <f t="shared" si="44"/>
        <v>6682</v>
      </c>
      <c r="M754" s="26">
        <f t="array" ref="M754">MEDIAN(IF($F$3:$F$810=F754,$L$3:$L$810))</f>
        <v>7234</v>
      </c>
      <c r="N754" s="26">
        <v>6682</v>
      </c>
      <c r="O754" s="27">
        <v>6582</v>
      </c>
      <c r="P754" s="76">
        <f>IF(N754&lt;INDEX(Sectorwise!E:E,MATCH(F754,Sectorwise!A:A,0)),1,0)</f>
        <v>0</v>
      </c>
      <c r="Q754" s="76">
        <f>IF(AND(N754&gt;=INDEX(Sectorwise!E:E,MATCH(F754,Sectorwise!A:A,0)),N754&lt;=INDEX(Sectorwise!F:F,MATCH(F754,Sectorwise!A:A,0))),1,0)</f>
        <v>1</v>
      </c>
      <c r="R754" s="76">
        <f>IF(N754&gt;INDEX(Sectorwise!F:F,MATCH(F754,Sectorwise!A:A,0)),1,0)</f>
        <v>0</v>
      </c>
      <c r="S754" s="27">
        <f t="shared" si="45"/>
        <v>0</v>
      </c>
      <c r="T754" s="27">
        <f t="shared" si="46"/>
        <v>6682</v>
      </c>
      <c r="U754" s="27">
        <f t="shared" si="47"/>
        <v>0</v>
      </c>
      <c r="V754" s="95">
        <f>IF(R754=1,(N754-INDEX(Sectorwise!F:F,MATCH(F754,Sectorwise!A:A,0))),0)</f>
        <v>0</v>
      </c>
      <c r="W754" s="97">
        <f>POISSON(N754,INDEX(Sectorwise!D:D,MATCH(Travel!F26,Sectorwise!A:A,0)),TRUE)</f>
        <v>3.2850303711372727E-18</v>
      </c>
      <c r="X754" s="28">
        <v>100</v>
      </c>
    </row>
    <row r="755" spans="1:24" ht="15.75" hidden="1" customHeight="1" x14ac:dyDescent="0.2">
      <c r="A755" s="21" t="s">
        <v>95</v>
      </c>
      <c r="B755" s="21" t="s">
        <v>100</v>
      </c>
      <c r="C755" s="22"/>
      <c r="D755" s="23" t="s">
        <v>16</v>
      </c>
      <c r="E755" s="69" t="s">
        <v>2281</v>
      </c>
      <c r="F755" s="21" t="s">
        <v>2135</v>
      </c>
      <c r="G755" s="69" t="s">
        <v>2308</v>
      </c>
      <c r="H755" s="21" t="s">
        <v>101</v>
      </c>
      <c r="I755" s="21" t="s">
        <v>84</v>
      </c>
      <c r="J755" s="25">
        <v>8699</v>
      </c>
      <c r="K755" s="26">
        <v>1178</v>
      </c>
      <c r="L755" s="26">
        <f t="shared" si="44"/>
        <v>9877</v>
      </c>
      <c r="M755" s="26">
        <f t="array" ref="M755">MEDIAN(IF($F$3:$F$810=F755,$L$3:$L$810))</f>
        <v>7234</v>
      </c>
      <c r="N755" s="26">
        <v>9877</v>
      </c>
      <c r="O755" s="27"/>
      <c r="P755" s="76">
        <f>IF(N755&lt;INDEX(Sectorwise!E:E,MATCH(F755,Sectorwise!A:A,0)),1,0)</f>
        <v>0</v>
      </c>
      <c r="Q755" s="76">
        <f>IF(AND(N755&gt;=INDEX(Sectorwise!E:E,MATCH(F755,Sectorwise!A:A,0)),N755&lt;=INDEX(Sectorwise!F:F,MATCH(F755,Sectorwise!A:A,0))),1,0)</f>
        <v>0</v>
      </c>
      <c r="R755" s="76">
        <f>IF(N755&gt;INDEX(Sectorwise!F:F,MATCH(F755,Sectorwise!A:A,0)),1,0)</f>
        <v>1</v>
      </c>
      <c r="S755" s="27">
        <f t="shared" si="45"/>
        <v>0</v>
      </c>
      <c r="T755" s="27">
        <f t="shared" si="46"/>
        <v>0</v>
      </c>
      <c r="U755" s="27">
        <f t="shared" si="47"/>
        <v>9877</v>
      </c>
      <c r="V755" s="95">
        <f>IF(R755=1,(N755-INDEX(Sectorwise!F:F,MATCH(F755,Sectorwise!A:A,0))),0)</f>
        <v>1877</v>
      </c>
      <c r="W755" s="97">
        <f>POISSON(N755,INDEX(Sectorwise!D:D,MATCH(Travel!F32,Sectorwise!A:A,0)),TRUE)</f>
        <v>0</v>
      </c>
      <c r="X755" s="28">
        <v>9877</v>
      </c>
    </row>
    <row r="756" spans="1:24" ht="15.75" hidden="1" customHeight="1" x14ac:dyDescent="0.2">
      <c r="A756" s="33" t="s">
        <v>295</v>
      </c>
      <c r="B756" s="33" t="s">
        <v>304</v>
      </c>
      <c r="C756" s="40"/>
      <c r="D756" s="35"/>
      <c r="E756" s="69" t="s">
        <v>2281</v>
      </c>
      <c r="F756" s="33" t="s">
        <v>2149</v>
      </c>
      <c r="G756" s="56" t="s">
        <v>2309</v>
      </c>
      <c r="H756" s="33" t="s">
        <v>305</v>
      </c>
      <c r="I756" s="33" t="s">
        <v>243</v>
      </c>
      <c r="J756" s="42">
        <v>6000</v>
      </c>
      <c r="K756" s="45">
        <v>5154</v>
      </c>
      <c r="L756" s="26">
        <f t="shared" si="44"/>
        <v>11154</v>
      </c>
      <c r="M756" s="26">
        <f t="array" ref="M756">MEDIAN(IF($F$3:$F$810=F756,$L$3:$L$810))</f>
        <v>10332</v>
      </c>
      <c r="N756" s="43">
        <f>+J756+K756</f>
        <v>11154</v>
      </c>
      <c r="O756" s="38"/>
      <c r="P756" s="76">
        <f>IF(N756&lt;INDEX(Sectorwise!E:E,MATCH(F756,Sectorwise!A:A,0)),1,0)</f>
        <v>0</v>
      </c>
      <c r="Q756" s="76">
        <f>IF(AND(N756&gt;=INDEX(Sectorwise!E:E,MATCH(F756,Sectorwise!A:A,0)),N756&lt;=INDEX(Sectorwise!F:F,MATCH(F756,Sectorwise!A:A,0))),1,0)</f>
        <v>1</v>
      </c>
      <c r="R756" s="76">
        <f>IF(N756&gt;INDEX(Sectorwise!F:F,MATCH(F756,Sectorwise!A:A,0)),1,0)</f>
        <v>0</v>
      </c>
      <c r="S756" s="27">
        <f t="shared" si="45"/>
        <v>0</v>
      </c>
      <c r="T756" s="27">
        <f t="shared" si="46"/>
        <v>11154</v>
      </c>
      <c r="U756" s="27">
        <f t="shared" si="47"/>
        <v>0</v>
      </c>
      <c r="V756" s="95">
        <f>IF(R756=1,(N756-INDEX(Sectorwise!F:F,MATCH(F756,Sectorwise!A:A,0))),0)</f>
        <v>0</v>
      </c>
      <c r="W756" s="97">
        <f>POISSON(N756,INDEX(Sectorwise!D:D,MATCH(Travel!F114,Sectorwise!A:A,0)),TRUE)</f>
        <v>1</v>
      </c>
      <c r="X756" s="44">
        <f>+N756-O756</f>
        <v>11154</v>
      </c>
    </row>
    <row r="757" spans="1:24" ht="15.75" hidden="1" customHeight="1" x14ac:dyDescent="0.2">
      <c r="A757" s="63" t="s">
        <v>1473</v>
      </c>
      <c r="B757" s="63" t="s">
        <v>1480</v>
      </c>
      <c r="C757" s="63"/>
      <c r="E757" s="69" t="s">
        <v>2281</v>
      </c>
      <c r="F757" s="21" t="s">
        <v>2152</v>
      </c>
      <c r="G757" s="69" t="s">
        <v>2308</v>
      </c>
      <c r="H757" s="63" t="s">
        <v>1482</v>
      </c>
      <c r="I757" s="63" t="s">
        <v>1483</v>
      </c>
      <c r="J757" s="65">
        <v>4360</v>
      </c>
      <c r="K757" s="65">
        <v>1078</v>
      </c>
      <c r="L757" s="26">
        <f t="shared" si="44"/>
        <v>5438</v>
      </c>
      <c r="M757" s="26">
        <f t="array" ref="M757">MEDIAN(IF($F$3:$F$810=F757,$L$3:$L$810))</f>
        <v>5438</v>
      </c>
      <c r="N757" s="57">
        <f>J757+K757</f>
        <v>5438</v>
      </c>
      <c r="O757" s="62">
        <v>0</v>
      </c>
      <c r="P757" s="76">
        <f>IF(N757&lt;INDEX(Sectorwise!E:E,MATCH(F757,Sectorwise!A:A,0)),1,0)</f>
        <v>0</v>
      </c>
      <c r="Q757" s="76">
        <f>IF(AND(N757&gt;=INDEX(Sectorwise!E:E,MATCH(F757,Sectorwise!A:A,0)),N757&lt;=INDEX(Sectorwise!F:F,MATCH(F757,Sectorwise!A:A,0))),1,0)</f>
        <v>1</v>
      </c>
      <c r="R757" s="76">
        <f>IF(N757&gt;INDEX(Sectorwise!F:F,MATCH(F757,Sectorwise!A:A,0)),1,0)</f>
        <v>0</v>
      </c>
      <c r="S757" s="27">
        <f t="shared" si="45"/>
        <v>0</v>
      </c>
      <c r="T757" s="27">
        <f t="shared" si="46"/>
        <v>5438</v>
      </c>
      <c r="U757" s="27">
        <f t="shared" si="47"/>
        <v>0</v>
      </c>
      <c r="V757" s="95">
        <f>IF(R757=1,(N757-INDEX(Sectorwise!F:F,MATCH(F757,Sectorwise!A:A,0))),0)</f>
        <v>0</v>
      </c>
      <c r="W757" s="97">
        <f>POISSON(N757,INDEX(Sectorwise!D:D,MATCH(Travel!F555,Sectorwise!A:A,0)),TRUE)</f>
        <v>0</v>
      </c>
    </row>
    <row r="758" spans="1:24" ht="15.75" hidden="1" customHeight="1" x14ac:dyDescent="0.2">
      <c r="A758" s="63" t="s">
        <v>1600</v>
      </c>
      <c r="B758" s="63" t="s">
        <v>1601</v>
      </c>
      <c r="C758" s="63"/>
      <c r="E758" s="69" t="s">
        <v>2281</v>
      </c>
      <c r="F758" s="21" t="s">
        <v>2152</v>
      </c>
      <c r="G758" s="69" t="s">
        <v>2308</v>
      </c>
      <c r="H758" s="63" t="s">
        <v>1603</v>
      </c>
      <c r="I758" s="63" t="s">
        <v>1483</v>
      </c>
      <c r="J758" s="65">
        <v>4360</v>
      </c>
      <c r="K758" s="65">
        <v>1078</v>
      </c>
      <c r="L758" s="26">
        <f t="shared" si="44"/>
        <v>5438</v>
      </c>
      <c r="M758" s="26">
        <f t="array" ref="M758">MEDIAN(IF($F$3:$F$810=F758,$L$3:$L$810))</f>
        <v>5438</v>
      </c>
      <c r="N758" s="57">
        <f>J758+K758</f>
        <v>5438</v>
      </c>
      <c r="O758" s="62">
        <v>0</v>
      </c>
      <c r="P758" s="76">
        <f>IF(N758&lt;INDEX(Sectorwise!E:E,MATCH(F758,Sectorwise!A:A,0)),1,0)</f>
        <v>0</v>
      </c>
      <c r="Q758" s="76">
        <f>IF(AND(N758&gt;=INDEX(Sectorwise!E:E,MATCH(F758,Sectorwise!A:A,0)),N758&lt;=INDEX(Sectorwise!F:F,MATCH(F758,Sectorwise!A:A,0))),1,0)</f>
        <v>1</v>
      </c>
      <c r="R758" s="76">
        <f>IF(N758&gt;INDEX(Sectorwise!F:F,MATCH(F758,Sectorwise!A:A,0)),1,0)</f>
        <v>0</v>
      </c>
      <c r="S758" s="27">
        <f t="shared" si="45"/>
        <v>0</v>
      </c>
      <c r="T758" s="27">
        <f t="shared" si="46"/>
        <v>5438</v>
      </c>
      <c r="U758" s="27">
        <f t="shared" si="47"/>
        <v>0</v>
      </c>
      <c r="V758" s="95">
        <f>IF(R758=1,(N758-INDEX(Sectorwise!F:F,MATCH(F758,Sectorwise!A:A,0))),0)</f>
        <v>0</v>
      </c>
      <c r="W758" s="97">
        <f>POISSON(N758,INDEX(Sectorwise!D:D,MATCH(Travel!F610,Sectorwise!A:A,0)),TRUE)</f>
        <v>0</v>
      </c>
    </row>
    <row r="759" spans="1:24" ht="15.75" hidden="1" customHeight="1" x14ac:dyDescent="0.2">
      <c r="A759" s="69" t="s">
        <v>2026</v>
      </c>
      <c r="B759" s="69" t="s">
        <v>2031</v>
      </c>
      <c r="C759" s="69"/>
      <c r="E759" s="63" t="s">
        <v>2292</v>
      </c>
      <c r="F759" s="60" t="s">
        <v>2237</v>
      </c>
      <c r="G759" s="69" t="s">
        <v>2308</v>
      </c>
      <c r="H759" s="69" t="s">
        <v>2032</v>
      </c>
      <c r="I759" s="69" t="s">
        <v>1785</v>
      </c>
      <c r="J759" s="70">
        <v>17184</v>
      </c>
      <c r="K759" s="70">
        <v>2049</v>
      </c>
      <c r="L759" s="26">
        <f t="shared" si="44"/>
        <v>19233</v>
      </c>
      <c r="M759" s="26">
        <f t="array" ref="M759">MEDIAN(IF($F$3:$F$810=F759,$L$3:$L$810))</f>
        <v>19030</v>
      </c>
      <c r="N759" s="57">
        <f>J759+K759</f>
        <v>19233</v>
      </c>
      <c r="O759" s="71">
        <v>0</v>
      </c>
      <c r="P759" s="76">
        <f>IF(N759&lt;INDEX(Sectorwise!E:E,MATCH(F759,Sectorwise!A:A,0)),1,0)</f>
        <v>0</v>
      </c>
      <c r="Q759" s="76">
        <f>IF(AND(N759&gt;=INDEX(Sectorwise!E:E,MATCH(F759,Sectorwise!A:A,0)),N759&lt;=INDEX(Sectorwise!F:F,MATCH(F759,Sectorwise!A:A,0))),1,0)</f>
        <v>1</v>
      </c>
      <c r="R759" s="76">
        <f>IF(N759&gt;INDEX(Sectorwise!F:F,MATCH(F759,Sectorwise!A:A,0)),1,0)</f>
        <v>0</v>
      </c>
      <c r="S759" s="27">
        <f t="shared" si="45"/>
        <v>0</v>
      </c>
      <c r="T759" s="27">
        <f t="shared" si="46"/>
        <v>19233</v>
      </c>
      <c r="U759" s="27">
        <f t="shared" si="47"/>
        <v>0</v>
      </c>
      <c r="V759" s="95">
        <f>IF(R759=1,(N759-INDEX(Sectorwise!F:F,MATCH(F759,Sectorwise!A:A,0))),0)</f>
        <v>0</v>
      </c>
      <c r="W759" s="97">
        <f>POISSON(N759,INDEX(Sectorwise!D:D,MATCH(Travel!F774,Sectorwise!A:A,0)),TRUE)</f>
        <v>1</v>
      </c>
    </row>
    <row r="760" spans="1:24" ht="15.75" hidden="1" customHeight="1" x14ac:dyDescent="0.2">
      <c r="A760" s="63" t="s">
        <v>1823</v>
      </c>
      <c r="B760" s="63" t="s">
        <v>1824</v>
      </c>
      <c r="C760" s="63"/>
      <c r="E760" s="63" t="s">
        <v>2292</v>
      </c>
      <c r="F760" s="21" t="s">
        <v>2136</v>
      </c>
      <c r="G760" s="60" t="s">
        <v>2316</v>
      </c>
      <c r="H760" s="63" t="s">
        <v>1829</v>
      </c>
      <c r="I760" s="63" t="s">
        <v>1827</v>
      </c>
      <c r="J760" s="65">
        <v>8450</v>
      </c>
      <c r="K760" s="65">
        <v>6979</v>
      </c>
      <c r="L760" s="26">
        <f t="shared" si="44"/>
        <v>15429</v>
      </c>
      <c r="M760" s="26">
        <f t="array" ref="M760">MEDIAN(IF($F$3:$F$810=F760,$L$3:$L$810))</f>
        <v>14406</v>
      </c>
      <c r="N760" s="57">
        <f>J760+K760</f>
        <v>15429</v>
      </c>
      <c r="O760" s="62">
        <v>0</v>
      </c>
      <c r="P760" s="76">
        <f>IF(N760&lt;INDEX(Sectorwise!E:E,MATCH(F760,Sectorwise!A:A,0)),1,0)</f>
        <v>0</v>
      </c>
      <c r="Q760" s="76">
        <f>IF(AND(N760&gt;=INDEX(Sectorwise!E:E,MATCH(F760,Sectorwise!A:A,0)),N760&lt;=INDEX(Sectorwise!F:F,MATCH(F760,Sectorwise!A:A,0))),1,0)</f>
        <v>1</v>
      </c>
      <c r="R760" s="76">
        <f>IF(N760&gt;INDEX(Sectorwise!F:F,MATCH(F760,Sectorwise!A:A,0)),1,0)</f>
        <v>0</v>
      </c>
      <c r="S760" s="27">
        <f t="shared" si="45"/>
        <v>0</v>
      </c>
      <c r="T760" s="27">
        <f t="shared" si="46"/>
        <v>15429</v>
      </c>
      <c r="U760" s="27">
        <f t="shared" si="47"/>
        <v>0</v>
      </c>
      <c r="V760" s="95">
        <f>IF(R760=1,(N760-INDEX(Sectorwise!F:F,MATCH(F760,Sectorwise!A:A,0))),0)</f>
        <v>0</v>
      </c>
      <c r="W760" s="97">
        <f>POISSON(N760,INDEX(Sectorwise!D:D,MATCH(Travel!F691,Sectorwise!A:A,0)),TRUE)</f>
        <v>1</v>
      </c>
    </row>
    <row r="761" spans="1:24" ht="15.75" hidden="1" customHeight="1" x14ac:dyDescent="0.2">
      <c r="A761" s="63" t="s">
        <v>1447</v>
      </c>
      <c r="B761" s="63" t="s">
        <v>1451</v>
      </c>
      <c r="C761" s="63"/>
      <c r="E761" s="63" t="s">
        <v>2292</v>
      </c>
      <c r="F761" s="33" t="s">
        <v>2208</v>
      </c>
      <c r="G761" s="69" t="s">
        <v>2308</v>
      </c>
      <c r="H761" s="63" t="s">
        <v>1452</v>
      </c>
      <c r="I761" s="63" t="s">
        <v>1453</v>
      </c>
      <c r="J761" s="65">
        <v>8670</v>
      </c>
      <c r="K761" s="65">
        <v>1927</v>
      </c>
      <c r="L761" s="26">
        <f t="shared" si="44"/>
        <v>10597</v>
      </c>
      <c r="M761" s="26">
        <f t="array" ref="M761">MEDIAN(IF($F$3:$F$810=F761,$L$3:$L$810))</f>
        <v>10597</v>
      </c>
      <c r="N761" s="65">
        <v>21194</v>
      </c>
      <c r="O761" s="62">
        <v>0</v>
      </c>
      <c r="P761" s="76">
        <f>IF(N761&lt;INDEX(Sectorwise!E:E,MATCH(F761,Sectorwise!A:A,0)),1,0)</f>
        <v>0</v>
      </c>
      <c r="Q761" s="76">
        <f>IF(AND(N761&gt;=INDEX(Sectorwise!E:E,MATCH(F761,Sectorwise!A:A,0)),N761&lt;=INDEX(Sectorwise!F:F,MATCH(F761,Sectorwise!A:A,0))),1,0)</f>
        <v>0</v>
      </c>
      <c r="R761" s="76">
        <f>IF(N761&gt;INDEX(Sectorwise!F:F,MATCH(F761,Sectorwise!A:A,0)),1,0)</f>
        <v>1</v>
      </c>
      <c r="S761" s="27">
        <f t="shared" si="45"/>
        <v>0</v>
      </c>
      <c r="T761" s="27">
        <f t="shared" si="46"/>
        <v>0</v>
      </c>
      <c r="U761" s="27">
        <f t="shared" si="47"/>
        <v>21194</v>
      </c>
      <c r="V761" s="95">
        <f>IF(R761=1,(N761-INDEX(Sectorwise!F:F,MATCH(F761,Sectorwise!A:A,0))),0)</f>
        <v>9494</v>
      </c>
      <c r="W761" s="97">
        <f>POISSON(N761,INDEX(Sectorwise!D:D,MATCH(Travel!F544,Sectorwise!A:A,0)),TRUE)</f>
        <v>1</v>
      </c>
    </row>
    <row r="762" spans="1:24" ht="15.75" hidden="1" customHeight="1" x14ac:dyDescent="0.2">
      <c r="A762" s="63" t="s">
        <v>1134</v>
      </c>
      <c r="B762" s="63" t="s">
        <v>1145</v>
      </c>
      <c r="C762" s="63"/>
      <c r="E762" s="63" t="s">
        <v>2292</v>
      </c>
      <c r="F762" s="63" t="s">
        <v>2238</v>
      </c>
      <c r="G762" s="56" t="s">
        <v>2309</v>
      </c>
      <c r="H762" s="63" t="s">
        <v>1146</v>
      </c>
      <c r="I762" s="63" t="s">
        <v>1139</v>
      </c>
      <c r="J762" s="65">
        <v>6400</v>
      </c>
      <c r="K762" s="65">
        <v>3539</v>
      </c>
      <c r="L762" s="26">
        <f t="shared" si="44"/>
        <v>9939</v>
      </c>
      <c r="M762" s="26">
        <f t="array" ref="M762">MEDIAN(IF($F$3:$F$810=F762,$L$3:$L$810))</f>
        <v>9939</v>
      </c>
      <c r="N762" s="65">
        <v>9939</v>
      </c>
      <c r="O762" s="62">
        <v>0</v>
      </c>
      <c r="P762" s="76">
        <f>IF(N762&lt;INDEX(Sectorwise!E:E,MATCH(F762,Sectorwise!A:A,0)),1,0)</f>
        <v>0</v>
      </c>
      <c r="Q762" s="76">
        <f>IF(AND(N762&gt;=INDEX(Sectorwise!E:E,MATCH(F762,Sectorwise!A:A,0)),N762&lt;=INDEX(Sectorwise!F:F,MATCH(F762,Sectorwise!A:A,0))),1,0)</f>
        <v>1</v>
      </c>
      <c r="R762" s="76">
        <f>IF(N762&gt;INDEX(Sectorwise!F:F,MATCH(F762,Sectorwise!A:A,0)),1,0)</f>
        <v>0</v>
      </c>
      <c r="S762" s="27">
        <f t="shared" si="45"/>
        <v>0</v>
      </c>
      <c r="T762" s="27">
        <f t="shared" si="46"/>
        <v>9939</v>
      </c>
      <c r="U762" s="27">
        <f t="shared" si="47"/>
        <v>0</v>
      </c>
      <c r="V762" s="95">
        <f>IF(R762=1,(N762-INDEX(Sectorwise!F:F,MATCH(F762,Sectorwise!A:A,0))),0)</f>
        <v>0</v>
      </c>
      <c r="W762" s="97">
        <f>POISSON(N762,INDEX(Sectorwise!D:D,MATCH(Travel!F433,Sectorwise!A:A,0)),TRUE)</f>
        <v>0</v>
      </c>
    </row>
    <row r="763" spans="1:24" ht="15.75" hidden="1" customHeight="1" x14ac:dyDescent="0.2">
      <c r="A763" s="21" t="s">
        <v>108</v>
      </c>
      <c r="B763" s="21" t="s">
        <v>109</v>
      </c>
      <c r="C763" s="22"/>
      <c r="D763" s="23" t="s">
        <v>16</v>
      </c>
      <c r="E763" s="63" t="s">
        <v>2292</v>
      </c>
      <c r="F763" s="21" t="s">
        <v>2170</v>
      </c>
      <c r="G763" s="60" t="s">
        <v>2316</v>
      </c>
      <c r="H763" s="21" t="s">
        <v>112</v>
      </c>
      <c r="I763" s="21" t="s">
        <v>43</v>
      </c>
      <c r="J763" s="25">
        <v>9800</v>
      </c>
      <c r="K763" s="26">
        <v>10022</v>
      </c>
      <c r="L763" s="26">
        <f t="shared" si="44"/>
        <v>19822</v>
      </c>
      <c r="M763" s="26">
        <f t="array" ref="M763">MEDIAN(IF($F$3:$F$810=F763,$L$3:$L$810))</f>
        <v>19822</v>
      </c>
      <c r="N763" s="26">
        <v>19822</v>
      </c>
      <c r="O763" s="27"/>
      <c r="P763" s="76">
        <f>IF(N763&lt;INDEX(Sectorwise!E:E,MATCH(F763,Sectorwise!A:A,0)),1,0)</f>
        <v>0</v>
      </c>
      <c r="Q763" s="76">
        <f>IF(AND(N763&gt;=INDEX(Sectorwise!E:E,MATCH(F763,Sectorwise!A:A,0)),N763&lt;=INDEX(Sectorwise!F:F,MATCH(F763,Sectorwise!A:A,0))),1,0)</f>
        <v>1</v>
      </c>
      <c r="R763" s="76">
        <f>IF(N763&gt;INDEX(Sectorwise!F:F,MATCH(F763,Sectorwise!A:A,0)),1,0)</f>
        <v>0</v>
      </c>
      <c r="S763" s="27">
        <f t="shared" si="45"/>
        <v>0</v>
      </c>
      <c r="T763" s="27">
        <f t="shared" si="46"/>
        <v>19822</v>
      </c>
      <c r="U763" s="27">
        <f t="shared" si="47"/>
        <v>0</v>
      </c>
      <c r="V763" s="95">
        <f>IF(R763=1,(N763-INDEX(Sectorwise!F:F,MATCH(F763,Sectorwise!A:A,0))),0)</f>
        <v>0</v>
      </c>
      <c r="W763" s="97">
        <f>POISSON(N763,INDEX(Sectorwise!D:D,MATCH(Travel!F36,Sectorwise!A:A,0)),TRUE)</f>
        <v>1</v>
      </c>
      <c r="X763" s="28">
        <v>19822</v>
      </c>
    </row>
    <row r="764" spans="1:24" ht="15.75" hidden="1" customHeight="1" x14ac:dyDescent="0.2">
      <c r="A764" s="63" t="s">
        <v>1874</v>
      </c>
      <c r="B764" s="63" t="s">
        <v>1882</v>
      </c>
      <c r="C764" s="63"/>
      <c r="E764" s="63" t="s">
        <v>2292</v>
      </c>
      <c r="F764" s="63" t="s">
        <v>2234</v>
      </c>
      <c r="G764" s="69" t="s">
        <v>2308</v>
      </c>
      <c r="H764" s="63" t="s">
        <v>1883</v>
      </c>
      <c r="I764" s="63" t="s">
        <v>1807</v>
      </c>
      <c r="J764" s="65">
        <v>18306</v>
      </c>
      <c r="K764" s="65">
        <v>2371</v>
      </c>
      <c r="L764" s="26">
        <f t="shared" si="44"/>
        <v>20677</v>
      </c>
      <c r="M764" s="26">
        <f t="array" ref="M764">MEDIAN(IF($F$3:$F$810=F764,$L$3:$L$810))</f>
        <v>20677</v>
      </c>
      <c r="N764" s="57">
        <f>J764+K764</f>
        <v>20677</v>
      </c>
      <c r="O764" s="62">
        <v>0</v>
      </c>
      <c r="P764" s="76">
        <f>IF(N764&lt;INDEX(Sectorwise!E:E,MATCH(F764,Sectorwise!A:A,0)),1,0)</f>
        <v>0</v>
      </c>
      <c r="Q764" s="76">
        <f>IF(AND(N764&gt;=INDEX(Sectorwise!E:E,MATCH(F764,Sectorwise!A:A,0)),N764&lt;=INDEX(Sectorwise!F:F,MATCH(F764,Sectorwise!A:A,0))),1,0)</f>
        <v>1</v>
      </c>
      <c r="R764" s="76">
        <f>IF(N764&gt;INDEX(Sectorwise!F:F,MATCH(F764,Sectorwise!A:A,0)),1,0)</f>
        <v>0</v>
      </c>
      <c r="S764" s="27">
        <f t="shared" si="45"/>
        <v>0</v>
      </c>
      <c r="T764" s="27">
        <f t="shared" si="46"/>
        <v>20677</v>
      </c>
      <c r="U764" s="27">
        <f t="shared" si="47"/>
        <v>0</v>
      </c>
      <c r="V764" s="95">
        <f>IF(R764=1,(N764-INDEX(Sectorwise!F:F,MATCH(F764,Sectorwise!A:A,0))),0)</f>
        <v>0</v>
      </c>
      <c r="W764" s="97">
        <f>POISSON(N764,INDEX(Sectorwise!D:D,MATCH(Travel!F717,Sectorwise!A:A,0)),TRUE)</f>
        <v>1</v>
      </c>
    </row>
    <row r="765" spans="1:24" ht="15.75" hidden="1" customHeight="1" x14ac:dyDescent="0.2">
      <c r="A765" s="63" t="s">
        <v>1837</v>
      </c>
      <c r="B765" s="63" t="s">
        <v>1843</v>
      </c>
      <c r="C765" s="63"/>
      <c r="E765" s="63" t="s">
        <v>2292</v>
      </c>
      <c r="F765" s="21" t="s">
        <v>2135</v>
      </c>
      <c r="G765" s="69" t="s">
        <v>2308</v>
      </c>
      <c r="H765" s="63" t="s">
        <v>1844</v>
      </c>
      <c r="I765" s="63" t="s">
        <v>1827</v>
      </c>
      <c r="J765" s="65">
        <v>5816</v>
      </c>
      <c r="K765" s="65">
        <v>1139</v>
      </c>
      <c r="L765" s="26">
        <f t="shared" si="44"/>
        <v>6955</v>
      </c>
      <c r="M765" s="26">
        <f t="array" ref="M765">MEDIAN(IF($F$3:$F$810=F765,$L$3:$L$810))</f>
        <v>7234</v>
      </c>
      <c r="N765" s="57">
        <f>J765+K765</f>
        <v>6955</v>
      </c>
      <c r="O765" s="62">
        <v>0</v>
      </c>
      <c r="P765" s="76">
        <f>IF(N765&lt;INDEX(Sectorwise!E:E,MATCH(F765,Sectorwise!A:A,0)),1,0)</f>
        <v>0</v>
      </c>
      <c r="Q765" s="76">
        <f>IF(AND(N765&gt;=INDEX(Sectorwise!E:E,MATCH(F765,Sectorwise!A:A,0)),N765&lt;=INDEX(Sectorwise!F:F,MATCH(F765,Sectorwise!A:A,0))),1,0)</f>
        <v>1</v>
      </c>
      <c r="R765" s="76">
        <f>IF(N765&gt;INDEX(Sectorwise!F:F,MATCH(F765,Sectorwise!A:A,0)),1,0)</f>
        <v>0</v>
      </c>
      <c r="S765" s="27">
        <f t="shared" si="45"/>
        <v>0</v>
      </c>
      <c r="T765" s="27">
        <f t="shared" si="46"/>
        <v>6955</v>
      </c>
      <c r="U765" s="27">
        <f t="shared" si="47"/>
        <v>0</v>
      </c>
      <c r="V765" s="95">
        <f>IF(R765=1,(N765-INDEX(Sectorwise!F:F,MATCH(F765,Sectorwise!A:A,0))),0)</f>
        <v>0</v>
      </c>
      <c r="W765" s="97">
        <f>POISSON(N765,INDEX(Sectorwise!D:D,MATCH(Travel!F698,Sectorwise!A:A,0)),TRUE)</f>
        <v>0</v>
      </c>
    </row>
    <row r="766" spans="1:24" ht="15.75" hidden="1" customHeight="1" x14ac:dyDescent="0.2">
      <c r="A766" s="63" t="s">
        <v>1134</v>
      </c>
      <c r="B766" s="63" t="s">
        <v>1149</v>
      </c>
      <c r="C766" s="63"/>
      <c r="E766" s="63" t="s">
        <v>2292</v>
      </c>
      <c r="F766" s="21" t="s">
        <v>2149</v>
      </c>
      <c r="G766" s="63" t="s">
        <v>2312</v>
      </c>
      <c r="H766" s="63" t="s">
        <v>1150</v>
      </c>
      <c r="I766" s="63" t="s">
        <v>1151</v>
      </c>
      <c r="J766" s="65">
        <v>3330</v>
      </c>
      <c r="K766" s="65">
        <v>4954</v>
      </c>
      <c r="L766" s="26">
        <f t="shared" si="44"/>
        <v>8284</v>
      </c>
      <c r="M766" s="26">
        <f t="array" ref="M766">MEDIAN(IF($F$3:$F$810=F766,$L$3:$L$810))</f>
        <v>10332</v>
      </c>
      <c r="N766" s="65">
        <v>8284</v>
      </c>
      <c r="O766" s="62">
        <v>0</v>
      </c>
      <c r="P766" s="76">
        <f>IF(N766&lt;INDEX(Sectorwise!E:E,MATCH(F766,Sectorwise!A:A,0)),1,0)</f>
        <v>1</v>
      </c>
      <c r="Q766" s="76">
        <f>IF(AND(N766&gt;=INDEX(Sectorwise!E:E,MATCH(F766,Sectorwise!A:A,0)),N766&lt;=INDEX(Sectorwise!F:F,MATCH(F766,Sectorwise!A:A,0))),1,0)</f>
        <v>0</v>
      </c>
      <c r="R766" s="76">
        <f>IF(N766&gt;INDEX(Sectorwise!F:F,MATCH(F766,Sectorwise!A:A,0)),1,0)</f>
        <v>0</v>
      </c>
      <c r="S766" s="27">
        <f t="shared" si="45"/>
        <v>8284</v>
      </c>
      <c r="T766" s="27">
        <f t="shared" si="46"/>
        <v>0</v>
      </c>
      <c r="U766" s="27">
        <f t="shared" si="47"/>
        <v>0</v>
      </c>
      <c r="V766" s="95">
        <f>IF(R766=1,(N766-INDEX(Sectorwise!F:F,MATCH(F766,Sectorwise!A:A,0))),0)</f>
        <v>0</v>
      </c>
      <c r="W766" s="97">
        <f>POISSON(N766,INDEX(Sectorwise!D:D,MATCH(Travel!F435,Sectorwise!A:A,0)),TRUE)</f>
        <v>1</v>
      </c>
    </row>
    <row r="767" spans="1:24" ht="15.75" hidden="1" customHeight="1" x14ac:dyDescent="0.2">
      <c r="A767" s="63" t="s">
        <v>1134</v>
      </c>
      <c r="B767" s="63" t="s">
        <v>1147</v>
      </c>
      <c r="C767" s="63"/>
      <c r="E767" s="63" t="s">
        <v>2292</v>
      </c>
      <c r="F767" s="63" t="s">
        <v>2166</v>
      </c>
      <c r="G767" s="63" t="s">
        <v>2312</v>
      </c>
      <c r="H767" s="63" t="s">
        <v>1148</v>
      </c>
      <c r="I767" s="63" t="s">
        <v>1142</v>
      </c>
      <c r="J767" s="65">
        <v>3070</v>
      </c>
      <c r="K767" s="65">
        <v>2705</v>
      </c>
      <c r="L767" s="26">
        <f t="shared" si="44"/>
        <v>5775</v>
      </c>
      <c r="M767" s="26">
        <f t="array" ref="M767">MEDIAN(IF($F$3:$F$810=F767,$L$3:$L$810))</f>
        <v>5775</v>
      </c>
      <c r="N767" s="65">
        <v>5775</v>
      </c>
      <c r="O767" s="62">
        <v>0</v>
      </c>
      <c r="P767" s="76">
        <f>IF(N767&lt;INDEX(Sectorwise!E:E,MATCH(F767,Sectorwise!A:A,0)),1,0)</f>
        <v>0</v>
      </c>
      <c r="Q767" s="76">
        <f>IF(AND(N767&gt;=INDEX(Sectorwise!E:E,MATCH(F767,Sectorwise!A:A,0)),N767&lt;=INDEX(Sectorwise!F:F,MATCH(F767,Sectorwise!A:A,0))),1,0)</f>
        <v>1</v>
      </c>
      <c r="R767" s="76">
        <f>IF(N767&gt;INDEX(Sectorwise!F:F,MATCH(F767,Sectorwise!A:A,0)),1,0)</f>
        <v>0</v>
      </c>
      <c r="S767" s="27">
        <f t="shared" si="45"/>
        <v>0</v>
      </c>
      <c r="T767" s="27">
        <f t="shared" si="46"/>
        <v>5775</v>
      </c>
      <c r="U767" s="27">
        <f t="shared" si="47"/>
        <v>0</v>
      </c>
      <c r="V767" s="95">
        <f>IF(R767=1,(N767-INDEX(Sectorwise!F:F,MATCH(F767,Sectorwise!A:A,0))),0)</f>
        <v>0</v>
      </c>
      <c r="W767" s="97">
        <f>POISSON(N767,INDEX(Sectorwise!D:D,MATCH(Travel!F434,Sectorwise!A:A,0)),TRUE)</f>
        <v>1</v>
      </c>
    </row>
    <row r="768" spans="1:24" ht="15.75" hidden="1" customHeight="1" x14ac:dyDescent="0.2">
      <c r="A768" s="63" t="s">
        <v>1246</v>
      </c>
      <c r="B768" s="63" t="s">
        <v>1262</v>
      </c>
      <c r="C768" s="63"/>
      <c r="E768" s="63" t="s">
        <v>1263</v>
      </c>
      <c r="F768" s="21" t="s">
        <v>2135</v>
      </c>
      <c r="G768" s="69" t="s">
        <v>2308</v>
      </c>
      <c r="H768" s="63" t="s">
        <v>1264</v>
      </c>
      <c r="I768" s="63" t="s">
        <v>1261</v>
      </c>
      <c r="J768" s="65">
        <v>6306</v>
      </c>
      <c r="K768" s="65">
        <v>1045</v>
      </c>
      <c r="L768" s="26">
        <f t="shared" si="44"/>
        <v>7351</v>
      </c>
      <c r="M768" s="26">
        <f t="array" ref="M768">MEDIAN(IF($F$3:$F$810=F768,$L$3:$L$810))</f>
        <v>7234</v>
      </c>
      <c r="N768" s="65">
        <v>7351</v>
      </c>
      <c r="O768" s="62">
        <v>0</v>
      </c>
      <c r="P768" s="76">
        <f>IF(N768&lt;INDEX(Sectorwise!E:E,MATCH(F768,Sectorwise!A:A,0)),1,0)</f>
        <v>0</v>
      </c>
      <c r="Q768" s="76">
        <f>IF(AND(N768&gt;=INDEX(Sectorwise!E:E,MATCH(F768,Sectorwise!A:A,0)),N768&lt;=INDEX(Sectorwise!F:F,MATCH(F768,Sectorwise!A:A,0))),1,0)</f>
        <v>1</v>
      </c>
      <c r="R768" s="76">
        <f>IF(N768&gt;INDEX(Sectorwise!F:F,MATCH(F768,Sectorwise!A:A,0)),1,0)</f>
        <v>0</v>
      </c>
      <c r="S768" s="27">
        <f t="shared" si="45"/>
        <v>0</v>
      </c>
      <c r="T768" s="27">
        <f t="shared" si="46"/>
        <v>7351</v>
      </c>
      <c r="U768" s="27">
        <f t="shared" si="47"/>
        <v>0</v>
      </c>
      <c r="V768" s="95">
        <f>IF(R768=1,(N768-INDEX(Sectorwise!F:F,MATCH(F768,Sectorwise!A:A,0))),0)</f>
        <v>0</v>
      </c>
      <c r="W768" s="97">
        <f>POISSON(N768,INDEX(Sectorwise!D:D,MATCH(Travel!F475,Sectorwise!A:A,0)),TRUE)</f>
        <v>0.23961267638003594</v>
      </c>
    </row>
    <row r="769" spans="1:24" ht="15.75" hidden="1" customHeight="1" x14ac:dyDescent="0.2">
      <c r="A769" s="33" t="s">
        <v>274</v>
      </c>
      <c r="B769" s="33" t="s">
        <v>283</v>
      </c>
      <c r="C769" s="40"/>
      <c r="D769" s="35"/>
      <c r="E769" s="33" t="s">
        <v>284</v>
      </c>
      <c r="F769" s="33" t="s">
        <v>2158</v>
      </c>
      <c r="G769" s="69" t="s">
        <v>2308</v>
      </c>
      <c r="H769" s="33" t="s">
        <v>285</v>
      </c>
      <c r="I769" s="33" t="s">
        <v>243</v>
      </c>
      <c r="J769" s="42">
        <v>16562</v>
      </c>
      <c r="K769" s="45">
        <v>2933</v>
      </c>
      <c r="L769" s="26">
        <f t="shared" si="44"/>
        <v>19495</v>
      </c>
      <c r="M769" s="26">
        <f t="array" ref="M769">MEDIAN(IF($F$3:$F$810=F769,$L$3:$L$810))</f>
        <v>20521</v>
      </c>
      <c r="N769" s="43">
        <f>+J769+K769</f>
        <v>19495</v>
      </c>
      <c r="O769" s="38"/>
      <c r="P769" s="76">
        <f>IF(N769&lt;INDEX(Sectorwise!E:E,MATCH(F769,Sectorwise!A:A,0)),1,0)</f>
        <v>0</v>
      </c>
      <c r="Q769" s="76">
        <f>IF(AND(N769&gt;=INDEX(Sectorwise!E:E,MATCH(F769,Sectorwise!A:A,0)),N769&lt;=INDEX(Sectorwise!F:F,MATCH(F769,Sectorwise!A:A,0))),1,0)</f>
        <v>1</v>
      </c>
      <c r="R769" s="76">
        <f>IF(N769&gt;INDEX(Sectorwise!F:F,MATCH(F769,Sectorwise!A:A,0)),1,0)</f>
        <v>0</v>
      </c>
      <c r="S769" s="27">
        <f t="shared" si="45"/>
        <v>0</v>
      </c>
      <c r="T769" s="27">
        <f t="shared" si="46"/>
        <v>19495</v>
      </c>
      <c r="U769" s="27">
        <f t="shared" si="47"/>
        <v>0</v>
      </c>
      <c r="V769" s="95">
        <f>IF(R769=1,(N769-INDEX(Sectorwise!F:F,MATCH(F769,Sectorwise!A:A,0))),0)</f>
        <v>0</v>
      </c>
      <c r="W769" s="97">
        <f>POISSON(N769,INDEX(Sectorwise!D:D,MATCH(Travel!F106,Sectorwise!A:A,0)),TRUE)</f>
        <v>2.6288888169647504E-13</v>
      </c>
      <c r="X769" s="44">
        <f>+N769-O769</f>
        <v>19495</v>
      </c>
    </row>
    <row r="770" spans="1:24" ht="15.75" hidden="1" customHeight="1" x14ac:dyDescent="0.2">
      <c r="A770" s="63" t="s">
        <v>1837</v>
      </c>
      <c r="B770" s="63" t="s">
        <v>1858</v>
      </c>
      <c r="C770" s="63"/>
      <c r="E770" s="63" t="s">
        <v>1859</v>
      </c>
      <c r="F770" s="29" t="s">
        <v>2134</v>
      </c>
      <c r="G770" s="69" t="s">
        <v>2308</v>
      </c>
      <c r="H770" s="63" t="s">
        <v>1860</v>
      </c>
      <c r="I770" s="63" t="s">
        <v>1807</v>
      </c>
      <c r="J770" s="65">
        <v>5766</v>
      </c>
      <c r="K770" s="65">
        <v>1053</v>
      </c>
      <c r="L770" s="26">
        <f t="shared" si="44"/>
        <v>6819</v>
      </c>
      <c r="M770" s="26">
        <f t="array" ref="M770">MEDIAN(IF($F$3:$F$810=F770,$L$3:$L$810))</f>
        <v>7412.5</v>
      </c>
      <c r="N770" s="65">
        <v>6819</v>
      </c>
      <c r="O770" s="62">
        <v>0</v>
      </c>
      <c r="P770" s="76">
        <f>IF(N770&lt;INDEX(Sectorwise!E:E,MATCH(F770,Sectorwise!A:A,0)),1,0)</f>
        <v>0</v>
      </c>
      <c r="Q770" s="76">
        <f>IF(AND(N770&gt;=INDEX(Sectorwise!E:E,MATCH(F770,Sectorwise!A:A,0)),N770&lt;=INDEX(Sectorwise!F:F,MATCH(F770,Sectorwise!A:A,0))),1,0)</f>
        <v>1</v>
      </c>
      <c r="R770" s="76">
        <f>IF(N770&gt;INDEX(Sectorwise!F:F,MATCH(F770,Sectorwise!A:A,0)),1,0)</f>
        <v>0</v>
      </c>
      <c r="S770" s="27">
        <f t="shared" si="45"/>
        <v>0</v>
      </c>
      <c r="T770" s="27">
        <f t="shared" si="46"/>
        <v>6819</v>
      </c>
      <c r="U770" s="27">
        <f t="shared" si="47"/>
        <v>0</v>
      </c>
      <c r="V770" s="95">
        <f>IF(R770=1,(N770-INDEX(Sectorwise!F:F,MATCH(F770,Sectorwise!A:A,0))),0)</f>
        <v>0</v>
      </c>
      <c r="W770" s="97">
        <f>POISSON(N770,INDEX(Sectorwise!D:D,MATCH(Travel!F706,Sectorwise!A:A,0)),TRUE)</f>
        <v>3.4365756141508716E-261</v>
      </c>
    </row>
    <row r="771" spans="1:24" ht="15.75" hidden="1" customHeight="1" x14ac:dyDescent="0.2">
      <c r="A771" s="63" t="s">
        <v>1447</v>
      </c>
      <c r="B771" s="63" t="s">
        <v>1451</v>
      </c>
      <c r="C771" s="63"/>
      <c r="E771" s="63" t="s">
        <v>1454</v>
      </c>
      <c r="F771" s="33" t="s">
        <v>2208</v>
      </c>
      <c r="G771" s="69" t="s">
        <v>2308</v>
      </c>
      <c r="H771" s="63" t="s">
        <v>1452</v>
      </c>
      <c r="I771" s="63" t="s">
        <v>1453</v>
      </c>
      <c r="J771" s="65">
        <v>8670</v>
      </c>
      <c r="K771" s="65">
        <v>1927</v>
      </c>
      <c r="L771" s="26">
        <f t="shared" ref="L771:L810" si="48">J771+K771</f>
        <v>10597</v>
      </c>
      <c r="M771" s="26">
        <f t="array" ref="M771">MEDIAN(IF($F$3:$F$810=F771,$L$3:$L$810))</f>
        <v>10597</v>
      </c>
      <c r="N771" s="57">
        <f>J771+K771</f>
        <v>10597</v>
      </c>
      <c r="O771" s="62">
        <v>0</v>
      </c>
      <c r="P771" s="76">
        <f>IF(N771&lt;INDEX(Sectorwise!E:E,MATCH(F771,Sectorwise!A:A,0)),1,0)</f>
        <v>0</v>
      </c>
      <c r="Q771" s="76">
        <f>IF(AND(N771&gt;=INDEX(Sectorwise!E:E,MATCH(F771,Sectorwise!A:A,0)),N771&lt;=INDEX(Sectorwise!F:F,MATCH(F771,Sectorwise!A:A,0))),1,0)</f>
        <v>1</v>
      </c>
      <c r="R771" s="76">
        <f>IF(N771&gt;INDEX(Sectorwise!F:F,MATCH(F771,Sectorwise!A:A,0)),1,0)</f>
        <v>0</v>
      </c>
      <c r="S771" s="27">
        <f t="shared" ref="S771:S810" si="49">IF(P771=0,0,N771)</f>
        <v>0</v>
      </c>
      <c r="T771" s="27">
        <f t="shared" ref="T771:T810" si="50">IF(Q771=0,0,N771)</f>
        <v>10597</v>
      </c>
      <c r="U771" s="27">
        <f t="shared" ref="U771:U810" si="51">IF(R771=0,0,N771)</f>
        <v>0</v>
      </c>
      <c r="V771" s="95">
        <f>IF(R771=1,(N771-INDEX(Sectorwise!F:F,MATCH(F771,Sectorwise!A:A,0))),0)</f>
        <v>0</v>
      </c>
      <c r="W771" s="97">
        <f>POISSON(N771,INDEX(Sectorwise!D:D,MATCH(Travel!F545,Sectorwise!A:A,0)),TRUE)</f>
        <v>0.99537345642214969</v>
      </c>
    </row>
    <row r="772" spans="1:24" ht="15.75" hidden="1" customHeight="1" x14ac:dyDescent="0.2">
      <c r="A772" s="33" t="s">
        <v>274</v>
      </c>
      <c r="B772" s="33" t="s">
        <v>275</v>
      </c>
      <c r="C772" s="34"/>
      <c r="D772" s="35"/>
      <c r="E772" s="33" t="s">
        <v>40</v>
      </c>
      <c r="F772" s="21" t="s">
        <v>2147</v>
      </c>
      <c r="G772" s="69" t="s">
        <v>2308</v>
      </c>
      <c r="H772" s="33" t="s">
        <v>276</v>
      </c>
      <c r="I772" s="33" t="s">
        <v>243</v>
      </c>
      <c r="J772" s="42">
        <v>10149</v>
      </c>
      <c r="K772" s="43">
        <v>1881</v>
      </c>
      <c r="L772" s="26">
        <f t="shared" si="48"/>
        <v>12030</v>
      </c>
      <c r="M772" s="26">
        <f t="array" ref="M772">MEDIAN(IF($F$3:$F$810=F772,$L$3:$L$810))</f>
        <v>10605</v>
      </c>
      <c r="N772" s="43">
        <f>+J772+K772</f>
        <v>12030</v>
      </c>
      <c r="O772" s="38"/>
      <c r="P772" s="76">
        <f>IF(N772&lt;INDEX(Sectorwise!E:E,MATCH(F772,Sectorwise!A:A,0)),1,0)</f>
        <v>0</v>
      </c>
      <c r="Q772" s="76">
        <f>IF(AND(N772&gt;=INDEX(Sectorwise!E:E,MATCH(F772,Sectorwise!A:A,0)),N772&lt;=INDEX(Sectorwise!F:F,MATCH(F772,Sectorwise!A:A,0))),1,0)</f>
        <v>0</v>
      </c>
      <c r="R772" s="76">
        <f>IF(N772&gt;INDEX(Sectorwise!F:F,MATCH(F772,Sectorwise!A:A,0)),1,0)</f>
        <v>1</v>
      </c>
      <c r="S772" s="27">
        <f t="shared" si="49"/>
        <v>0</v>
      </c>
      <c r="T772" s="27">
        <f t="shared" si="50"/>
        <v>0</v>
      </c>
      <c r="U772" s="27">
        <f t="shared" si="51"/>
        <v>12030</v>
      </c>
      <c r="V772" s="95">
        <f>IF(R772=1,(N772-INDEX(Sectorwise!F:F,MATCH(F772,Sectorwise!A:A,0))),0)</f>
        <v>330</v>
      </c>
      <c r="W772" s="97">
        <f>POISSON(N772,INDEX(Sectorwise!D:D,MATCH(Travel!F103,Sectorwise!A:A,0)),TRUE)</f>
        <v>1.3822707006599824E-92</v>
      </c>
      <c r="X772" s="44">
        <f>+N772-O772</f>
        <v>12030</v>
      </c>
    </row>
    <row r="773" spans="1:24" ht="15.75" hidden="1" customHeight="1" x14ac:dyDescent="0.2">
      <c r="A773" s="21" t="s">
        <v>32</v>
      </c>
      <c r="B773" s="21" t="s">
        <v>39</v>
      </c>
      <c r="C773" s="22"/>
      <c r="D773" s="23" t="s">
        <v>16</v>
      </c>
      <c r="E773" s="21" t="s">
        <v>40</v>
      </c>
      <c r="F773" s="21" t="s">
        <v>2240</v>
      </c>
      <c r="G773" s="21" t="s">
        <v>2332</v>
      </c>
      <c r="H773" s="21" t="s">
        <v>42</v>
      </c>
      <c r="I773" s="21" t="s">
        <v>43</v>
      </c>
      <c r="J773" s="25">
        <v>637</v>
      </c>
      <c r="K773" s="26">
        <v>112</v>
      </c>
      <c r="L773" s="26">
        <f t="shared" si="48"/>
        <v>749</v>
      </c>
      <c r="M773" s="26">
        <f t="array" ref="M773">MEDIAN(IF($F$3:$F$810=F773,$L$3:$L$810))</f>
        <v>749</v>
      </c>
      <c r="N773" s="26">
        <v>749</v>
      </c>
      <c r="O773" s="27"/>
      <c r="P773" s="76">
        <f>IF(N773&lt;INDEX(Sectorwise!E:E,MATCH(F773,Sectorwise!A:A,0)),1,0)</f>
        <v>0</v>
      </c>
      <c r="Q773" s="76">
        <f>IF(AND(N773&gt;=INDEX(Sectorwise!E:E,MATCH(F773,Sectorwise!A:A,0)),N773&lt;=INDEX(Sectorwise!F:F,MATCH(F773,Sectorwise!A:A,0))),1,0)</f>
        <v>1</v>
      </c>
      <c r="R773" s="76">
        <f>IF(N773&gt;INDEX(Sectorwise!F:F,MATCH(F773,Sectorwise!A:A,0)),1,0)</f>
        <v>0</v>
      </c>
      <c r="S773" s="27">
        <f t="shared" si="49"/>
        <v>0</v>
      </c>
      <c r="T773" s="27">
        <f t="shared" si="50"/>
        <v>749</v>
      </c>
      <c r="U773" s="27">
        <f t="shared" si="51"/>
        <v>0</v>
      </c>
      <c r="V773" s="95">
        <f>IF(R773=1,(N773-INDEX(Sectorwise!F:F,MATCH(F773,Sectorwise!A:A,0))),0)</f>
        <v>0</v>
      </c>
      <c r="W773" s="97">
        <f>POISSON(N773,INDEX(Sectorwise!D:D,MATCH(Travel!F12,Sectorwise!A:A,0)),TRUE)</f>
        <v>0</v>
      </c>
      <c r="X773" s="28">
        <v>749</v>
      </c>
    </row>
    <row r="774" spans="1:24" ht="15.75" hidden="1" customHeight="1" x14ac:dyDescent="0.2">
      <c r="A774" s="21" t="s">
        <v>32</v>
      </c>
      <c r="B774" s="21" t="s">
        <v>39</v>
      </c>
      <c r="C774" s="30" t="s">
        <v>44</v>
      </c>
      <c r="D774" s="23" t="s">
        <v>16</v>
      </c>
      <c r="E774" s="21" t="s">
        <v>40</v>
      </c>
      <c r="F774" s="21" t="s">
        <v>2241</v>
      </c>
      <c r="G774" s="21" t="s">
        <v>2332</v>
      </c>
      <c r="H774" s="21" t="s">
        <v>45</v>
      </c>
      <c r="I774" s="21" t="s">
        <v>46</v>
      </c>
      <c r="J774" s="25">
        <v>156</v>
      </c>
      <c r="K774" s="26">
        <v>112</v>
      </c>
      <c r="L774" s="26">
        <f t="shared" si="48"/>
        <v>268</v>
      </c>
      <c r="M774" s="26">
        <f t="array" ref="M774">MEDIAN(IF($F$3:$F$810=F774,$L$3:$L$810))</f>
        <v>824</v>
      </c>
      <c r="N774" s="26">
        <v>268</v>
      </c>
      <c r="O774" s="27">
        <v>207</v>
      </c>
      <c r="P774" s="76">
        <f>IF(N774&lt;INDEX(Sectorwise!E:E,MATCH(F774,Sectorwise!A:A,0)),1,0)</f>
        <v>1</v>
      </c>
      <c r="Q774" s="76">
        <f>IF(AND(N774&gt;=INDEX(Sectorwise!E:E,MATCH(F774,Sectorwise!A:A,0)),N774&lt;=INDEX(Sectorwise!F:F,MATCH(F774,Sectorwise!A:A,0))),1,0)</f>
        <v>0</v>
      </c>
      <c r="R774" s="76">
        <f>IF(N774&gt;INDEX(Sectorwise!F:F,MATCH(F774,Sectorwise!A:A,0)),1,0)</f>
        <v>0</v>
      </c>
      <c r="S774" s="27">
        <f t="shared" si="49"/>
        <v>268</v>
      </c>
      <c r="T774" s="27">
        <f t="shared" si="50"/>
        <v>0</v>
      </c>
      <c r="U774" s="27">
        <f t="shared" si="51"/>
        <v>0</v>
      </c>
      <c r="V774" s="95">
        <f>IF(R774=1,(N774-INDEX(Sectorwise!F:F,MATCH(F774,Sectorwise!A:A,0))),0)</f>
        <v>0</v>
      </c>
      <c r="W774" s="97">
        <f>POISSON(N774,INDEX(Sectorwise!D:D,MATCH(Travel!F13,Sectorwise!A:A,0)),TRUE)</f>
        <v>0</v>
      </c>
      <c r="X774" s="28">
        <v>61</v>
      </c>
    </row>
    <row r="775" spans="1:24" ht="15.75" hidden="1" customHeight="1" x14ac:dyDescent="0.2">
      <c r="A775" s="21" t="s">
        <v>49</v>
      </c>
      <c r="B775" s="21" t="s">
        <v>50</v>
      </c>
      <c r="C775" s="22"/>
      <c r="D775" s="23" t="s">
        <v>16</v>
      </c>
      <c r="E775" s="21" t="s">
        <v>40</v>
      </c>
      <c r="F775" s="21" t="s">
        <v>2241</v>
      </c>
      <c r="G775" s="21" t="s">
        <v>2332</v>
      </c>
      <c r="H775" s="21" t="s">
        <v>51</v>
      </c>
      <c r="I775" s="21" t="s">
        <v>46</v>
      </c>
      <c r="J775" s="25">
        <v>712</v>
      </c>
      <c r="K775" s="26">
        <v>112</v>
      </c>
      <c r="L775" s="26">
        <f t="shared" si="48"/>
        <v>824</v>
      </c>
      <c r="M775" s="26">
        <f t="array" ref="M775">MEDIAN(IF($F$3:$F$810=F775,$L$3:$L$810))</f>
        <v>824</v>
      </c>
      <c r="N775" s="26">
        <v>824</v>
      </c>
      <c r="O775" s="27"/>
      <c r="P775" s="76">
        <f>IF(N775&lt;INDEX(Sectorwise!E:E,MATCH(F775,Sectorwise!A:A,0)),1,0)</f>
        <v>0</v>
      </c>
      <c r="Q775" s="76">
        <f>IF(AND(N775&gt;=INDEX(Sectorwise!E:E,MATCH(F775,Sectorwise!A:A,0)),N775&lt;=INDEX(Sectorwise!F:F,MATCH(F775,Sectorwise!A:A,0))),1,0)</f>
        <v>1</v>
      </c>
      <c r="R775" s="76">
        <f>IF(N775&gt;INDEX(Sectorwise!F:F,MATCH(F775,Sectorwise!A:A,0)),1,0)</f>
        <v>0</v>
      </c>
      <c r="S775" s="27">
        <f t="shared" si="49"/>
        <v>0</v>
      </c>
      <c r="T775" s="27">
        <f t="shared" si="50"/>
        <v>824</v>
      </c>
      <c r="U775" s="27">
        <f t="shared" si="51"/>
        <v>0</v>
      </c>
      <c r="V775" s="95">
        <f>IF(R775=1,(N775-INDEX(Sectorwise!F:F,MATCH(F775,Sectorwise!A:A,0))),0)</f>
        <v>0</v>
      </c>
      <c r="W775" s="97">
        <f>POISSON(N775,INDEX(Sectorwise!D:D,MATCH(Travel!F15,Sectorwise!A:A,0)),TRUE)</f>
        <v>0</v>
      </c>
      <c r="X775" s="28">
        <v>824</v>
      </c>
    </row>
    <row r="776" spans="1:24" ht="15.75" hidden="1" customHeight="1" x14ac:dyDescent="0.2">
      <c r="A776" s="33" t="s">
        <v>274</v>
      </c>
      <c r="B776" s="33" t="s">
        <v>277</v>
      </c>
      <c r="C776" s="40"/>
      <c r="D776" s="35"/>
      <c r="E776" s="33" t="s">
        <v>40</v>
      </c>
      <c r="F776" s="21" t="s">
        <v>2149</v>
      </c>
      <c r="G776" s="69" t="s">
        <v>2308</v>
      </c>
      <c r="H776" s="33" t="s">
        <v>278</v>
      </c>
      <c r="I776" s="33" t="s">
        <v>279</v>
      </c>
      <c r="J776" s="42">
        <v>8306</v>
      </c>
      <c r="K776" s="45">
        <v>1398</v>
      </c>
      <c r="L776" s="26">
        <f t="shared" si="48"/>
        <v>9704</v>
      </c>
      <c r="M776" s="26">
        <f t="array" ref="M776">MEDIAN(IF($F$3:$F$810=F776,$L$3:$L$810))</f>
        <v>10332</v>
      </c>
      <c r="N776" s="43">
        <f>+J776+K776</f>
        <v>9704</v>
      </c>
      <c r="O776" s="38"/>
      <c r="P776" s="76">
        <f>IF(N776&lt;INDEX(Sectorwise!E:E,MATCH(F776,Sectorwise!A:A,0)),1,0)</f>
        <v>0</v>
      </c>
      <c r="Q776" s="76">
        <f>IF(AND(N776&gt;=INDEX(Sectorwise!E:E,MATCH(F776,Sectorwise!A:A,0)),N776&lt;=INDEX(Sectorwise!F:F,MATCH(F776,Sectorwise!A:A,0))),1,0)</f>
        <v>1</v>
      </c>
      <c r="R776" s="76">
        <f>IF(N776&gt;INDEX(Sectorwise!F:F,MATCH(F776,Sectorwise!A:A,0)),1,0)</f>
        <v>0</v>
      </c>
      <c r="S776" s="27">
        <f t="shared" si="49"/>
        <v>0</v>
      </c>
      <c r="T776" s="27">
        <f t="shared" si="50"/>
        <v>9704</v>
      </c>
      <c r="U776" s="27">
        <f t="shared" si="51"/>
        <v>0</v>
      </c>
      <c r="V776" s="95">
        <f>IF(R776=1,(N776-INDEX(Sectorwise!F:F,MATCH(F776,Sectorwise!A:A,0))),0)</f>
        <v>0</v>
      </c>
      <c r="W776" s="97">
        <f>POISSON(N776,INDEX(Sectorwise!D:D,MATCH(Travel!F104,Sectorwise!A:A,0)),TRUE)</f>
        <v>0</v>
      </c>
      <c r="X776" s="44">
        <f>+N776-O776</f>
        <v>9704</v>
      </c>
    </row>
    <row r="777" spans="1:24" ht="15.75" hidden="1" customHeight="1" x14ac:dyDescent="0.2">
      <c r="A777" s="63" t="s">
        <v>1549</v>
      </c>
      <c r="B777" s="63" t="s">
        <v>1552</v>
      </c>
      <c r="C777" s="63"/>
      <c r="E777" s="63" t="s">
        <v>1553</v>
      </c>
      <c r="F777" s="63" t="s">
        <v>2167</v>
      </c>
      <c r="G777" s="63" t="s">
        <v>2314</v>
      </c>
      <c r="H777" s="63" t="s">
        <v>1554</v>
      </c>
      <c r="I777" s="63" t="s">
        <v>1501</v>
      </c>
      <c r="J777" s="65">
        <v>0</v>
      </c>
      <c r="K777" s="65">
        <v>9000</v>
      </c>
      <c r="L777" s="26">
        <f t="shared" si="48"/>
        <v>9000</v>
      </c>
      <c r="M777" s="26">
        <f t="array" ref="M777">MEDIAN(IF($F$3:$F$810=F777,$L$3:$L$810))</f>
        <v>9000</v>
      </c>
      <c r="N777" s="65">
        <v>9000</v>
      </c>
      <c r="O777" s="62">
        <v>0</v>
      </c>
      <c r="P777" s="76">
        <f>IF(N777&lt;INDEX(Sectorwise!E:E,MATCH(F777,Sectorwise!A:A,0)),1,0)</f>
        <v>0</v>
      </c>
      <c r="Q777" s="76">
        <f>IF(AND(N777&gt;=INDEX(Sectorwise!E:E,MATCH(F777,Sectorwise!A:A,0)),N777&lt;=INDEX(Sectorwise!F:F,MATCH(F777,Sectorwise!A:A,0))),1,0)</f>
        <v>1</v>
      </c>
      <c r="R777" s="76">
        <f>IF(N777&gt;INDEX(Sectorwise!F:F,MATCH(F777,Sectorwise!A:A,0)),1,0)</f>
        <v>0</v>
      </c>
      <c r="S777" s="27">
        <f t="shared" si="49"/>
        <v>0</v>
      </c>
      <c r="T777" s="27">
        <f t="shared" si="50"/>
        <v>9000</v>
      </c>
      <c r="U777" s="27">
        <f t="shared" si="51"/>
        <v>0</v>
      </c>
      <c r="V777" s="95">
        <f>IF(R777=1,(N777-INDEX(Sectorwise!F:F,MATCH(F777,Sectorwise!A:A,0))),0)</f>
        <v>0</v>
      </c>
      <c r="W777" s="97">
        <f>POISSON(N777,INDEX(Sectorwise!D:D,MATCH(Travel!F587,Sectorwise!A:A,0)),TRUE)</f>
        <v>0</v>
      </c>
    </row>
    <row r="778" spans="1:24" ht="15.75" hidden="1" customHeight="1" x14ac:dyDescent="0.2">
      <c r="A778" s="21" t="s">
        <v>141</v>
      </c>
      <c r="B778" s="21" t="s">
        <v>151</v>
      </c>
      <c r="C778" s="22"/>
      <c r="D778" s="32"/>
      <c r="E778" s="21" t="s">
        <v>152</v>
      </c>
      <c r="F778" s="29" t="s">
        <v>2134</v>
      </c>
      <c r="G778" s="60" t="s">
        <v>2316</v>
      </c>
      <c r="H778" s="21" t="s">
        <v>153</v>
      </c>
      <c r="I778" s="21" t="s">
        <v>58</v>
      </c>
      <c r="J778" s="25">
        <v>6820</v>
      </c>
      <c r="K778" s="25">
        <v>3702</v>
      </c>
      <c r="L778" s="26">
        <f t="shared" si="48"/>
        <v>10522</v>
      </c>
      <c r="M778" s="26">
        <f t="array" ref="M778">MEDIAN(IF($F$3:$F$810=F778,$L$3:$L$810))</f>
        <v>7412.5</v>
      </c>
      <c r="N778" s="26">
        <v>10522</v>
      </c>
      <c r="O778" s="27"/>
      <c r="P778" s="76">
        <f>IF(N778&lt;INDEX(Sectorwise!E:E,MATCH(F778,Sectorwise!A:A,0)),1,0)</f>
        <v>0</v>
      </c>
      <c r="Q778" s="76">
        <f>IF(AND(N778&gt;=INDEX(Sectorwise!E:E,MATCH(F778,Sectorwise!A:A,0)),N778&lt;=INDEX(Sectorwise!F:F,MATCH(F778,Sectorwise!A:A,0))),1,0)</f>
        <v>0</v>
      </c>
      <c r="R778" s="76">
        <f>IF(N778&gt;INDEX(Sectorwise!F:F,MATCH(F778,Sectorwise!A:A,0)),1,0)</f>
        <v>1</v>
      </c>
      <c r="S778" s="27">
        <f t="shared" si="49"/>
        <v>0</v>
      </c>
      <c r="T778" s="27">
        <f t="shared" si="50"/>
        <v>0</v>
      </c>
      <c r="U778" s="27">
        <f t="shared" si="51"/>
        <v>10522</v>
      </c>
      <c r="V778" s="95">
        <f>IF(R778=1,(N778-INDEX(Sectorwise!F:F,MATCH(F778,Sectorwise!A:A,0))),0)</f>
        <v>2322</v>
      </c>
      <c r="W778" s="97">
        <f>POISSON(N778,INDEX(Sectorwise!D:D,MATCH(Travel!F53,Sectorwise!A:A,0)),TRUE)</f>
        <v>0.99999426472596131</v>
      </c>
      <c r="X778" s="28">
        <v>10522</v>
      </c>
    </row>
    <row r="779" spans="1:24" ht="15.75" hidden="1" customHeight="1" x14ac:dyDescent="0.2">
      <c r="A779" s="21" t="s">
        <v>141</v>
      </c>
      <c r="B779" s="21" t="s">
        <v>151</v>
      </c>
      <c r="C779" s="22"/>
      <c r="D779" s="32"/>
      <c r="E779" s="21" t="s">
        <v>152</v>
      </c>
      <c r="F779" s="21" t="s">
        <v>2135</v>
      </c>
      <c r="G779" s="63" t="s">
        <v>2312</v>
      </c>
      <c r="H779" s="21" t="s">
        <v>154</v>
      </c>
      <c r="I779" s="21" t="s">
        <v>58</v>
      </c>
      <c r="J779" s="25">
        <v>3940</v>
      </c>
      <c r="K779" s="25">
        <v>3171</v>
      </c>
      <c r="L779" s="26">
        <f t="shared" si="48"/>
        <v>7111</v>
      </c>
      <c r="M779" s="26">
        <f t="array" ref="M779">MEDIAN(IF($F$3:$F$810=F779,$L$3:$L$810))</f>
        <v>7234</v>
      </c>
      <c r="N779" s="26">
        <v>7111</v>
      </c>
      <c r="O779" s="27"/>
      <c r="P779" s="76">
        <f>IF(N779&lt;INDEX(Sectorwise!E:E,MATCH(F779,Sectorwise!A:A,0)),1,0)</f>
        <v>0</v>
      </c>
      <c r="Q779" s="76">
        <f>IF(AND(N779&gt;=INDEX(Sectorwise!E:E,MATCH(F779,Sectorwise!A:A,0)),N779&lt;=INDEX(Sectorwise!F:F,MATCH(F779,Sectorwise!A:A,0))),1,0)</f>
        <v>1</v>
      </c>
      <c r="R779" s="76">
        <f>IF(N779&gt;INDEX(Sectorwise!F:F,MATCH(F779,Sectorwise!A:A,0)),1,0)</f>
        <v>0</v>
      </c>
      <c r="S779" s="27">
        <f t="shared" si="49"/>
        <v>0</v>
      </c>
      <c r="T779" s="27">
        <f t="shared" si="50"/>
        <v>7111</v>
      </c>
      <c r="U779" s="27">
        <f t="shared" si="51"/>
        <v>0</v>
      </c>
      <c r="V779" s="95">
        <f>IF(R779=1,(N779-INDEX(Sectorwise!F:F,MATCH(F779,Sectorwise!A:A,0))),0)</f>
        <v>0</v>
      </c>
      <c r="W779" s="97">
        <f>POISSON(N779,INDEX(Sectorwise!D:D,MATCH(Travel!F54,Sectorwise!A:A,0)),TRUE)</f>
        <v>2.7664210312475268E-214</v>
      </c>
      <c r="X779" s="28">
        <v>7111</v>
      </c>
    </row>
    <row r="780" spans="1:24" ht="15.75" hidden="1" customHeight="1" x14ac:dyDescent="0.2">
      <c r="A780" s="29" t="s">
        <v>1638</v>
      </c>
      <c r="B780" s="29" t="s">
        <v>1641</v>
      </c>
      <c r="C780" s="29"/>
      <c r="E780" s="29" t="s">
        <v>1642</v>
      </c>
      <c r="F780" s="21" t="s">
        <v>2153</v>
      </c>
      <c r="G780" s="69" t="s">
        <v>2308</v>
      </c>
      <c r="H780" s="29" t="s">
        <v>1643</v>
      </c>
      <c r="I780" s="29" t="s">
        <v>1522</v>
      </c>
      <c r="J780" s="65">
        <v>7959</v>
      </c>
      <c r="K780" s="65">
        <v>1379</v>
      </c>
      <c r="L780" s="26">
        <f t="shared" si="48"/>
        <v>9338</v>
      </c>
      <c r="M780" s="26">
        <f t="array" ref="M780">MEDIAN(IF($F$3:$F$810=F780,$L$3:$L$810))</f>
        <v>9855</v>
      </c>
      <c r="N780" s="65">
        <v>9338</v>
      </c>
      <c r="O780" s="62" t="e">
        <f>N780-#REF!</f>
        <v>#REF!</v>
      </c>
      <c r="P780" s="76">
        <f>IF(N780&lt;INDEX(Sectorwise!E:E,MATCH(F780,Sectorwise!A:A,0)),1,0)</f>
        <v>0</v>
      </c>
      <c r="Q780" s="76">
        <f>IF(AND(N780&gt;=INDEX(Sectorwise!E:E,MATCH(F780,Sectorwise!A:A,0)),N780&lt;=INDEX(Sectorwise!F:F,MATCH(F780,Sectorwise!A:A,0))),1,0)</f>
        <v>1</v>
      </c>
      <c r="R780" s="76">
        <f>IF(N780&gt;INDEX(Sectorwise!F:F,MATCH(F780,Sectorwise!A:A,0)),1,0)</f>
        <v>0</v>
      </c>
      <c r="S780" s="27">
        <f t="shared" si="49"/>
        <v>0</v>
      </c>
      <c r="T780" s="27">
        <f t="shared" si="50"/>
        <v>9338</v>
      </c>
      <c r="U780" s="27">
        <f t="shared" si="51"/>
        <v>0</v>
      </c>
      <c r="V780" s="95">
        <f>IF(R780=1,(N780-INDEX(Sectorwise!F:F,MATCH(F780,Sectorwise!A:A,0))),0)</f>
        <v>0</v>
      </c>
      <c r="W780" s="97">
        <f>POISSON(N780,INDEX(Sectorwise!D:D,MATCH(Travel!F626,Sectorwise!A:A,0)),TRUE)</f>
        <v>1</v>
      </c>
    </row>
    <row r="781" spans="1:24" ht="15.75" hidden="1" customHeight="1" x14ac:dyDescent="0.2">
      <c r="A781" s="60" t="s">
        <v>895</v>
      </c>
      <c r="B781" s="60" t="s">
        <v>896</v>
      </c>
      <c r="C781" s="60"/>
      <c r="E781" s="60" t="s">
        <v>897</v>
      </c>
      <c r="F781" s="21" t="s">
        <v>2135</v>
      </c>
      <c r="G781" s="56" t="s">
        <v>2309</v>
      </c>
      <c r="H781" s="60" t="s">
        <v>898</v>
      </c>
      <c r="I781" s="60" t="s">
        <v>899</v>
      </c>
      <c r="J781" s="61">
        <v>19981</v>
      </c>
      <c r="K781" s="61">
        <v>2751</v>
      </c>
      <c r="L781" s="26">
        <f t="shared" si="48"/>
        <v>22732</v>
      </c>
      <c r="M781" s="26">
        <f t="array" ref="M781">MEDIAN(IF($F$3:$F$810=F781,$L$3:$L$810))</f>
        <v>7234</v>
      </c>
      <c r="N781" s="61">
        <v>22732</v>
      </c>
      <c r="O781" s="62">
        <v>0</v>
      </c>
      <c r="P781" s="76">
        <f>IF(N781&lt;INDEX(Sectorwise!E:E,MATCH(F781,Sectorwise!A:A,0)),1,0)</f>
        <v>0</v>
      </c>
      <c r="Q781" s="76">
        <f>IF(AND(N781&gt;=INDEX(Sectorwise!E:E,MATCH(F781,Sectorwise!A:A,0)),N781&lt;=INDEX(Sectorwise!F:F,MATCH(F781,Sectorwise!A:A,0))),1,0)</f>
        <v>0</v>
      </c>
      <c r="R781" s="76">
        <f>IF(N781&gt;INDEX(Sectorwise!F:F,MATCH(F781,Sectorwise!A:A,0)),1,0)</f>
        <v>1</v>
      </c>
      <c r="S781" s="27">
        <f t="shared" si="49"/>
        <v>0</v>
      </c>
      <c r="T781" s="27">
        <f t="shared" si="50"/>
        <v>0</v>
      </c>
      <c r="U781" s="27">
        <f t="shared" si="51"/>
        <v>22732</v>
      </c>
      <c r="V781" s="95">
        <f>IF(R781=1,(N781-INDEX(Sectorwise!F:F,MATCH(F781,Sectorwise!A:A,0))),0)</f>
        <v>14732</v>
      </c>
      <c r="W781" s="97">
        <f>POISSON(N781,INDEX(Sectorwise!D:D,MATCH(Travel!F337,Sectorwise!A:A,0)),TRUE)</f>
        <v>1</v>
      </c>
    </row>
    <row r="782" spans="1:24" ht="15.75" hidden="1" customHeight="1" x14ac:dyDescent="0.2">
      <c r="A782" s="21" t="s">
        <v>20</v>
      </c>
      <c r="B782" s="21" t="s">
        <v>21</v>
      </c>
      <c r="C782" s="22"/>
      <c r="D782" s="23" t="s">
        <v>16</v>
      </c>
      <c r="E782" s="21" t="s">
        <v>22</v>
      </c>
      <c r="F782" s="29" t="s">
        <v>2134</v>
      </c>
      <c r="G782" s="63" t="s">
        <v>2312</v>
      </c>
      <c r="H782" s="21" t="s">
        <v>23</v>
      </c>
      <c r="I782" s="21" t="s">
        <v>24</v>
      </c>
      <c r="J782" s="25">
        <v>3190</v>
      </c>
      <c r="K782" s="26">
        <v>3047</v>
      </c>
      <c r="L782" s="26">
        <f t="shared" si="48"/>
        <v>6237</v>
      </c>
      <c r="M782" s="26">
        <f t="array" ref="M782">MEDIAN(IF($F$3:$F$810=F782,$L$3:$L$810))</f>
        <v>7412.5</v>
      </c>
      <c r="N782" s="26">
        <v>6237</v>
      </c>
      <c r="O782" s="27"/>
      <c r="P782" s="76">
        <f>IF(N782&lt;INDEX(Sectorwise!E:E,MATCH(F782,Sectorwise!A:A,0)),1,0)</f>
        <v>1</v>
      </c>
      <c r="Q782" s="76">
        <f>IF(AND(N782&gt;=INDEX(Sectorwise!E:E,MATCH(F782,Sectorwise!A:A,0)),N782&lt;=INDEX(Sectorwise!F:F,MATCH(F782,Sectorwise!A:A,0))),1,0)</f>
        <v>0</v>
      </c>
      <c r="R782" s="76">
        <f>IF(N782&gt;INDEX(Sectorwise!F:F,MATCH(F782,Sectorwise!A:A,0)),1,0)</f>
        <v>0</v>
      </c>
      <c r="S782" s="27">
        <f t="shared" si="49"/>
        <v>6237</v>
      </c>
      <c r="T782" s="27">
        <f t="shared" si="50"/>
        <v>0</v>
      </c>
      <c r="U782" s="27">
        <f t="shared" si="51"/>
        <v>0</v>
      </c>
      <c r="V782" s="95">
        <f>IF(R782=1,(N782-INDEX(Sectorwise!F:F,MATCH(F782,Sectorwise!A:A,0))),0)</f>
        <v>0</v>
      </c>
      <c r="W782" s="97">
        <f>POISSON(N782,INDEX(Sectorwise!D:D,MATCH(Travel!F5,Sectorwise!A:A,0)),TRUE)</f>
        <v>0</v>
      </c>
      <c r="X782" s="28">
        <v>6237</v>
      </c>
    </row>
    <row r="783" spans="1:24" ht="15.75" hidden="1" customHeight="1" x14ac:dyDescent="0.2">
      <c r="A783" s="21" t="s">
        <v>121</v>
      </c>
      <c r="B783" s="21" t="s">
        <v>122</v>
      </c>
      <c r="C783" s="22"/>
      <c r="D783" s="32"/>
      <c r="E783" s="21" t="s">
        <v>22</v>
      </c>
      <c r="F783" s="29" t="s">
        <v>2134</v>
      </c>
      <c r="G783" s="63" t="s">
        <v>2312</v>
      </c>
      <c r="H783" s="21" t="s">
        <v>123</v>
      </c>
      <c r="I783" s="21" t="s">
        <v>46</v>
      </c>
      <c r="J783" s="25">
        <v>3940</v>
      </c>
      <c r="K783" s="25">
        <v>3088</v>
      </c>
      <c r="L783" s="26">
        <f t="shared" si="48"/>
        <v>7028</v>
      </c>
      <c r="M783" s="26">
        <f t="array" ref="M783">MEDIAN(IF($F$3:$F$810=F783,$L$3:$L$810))</f>
        <v>7412.5</v>
      </c>
      <c r="N783" s="26">
        <v>7028</v>
      </c>
      <c r="O783" s="27"/>
      <c r="P783" s="76">
        <f>IF(N783&lt;INDEX(Sectorwise!E:E,MATCH(F783,Sectorwise!A:A,0)),1,0)</f>
        <v>0</v>
      </c>
      <c r="Q783" s="76">
        <f>IF(AND(N783&gt;=INDEX(Sectorwise!E:E,MATCH(F783,Sectorwise!A:A,0)),N783&lt;=INDEX(Sectorwise!F:F,MATCH(F783,Sectorwise!A:A,0))),1,0)</f>
        <v>1</v>
      </c>
      <c r="R783" s="76">
        <f>IF(N783&gt;INDEX(Sectorwise!F:F,MATCH(F783,Sectorwise!A:A,0)),1,0)</f>
        <v>0</v>
      </c>
      <c r="S783" s="27">
        <f t="shared" si="49"/>
        <v>0</v>
      </c>
      <c r="T783" s="27">
        <f t="shared" si="50"/>
        <v>7028</v>
      </c>
      <c r="U783" s="27">
        <f t="shared" si="51"/>
        <v>0</v>
      </c>
      <c r="V783" s="95">
        <f>IF(R783=1,(N783-INDEX(Sectorwise!F:F,MATCH(F783,Sectorwise!A:A,0))),0)</f>
        <v>0</v>
      </c>
      <c r="W783" s="97">
        <f>POISSON(N783,INDEX(Sectorwise!D:D,MATCH(Travel!F41,Sectorwise!A:A,0)),TRUE)</f>
        <v>3.4369533151235216E-6</v>
      </c>
      <c r="X783" s="28">
        <v>7028</v>
      </c>
    </row>
    <row r="784" spans="1:24" ht="15.75" hidden="1" customHeight="1" x14ac:dyDescent="0.2">
      <c r="A784" s="33" t="s">
        <v>395</v>
      </c>
      <c r="B784" s="33" t="s">
        <v>396</v>
      </c>
      <c r="C784" s="40"/>
      <c r="D784" s="35"/>
      <c r="E784" s="33" t="s">
        <v>22</v>
      </c>
      <c r="F784" s="29" t="s">
        <v>2134</v>
      </c>
      <c r="G784" s="63" t="s">
        <v>2312</v>
      </c>
      <c r="H784" s="33" t="s">
        <v>397</v>
      </c>
      <c r="I784" s="33" t="s">
        <v>398</v>
      </c>
      <c r="J784" s="36">
        <v>4400</v>
      </c>
      <c r="K784" s="36">
        <v>3113</v>
      </c>
      <c r="L784" s="26">
        <f t="shared" si="48"/>
        <v>7513</v>
      </c>
      <c r="M784" s="26">
        <f t="array" ref="M784">MEDIAN(IF($F$3:$F$810=F784,$L$3:$L$810))</f>
        <v>7412.5</v>
      </c>
      <c r="N784" s="47">
        <f>+J784+K784</f>
        <v>7513</v>
      </c>
      <c r="O784" s="27"/>
      <c r="P784" s="76">
        <f>IF(N784&lt;INDEX(Sectorwise!E:E,MATCH(F784,Sectorwise!A:A,0)),1,0)</f>
        <v>0</v>
      </c>
      <c r="Q784" s="76">
        <f>IF(AND(N784&gt;=INDEX(Sectorwise!E:E,MATCH(F784,Sectorwise!A:A,0)),N784&lt;=INDEX(Sectorwise!F:F,MATCH(F784,Sectorwise!A:A,0))),1,0)</f>
        <v>1</v>
      </c>
      <c r="R784" s="76">
        <f>IF(N784&gt;INDEX(Sectorwise!F:F,MATCH(F784,Sectorwise!A:A,0)),1,0)</f>
        <v>0</v>
      </c>
      <c r="S784" s="27">
        <f t="shared" si="49"/>
        <v>0</v>
      </c>
      <c r="T784" s="27">
        <f t="shared" si="50"/>
        <v>7513</v>
      </c>
      <c r="U784" s="27">
        <f t="shared" si="51"/>
        <v>0</v>
      </c>
      <c r="V784" s="95">
        <f>IF(R784=1,(N784-INDEX(Sectorwise!F:F,MATCH(F784,Sectorwise!A:A,0))),0)</f>
        <v>0</v>
      </c>
      <c r="W784" s="97">
        <f>POISSON(N784,INDEX(Sectorwise!D:D,MATCH(Travel!F149,Sectorwise!A:A,0)),TRUE)</f>
        <v>0.87948038626058112</v>
      </c>
    </row>
    <row r="785" spans="1:24" ht="15.75" hidden="1" customHeight="1" x14ac:dyDescent="0.2">
      <c r="A785" s="53" t="s">
        <v>561</v>
      </c>
      <c r="B785" s="54" t="s">
        <v>562</v>
      </c>
      <c r="C785" s="22"/>
      <c r="D785" s="32"/>
      <c r="E785" s="21" t="s">
        <v>22</v>
      </c>
      <c r="F785" s="29" t="s">
        <v>2134</v>
      </c>
      <c r="G785" s="63" t="s">
        <v>2312</v>
      </c>
      <c r="H785" s="21" t="s">
        <v>563</v>
      </c>
      <c r="I785" s="21" t="s">
        <v>561</v>
      </c>
      <c r="J785" s="25">
        <v>291</v>
      </c>
      <c r="K785" s="25">
        <v>2885</v>
      </c>
      <c r="L785" s="26">
        <f t="shared" si="48"/>
        <v>3176</v>
      </c>
      <c r="M785" s="26">
        <f t="array" ref="M785">MEDIAN(IF($F$3:$F$810=F785,$L$3:$L$810))</f>
        <v>7412.5</v>
      </c>
      <c r="N785" s="47">
        <v>3176</v>
      </c>
      <c r="O785" s="27"/>
      <c r="P785" s="76">
        <f>IF(N785&lt;INDEX(Sectorwise!E:E,MATCH(F785,Sectorwise!A:A,0)),1,0)</f>
        <v>1</v>
      </c>
      <c r="Q785" s="76">
        <f>IF(AND(N785&gt;=INDEX(Sectorwise!E:E,MATCH(F785,Sectorwise!A:A,0)),N785&lt;=INDEX(Sectorwise!F:F,MATCH(F785,Sectorwise!A:A,0))),1,0)</f>
        <v>0</v>
      </c>
      <c r="R785" s="76">
        <f>IF(N785&gt;INDEX(Sectorwise!F:F,MATCH(F785,Sectorwise!A:A,0)),1,0)</f>
        <v>0</v>
      </c>
      <c r="S785" s="27">
        <f t="shared" si="49"/>
        <v>3176</v>
      </c>
      <c r="T785" s="27">
        <f t="shared" si="50"/>
        <v>0</v>
      </c>
      <c r="U785" s="27">
        <f t="shared" si="51"/>
        <v>0</v>
      </c>
      <c r="V785" s="95">
        <f>IF(R785=1,(N785-INDEX(Sectorwise!F:F,MATCH(F785,Sectorwise!A:A,0))),0)</f>
        <v>0</v>
      </c>
      <c r="W785" s="97">
        <f>POISSON(N785,INDEX(Sectorwise!D:D,MATCH(Travel!F211,Sectorwise!A:A,0)),TRUE)</f>
        <v>0</v>
      </c>
    </row>
    <row r="786" spans="1:24" ht="15.75" hidden="1" customHeight="1" x14ac:dyDescent="0.2">
      <c r="A786" s="21" t="s">
        <v>630</v>
      </c>
      <c r="B786" s="21" t="s">
        <v>644</v>
      </c>
      <c r="C786" s="22"/>
      <c r="E786" s="21" t="s">
        <v>22</v>
      </c>
      <c r="F786" s="29" t="s">
        <v>2134</v>
      </c>
      <c r="G786" s="63" t="s">
        <v>2312</v>
      </c>
      <c r="H786" s="21" t="s">
        <v>645</v>
      </c>
      <c r="I786" s="21" t="s">
        <v>621</v>
      </c>
      <c r="J786" s="25">
        <v>582</v>
      </c>
      <c r="K786" s="25">
        <v>2377</v>
      </c>
      <c r="L786" s="26">
        <f t="shared" si="48"/>
        <v>2959</v>
      </c>
      <c r="M786" s="26">
        <f t="array" ref="M786">MEDIAN(IF($F$3:$F$810=F786,$L$3:$L$810))</f>
        <v>7412.5</v>
      </c>
      <c r="N786" s="47">
        <v>2959</v>
      </c>
      <c r="O786" s="55"/>
      <c r="P786" s="76">
        <f>IF(N786&lt;INDEX(Sectorwise!E:E,MATCH(F786,Sectorwise!A:A,0)),1,0)</f>
        <v>1</v>
      </c>
      <c r="Q786" s="76">
        <f>IF(AND(N786&gt;=INDEX(Sectorwise!E:E,MATCH(F786,Sectorwise!A:A,0)),N786&lt;=INDEX(Sectorwise!F:F,MATCH(F786,Sectorwise!A:A,0))),1,0)</f>
        <v>0</v>
      </c>
      <c r="R786" s="76">
        <f>IF(N786&gt;INDEX(Sectorwise!F:F,MATCH(F786,Sectorwise!A:A,0)),1,0)</f>
        <v>0</v>
      </c>
      <c r="S786" s="27">
        <f t="shared" si="49"/>
        <v>2959</v>
      </c>
      <c r="T786" s="27">
        <f t="shared" si="50"/>
        <v>0</v>
      </c>
      <c r="U786" s="27">
        <f t="shared" si="51"/>
        <v>0</v>
      </c>
      <c r="V786" s="95">
        <f>IF(R786=1,(N786-INDEX(Sectorwise!F:F,MATCH(F786,Sectorwise!A:A,0))),0)</f>
        <v>0</v>
      </c>
      <c r="W786" s="97">
        <f>POISSON(N786,INDEX(Sectorwise!D:D,MATCH(Travel!F242,Sectorwise!A:A,0)),TRUE)</f>
        <v>0</v>
      </c>
    </row>
    <row r="787" spans="1:24" ht="15.75" hidden="1" customHeight="1" x14ac:dyDescent="0.2">
      <c r="A787" s="56" t="s">
        <v>797</v>
      </c>
      <c r="B787" s="56" t="s">
        <v>802</v>
      </c>
      <c r="C787" s="56"/>
      <c r="E787" s="56" t="s">
        <v>22</v>
      </c>
      <c r="F787" s="29" t="s">
        <v>2134</v>
      </c>
      <c r="G787" s="63" t="s">
        <v>2312</v>
      </c>
      <c r="H787" s="56" t="s">
        <v>803</v>
      </c>
      <c r="I787" s="56" t="s">
        <v>804</v>
      </c>
      <c r="J787" s="57">
        <v>1716</v>
      </c>
      <c r="K787" s="57">
        <v>2965</v>
      </c>
      <c r="L787" s="26">
        <f t="shared" si="48"/>
        <v>4681</v>
      </c>
      <c r="M787" s="26">
        <f t="array" ref="M787">MEDIAN(IF($F$3:$F$810=F787,$L$3:$L$810))</f>
        <v>7412.5</v>
      </c>
      <c r="N787" s="57">
        <v>8634</v>
      </c>
      <c r="O787" s="58">
        <v>0</v>
      </c>
      <c r="P787" s="76">
        <f>IF(N787&lt;INDEX(Sectorwise!E:E,MATCH(F787,Sectorwise!A:A,0)),1,0)</f>
        <v>0</v>
      </c>
      <c r="Q787" s="76">
        <f>IF(AND(N787&gt;=INDEX(Sectorwise!E:E,MATCH(F787,Sectorwise!A:A,0)),N787&lt;=INDEX(Sectorwise!F:F,MATCH(F787,Sectorwise!A:A,0))),1,0)</f>
        <v>0</v>
      </c>
      <c r="R787" s="76">
        <f>IF(N787&gt;INDEX(Sectorwise!F:F,MATCH(F787,Sectorwise!A:A,0)),1,0)</f>
        <v>1</v>
      </c>
      <c r="S787" s="27">
        <f t="shared" si="49"/>
        <v>0</v>
      </c>
      <c r="T787" s="27">
        <f t="shared" si="50"/>
        <v>0</v>
      </c>
      <c r="U787" s="27">
        <f t="shared" si="51"/>
        <v>8634</v>
      </c>
      <c r="V787" s="95">
        <f>IF(R787=1,(N787-INDEX(Sectorwise!F:F,MATCH(F787,Sectorwise!A:A,0))),0)</f>
        <v>434</v>
      </c>
      <c r="W787" s="97">
        <f>POISSON(N787,INDEX(Sectorwise!D:D,MATCH(Travel!F301,Sectorwise!A:A,0)),TRUE)</f>
        <v>1</v>
      </c>
    </row>
    <row r="788" spans="1:24" ht="15.75" hidden="1" customHeight="1" x14ac:dyDescent="0.2">
      <c r="A788" s="21" t="s">
        <v>20</v>
      </c>
      <c r="B788" s="21" t="s">
        <v>21</v>
      </c>
      <c r="C788" s="22"/>
      <c r="D788" s="23" t="s">
        <v>16</v>
      </c>
      <c r="E788" s="21" t="s">
        <v>22</v>
      </c>
      <c r="F788" s="21" t="s">
        <v>2135</v>
      </c>
      <c r="G788" s="69" t="s">
        <v>2308</v>
      </c>
      <c r="H788" s="21" t="s">
        <v>25</v>
      </c>
      <c r="I788" s="21" t="s">
        <v>26</v>
      </c>
      <c r="J788" s="25">
        <v>4799</v>
      </c>
      <c r="K788" s="26">
        <v>3498</v>
      </c>
      <c r="L788" s="26">
        <f t="shared" si="48"/>
        <v>8297</v>
      </c>
      <c r="M788" s="26">
        <f t="array" ref="M788">MEDIAN(IF($F$3:$F$810=F788,$L$3:$L$810))</f>
        <v>7234</v>
      </c>
      <c r="N788" s="26">
        <v>8297</v>
      </c>
      <c r="O788" s="27"/>
      <c r="P788" s="76">
        <f>IF(N788&lt;INDEX(Sectorwise!E:E,MATCH(F788,Sectorwise!A:A,0)),1,0)</f>
        <v>0</v>
      </c>
      <c r="Q788" s="76">
        <f>IF(AND(N788&gt;=INDEX(Sectorwise!E:E,MATCH(F788,Sectorwise!A:A,0)),N788&lt;=INDEX(Sectorwise!F:F,MATCH(F788,Sectorwise!A:A,0))),1,0)</f>
        <v>0</v>
      </c>
      <c r="R788" s="76">
        <f>IF(N788&gt;INDEX(Sectorwise!F:F,MATCH(F788,Sectorwise!A:A,0)),1,0)</f>
        <v>1</v>
      </c>
      <c r="S788" s="27">
        <f t="shared" si="49"/>
        <v>0</v>
      </c>
      <c r="T788" s="27">
        <f t="shared" si="50"/>
        <v>0</v>
      </c>
      <c r="U788" s="27">
        <f t="shared" si="51"/>
        <v>8297</v>
      </c>
      <c r="V788" s="95">
        <f>IF(R788=1,(N788-INDEX(Sectorwise!F:F,MATCH(F788,Sectorwise!A:A,0))),0)</f>
        <v>297</v>
      </c>
      <c r="W788" s="97">
        <f>POISSON(N788,INDEX(Sectorwise!D:D,MATCH(Travel!F6,Sectorwise!A:A,0)),TRUE)</f>
        <v>4.7893408045611597E-34</v>
      </c>
      <c r="X788" s="28">
        <v>8297</v>
      </c>
    </row>
    <row r="789" spans="1:24" ht="15.75" hidden="1" customHeight="1" x14ac:dyDescent="0.2">
      <c r="A789" s="21" t="s">
        <v>121</v>
      </c>
      <c r="B789" s="21" t="s">
        <v>122</v>
      </c>
      <c r="C789" s="22"/>
      <c r="D789" s="32"/>
      <c r="E789" s="21" t="s">
        <v>22</v>
      </c>
      <c r="F789" s="21" t="s">
        <v>2135</v>
      </c>
      <c r="G789" s="33" t="s">
        <v>2321</v>
      </c>
      <c r="H789" s="21" t="s">
        <v>124</v>
      </c>
      <c r="I789" s="21" t="s">
        <v>46</v>
      </c>
      <c r="J789" s="25">
        <v>3646</v>
      </c>
      <c r="K789" s="25">
        <v>3474</v>
      </c>
      <c r="L789" s="26">
        <f t="shared" si="48"/>
        <v>7120</v>
      </c>
      <c r="M789" s="26">
        <f t="array" ref="M789">MEDIAN(IF($F$3:$F$810=F789,$L$3:$L$810))</f>
        <v>7234</v>
      </c>
      <c r="N789" s="26">
        <v>7120</v>
      </c>
      <c r="O789" s="27"/>
      <c r="P789" s="76">
        <f>IF(N789&lt;INDEX(Sectorwise!E:E,MATCH(F789,Sectorwise!A:A,0)),1,0)</f>
        <v>0</v>
      </c>
      <c r="Q789" s="76">
        <f>IF(AND(N789&gt;=INDEX(Sectorwise!E:E,MATCH(F789,Sectorwise!A:A,0)),N789&lt;=INDEX(Sectorwise!F:F,MATCH(F789,Sectorwise!A:A,0))),1,0)</f>
        <v>1</v>
      </c>
      <c r="R789" s="76">
        <f>IF(N789&gt;INDEX(Sectorwise!F:F,MATCH(F789,Sectorwise!A:A,0)),1,0)</f>
        <v>0</v>
      </c>
      <c r="S789" s="27">
        <f t="shared" si="49"/>
        <v>0</v>
      </c>
      <c r="T789" s="27">
        <f t="shared" si="50"/>
        <v>7120</v>
      </c>
      <c r="U789" s="27">
        <f t="shared" si="51"/>
        <v>0</v>
      </c>
      <c r="V789" s="95">
        <f>IF(R789=1,(N789-INDEX(Sectorwise!F:F,MATCH(F789,Sectorwise!A:A,0))),0)</f>
        <v>0</v>
      </c>
      <c r="W789" s="97">
        <f>POISSON(N789,INDEX(Sectorwise!D:D,MATCH(Travel!F42,Sectorwise!A:A,0)),TRUE)</f>
        <v>3.22133250886558E-4</v>
      </c>
      <c r="X789" s="28">
        <v>7120</v>
      </c>
    </row>
    <row r="790" spans="1:24" ht="15.75" hidden="1" customHeight="1" x14ac:dyDescent="0.2">
      <c r="A790" s="33" t="s">
        <v>395</v>
      </c>
      <c r="B790" s="33" t="s">
        <v>396</v>
      </c>
      <c r="C790" s="40"/>
      <c r="D790" s="35"/>
      <c r="E790" s="33" t="s">
        <v>22</v>
      </c>
      <c r="F790" s="21" t="s">
        <v>2135</v>
      </c>
      <c r="G790" s="63" t="s">
        <v>2312</v>
      </c>
      <c r="H790" s="33" t="s">
        <v>399</v>
      </c>
      <c r="I790" s="33" t="s">
        <v>400</v>
      </c>
      <c r="J790" s="36">
        <v>3940</v>
      </c>
      <c r="K790" s="36">
        <v>3171</v>
      </c>
      <c r="L790" s="26">
        <f t="shared" si="48"/>
        <v>7111</v>
      </c>
      <c r="M790" s="26">
        <f t="array" ref="M790">MEDIAN(IF($F$3:$F$810=F790,$L$3:$L$810))</f>
        <v>7234</v>
      </c>
      <c r="N790" s="47">
        <f>+J790+K790</f>
        <v>7111</v>
      </c>
      <c r="O790" s="27"/>
      <c r="P790" s="76">
        <f>IF(N790&lt;INDEX(Sectorwise!E:E,MATCH(F790,Sectorwise!A:A,0)),1,0)</f>
        <v>0</v>
      </c>
      <c r="Q790" s="76">
        <f>IF(AND(N790&gt;=INDEX(Sectorwise!E:E,MATCH(F790,Sectorwise!A:A,0)),N790&lt;=INDEX(Sectorwise!F:F,MATCH(F790,Sectorwise!A:A,0))),1,0)</f>
        <v>1</v>
      </c>
      <c r="R790" s="76">
        <f>IF(N790&gt;INDEX(Sectorwise!F:F,MATCH(F790,Sectorwise!A:A,0)),1,0)</f>
        <v>0</v>
      </c>
      <c r="S790" s="27">
        <f t="shared" si="49"/>
        <v>0</v>
      </c>
      <c r="T790" s="27">
        <f t="shared" si="50"/>
        <v>7111</v>
      </c>
      <c r="U790" s="27">
        <f t="shared" si="51"/>
        <v>0</v>
      </c>
      <c r="V790" s="95">
        <f>IF(R790=1,(N790-INDEX(Sectorwise!F:F,MATCH(F790,Sectorwise!A:A,0))),0)</f>
        <v>0</v>
      </c>
      <c r="W790" s="97">
        <f>POISSON(N790,INDEX(Sectorwise!D:D,MATCH(Travel!F150,Sectorwise!A:A,0)),TRUE)</f>
        <v>0</v>
      </c>
    </row>
    <row r="791" spans="1:24" ht="15.75" hidden="1" customHeight="1" x14ac:dyDescent="0.2">
      <c r="A791" s="53" t="s">
        <v>561</v>
      </c>
      <c r="B791" s="54" t="s">
        <v>562</v>
      </c>
      <c r="C791" s="22"/>
      <c r="D791" s="32"/>
      <c r="E791" s="21" t="s">
        <v>22</v>
      </c>
      <c r="F791" s="21" t="s">
        <v>2135</v>
      </c>
      <c r="G791" s="69" t="s">
        <v>2308</v>
      </c>
      <c r="H791" s="21" t="s">
        <v>564</v>
      </c>
      <c r="I791" s="21" t="s">
        <v>561</v>
      </c>
      <c r="J791" s="25">
        <v>590</v>
      </c>
      <c r="K791" s="25">
        <v>2553</v>
      </c>
      <c r="L791" s="26">
        <f t="shared" si="48"/>
        <v>3143</v>
      </c>
      <c r="M791" s="26">
        <f t="array" ref="M791">MEDIAN(IF($F$3:$F$810=F791,$L$3:$L$810))</f>
        <v>7234</v>
      </c>
      <c r="N791" s="47">
        <v>3143</v>
      </c>
      <c r="O791" s="27"/>
      <c r="P791" s="76">
        <f>IF(N791&lt;INDEX(Sectorwise!E:E,MATCH(F791,Sectorwise!A:A,0)),1,0)</f>
        <v>1</v>
      </c>
      <c r="Q791" s="76">
        <f>IF(AND(N791&gt;=INDEX(Sectorwise!E:E,MATCH(F791,Sectorwise!A:A,0)),N791&lt;=INDEX(Sectorwise!F:F,MATCH(F791,Sectorwise!A:A,0))),1,0)</f>
        <v>0</v>
      </c>
      <c r="R791" s="76">
        <f>IF(N791&gt;INDEX(Sectorwise!F:F,MATCH(F791,Sectorwise!A:A,0)),1,0)</f>
        <v>0</v>
      </c>
      <c r="S791" s="27">
        <f t="shared" si="49"/>
        <v>3143</v>
      </c>
      <c r="T791" s="27">
        <f t="shared" si="50"/>
        <v>0</v>
      </c>
      <c r="U791" s="27">
        <f t="shared" si="51"/>
        <v>0</v>
      </c>
      <c r="V791" s="95">
        <f>IF(R791=1,(N791-INDEX(Sectorwise!F:F,MATCH(F791,Sectorwise!A:A,0))),0)</f>
        <v>0</v>
      </c>
      <c r="W791" s="97">
        <f>POISSON(N791,INDEX(Sectorwise!D:D,MATCH(Travel!F212,Sectorwise!A:A,0)),TRUE)</f>
        <v>0</v>
      </c>
    </row>
    <row r="792" spans="1:24" ht="15.75" hidden="1" customHeight="1" x14ac:dyDescent="0.2">
      <c r="A792" s="21" t="s">
        <v>630</v>
      </c>
      <c r="B792" s="21" t="s">
        <v>644</v>
      </c>
      <c r="C792" s="22"/>
      <c r="E792" s="21" t="s">
        <v>22</v>
      </c>
      <c r="F792" s="21" t="s">
        <v>2135</v>
      </c>
      <c r="G792" s="69" t="s">
        <v>2308</v>
      </c>
      <c r="H792" s="21" t="s">
        <v>646</v>
      </c>
      <c r="I792" s="21" t="s">
        <v>621</v>
      </c>
      <c r="J792" s="25">
        <v>482</v>
      </c>
      <c r="K792" s="25">
        <v>2541</v>
      </c>
      <c r="L792" s="26">
        <f t="shared" si="48"/>
        <v>3023</v>
      </c>
      <c r="M792" s="26">
        <f t="array" ref="M792">MEDIAN(IF($F$3:$F$810=F792,$L$3:$L$810))</f>
        <v>7234</v>
      </c>
      <c r="N792" s="47">
        <v>3023</v>
      </c>
      <c r="O792" s="55"/>
      <c r="P792" s="76">
        <f>IF(N792&lt;INDEX(Sectorwise!E:E,MATCH(F792,Sectorwise!A:A,0)),1,0)</f>
        <v>1</v>
      </c>
      <c r="Q792" s="76">
        <f>IF(AND(N792&gt;=INDEX(Sectorwise!E:E,MATCH(F792,Sectorwise!A:A,0)),N792&lt;=INDEX(Sectorwise!F:F,MATCH(F792,Sectorwise!A:A,0))),1,0)</f>
        <v>0</v>
      </c>
      <c r="R792" s="76">
        <f>IF(N792&gt;INDEX(Sectorwise!F:F,MATCH(F792,Sectorwise!A:A,0)),1,0)</f>
        <v>0</v>
      </c>
      <c r="S792" s="27">
        <f t="shared" si="49"/>
        <v>3023</v>
      </c>
      <c r="T792" s="27">
        <f t="shared" si="50"/>
        <v>0</v>
      </c>
      <c r="U792" s="27">
        <f t="shared" si="51"/>
        <v>0</v>
      </c>
      <c r="V792" s="95">
        <f>IF(R792=1,(N792-INDEX(Sectorwise!F:F,MATCH(F792,Sectorwise!A:A,0))),0)</f>
        <v>0</v>
      </c>
      <c r="W792" s="97">
        <f>POISSON(N792,INDEX(Sectorwise!D:D,MATCH(Travel!F243,Sectorwise!A:A,0)),TRUE)</f>
        <v>0</v>
      </c>
    </row>
    <row r="793" spans="1:24" ht="15.75" hidden="1" customHeight="1" x14ac:dyDescent="0.2">
      <c r="A793" s="56" t="s">
        <v>797</v>
      </c>
      <c r="B793" s="56" t="s">
        <v>802</v>
      </c>
      <c r="C793" s="56"/>
      <c r="E793" s="56" t="s">
        <v>22</v>
      </c>
      <c r="F793" s="21" t="s">
        <v>2135</v>
      </c>
      <c r="G793" s="63" t="s">
        <v>2312</v>
      </c>
      <c r="H793" s="56" t="s">
        <v>805</v>
      </c>
      <c r="I793" s="56" t="s">
        <v>806</v>
      </c>
      <c r="J793" s="57">
        <v>1445</v>
      </c>
      <c r="K793" s="57">
        <v>2508</v>
      </c>
      <c r="L793" s="26">
        <f t="shared" si="48"/>
        <v>3953</v>
      </c>
      <c r="M793" s="26">
        <f t="array" ref="M793">MEDIAN(IF($F$3:$F$810=F793,$L$3:$L$810))</f>
        <v>7234</v>
      </c>
      <c r="N793" s="57">
        <f>J793+K793</f>
        <v>3953</v>
      </c>
      <c r="O793" s="58">
        <v>0</v>
      </c>
      <c r="P793" s="76">
        <f>IF(N793&lt;INDEX(Sectorwise!E:E,MATCH(F793,Sectorwise!A:A,0)),1,0)</f>
        <v>1</v>
      </c>
      <c r="Q793" s="76">
        <f>IF(AND(N793&gt;=INDEX(Sectorwise!E:E,MATCH(F793,Sectorwise!A:A,0)),N793&lt;=INDEX(Sectorwise!F:F,MATCH(F793,Sectorwise!A:A,0))),1,0)</f>
        <v>0</v>
      </c>
      <c r="R793" s="76">
        <f>IF(N793&gt;INDEX(Sectorwise!F:F,MATCH(F793,Sectorwise!A:A,0)),1,0)</f>
        <v>0</v>
      </c>
      <c r="S793" s="27">
        <f t="shared" si="49"/>
        <v>3953</v>
      </c>
      <c r="T793" s="27">
        <f t="shared" si="50"/>
        <v>0</v>
      </c>
      <c r="U793" s="27">
        <f t="shared" si="51"/>
        <v>0</v>
      </c>
      <c r="V793" s="95">
        <f>IF(R793=1,(N793-INDEX(Sectorwise!F:F,MATCH(F793,Sectorwise!A:A,0))),0)</f>
        <v>0</v>
      </c>
      <c r="W793" s="97">
        <f>POISSON(N793,INDEX(Sectorwise!D:D,MATCH(Travel!F302,Sectorwise!A:A,0)),TRUE)</f>
        <v>0</v>
      </c>
    </row>
    <row r="794" spans="1:24" ht="15.75" hidden="1" customHeight="1" x14ac:dyDescent="0.2">
      <c r="A794" s="21" t="s">
        <v>722</v>
      </c>
      <c r="B794" s="24" t="s">
        <v>736</v>
      </c>
      <c r="C794" s="30"/>
      <c r="D794" s="32"/>
      <c r="E794" s="21" t="s">
        <v>737</v>
      </c>
      <c r="F794" s="21" t="s">
        <v>2142</v>
      </c>
      <c r="G794" s="63" t="s">
        <v>2312</v>
      </c>
      <c r="H794" s="21" t="s">
        <v>738</v>
      </c>
      <c r="I794" s="21" t="s">
        <v>703</v>
      </c>
      <c r="J794" s="25">
        <v>1590</v>
      </c>
      <c r="K794" s="25">
        <v>2643</v>
      </c>
      <c r="L794" s="26">
        <f t="shared" si="48"/>
        <v>4233</v>
      </c>
      <c r="M794" s="26">
        <f t="array" ref="M794">MEDIAN(IF($F$3:$F$810=F794,$L$3:$L$810))</f>
        <v>5161</v>
      </c>
      <c r="N794" s="47">
        <v>4233</v>
      </c>
      <c r="O794" s="55"/>
      <c r="P794" s="76">
        <f>IF(N794&lt;INDEX(Sectorwise!E:E,MATCH(F794,Sectorwise!A:A,0)),1,0)</f>
        <v>1</v>
      </c>
      <c r="Q794" s="76">
        <f>IF(AND(N794&gt;=INDEX(Sectorwise!E:E,MATCH(F794,Sectorwise!A:A,0)),N794&lt;=INDEX(Sectorwise!F:F,MATCH(F794,Sectorwise!A:A,0))),1,0)</f>
        <v>0</v>
      </c>
      <c r="R794" s="76">
        <f>IF(N794&gt;INDEX(Sectorwise!F:F,MATCH(F794,Sectorwise!A:A,0)),1,0)</f>
        <v>0</v>
      </c>
      <c r="S794" s="27">
        <f t="shared" si="49"/>
        <v>4233</v>
      </c>
      <c r="T794" s="27">
        <f t="shared" si="50"/>
        <v>0</v>
      </c>
      <c r="U794" s="27">
        <f t="shared" si="51"/>
        <v>0</v>
      </c>
      <c r="V794" s="95">
        <f>IF(R794=1,(N794-INDEX(Sectorwise!F:F,MATCH(F794,Sectorwise!A:A,0))),0)</f>
        <v>0</v>
      </c>
      <c r="W794" s="97">
        <f>POISSON(N794,INDEX(Sectorwise!D:D,MATCH(Travel!F278,Sectorwise!A:A,0)),TRUE)</f>
        <v>0</v>
      </c>
    </row>
    <row r="795" spans="1:24" ht="15.75" hidden="1" customHeight="1" x14ac:dyDescent="0.2">
      <c r="A795" s="21" t="s">
        <v>722</v>
      </c>
      <c r="B795" s="24" t="s">
        <v>736</v>
      </c>
      <c r="C795" s="22"/>
      <c r="D795" s="32"/>
      <c r="E795" s="21" t="s">
        <v>737</v>
      </c>
      <c r="F795" s="21" t="s">
        <v>2152</v>
      </c>
      <c r="G795" s="69" t="s">
        <v>2308</v>
      </c>
      <c r="H795" s="21" t="s">
        <v>739</v>
      </c>
      <c r="I795" s="21" t="s">
        <v>680</v>
      </c>
      <c r="J795" s="25">
        <v>767</v>
      </c>
      <c r="K795" s="25">
        <v>2385</v>
      </c>
      <c r="L795" s="26">
        <f t="shared" si="48"/>
        <v>3152</v>
      </c>
      <c r="M795" s="26">
        <f t="array" ref="M795">MEDIAN(IF($F$3:$F$810=F795,$L$3:$L$810))</f>
        <v>5438</v>
      </c>
      <c r="N795" s="47">
        <v>3152</v>
      </c>
      <c r="O795" s="55"/>
      <c r="P795" s="76">
        <f>IF(N795&lt;INDEX(Sectorwise!E:E,MATCH(F795,Sectorwise!A:A,0)),1,0)</f>
        <v>1</v>
      </c>
      <c r="Q795" s="76">
        <f>IF(AND(N795&gt;=INDEX(Sectorwise!E:E,MATCH(F795,Sectorwise!A:A,0)),N795&lt;=INDEX(Sectorwise!F:F,MATCH(F795,Sectorwise!A:A,0))),1,0)</f>
        <v>0</v>
      </c>
      <c r="R795" s="76">
        <f>IF(N795&gt;INDEX(Sectorwise!F:F,MATCH(F795,Sectorwise!A:A,0)),1,0)</f>
        <v>0</v>
      </c>
      <c r="S795" s="27">
        <f t="shared" si="49"/>
        <v>3152</v>
      </c>
      <c r="T795" s="27">
        <f t="shared" si="50"/>
        <v>0</v>
      </c>
      <c r="U795" s="27">
        <f t="shared" si="51"/>
        <v>0</v>
      </c>
      <c r="V795" s="95">
        <f>IF(R795=1,(N795-INDEX(Sectorwise!F:F,MATCH(F795,Sectorwise!A:A,0))),0)</f>
        <v>0</v>
      </c>
      <c r="W795" s="97">
        <f>POISSON(N795,INDEX(Sectorwise!D:D,MATCH(Travel!F279,Sectorwise!A:A,0)),TRUE)</f>
        <v>0</v>
      </c>
    </row>
    <row r="796" spans="1:24" ht="15.75" hidden="1" customHeight="1" x14ac:dyDescent="0.2">
      <c r="A796" s="60" t="s">
        <v>980</v>
      </c>
      <c r="B796" s="60" t="s">
        <v>983</v>
      </c>
      <c r="C796" s="60"/>
      <c r="E796" s="60" t="s">
        <v>205</v>
      </c>
      <c r="F796" s="60" t="s">
        <v>2237</v>
      </c>
      <c r="G796" s="69" t="s">
        <v>2308</v>
      </c>
      <c r="H796" s="60" t="s">
        <v>984</v>
      </c>
      <c r="I796" s="60" t="s">
        <v>938</v>
      </c>
      <c r="J796" s="61">
        <v>16848</v>
      </c>
      <c r="K796" s="61">
        <v>2030</v>
      </c>
      <c r="L796" s="26">
        <f t="shared" si="48"/>
        <v>18878</v>
      </c>
      <c r="M796" s="26">
        <f t="array" ref="M796">MEDIAN(IF($F$3:$F$810=F796,$L$3:$L$810))</f>
        <v>19030</v>
      </c>
      <c r="N796" s="61">
        <v>18878</v>
      </c>
      <c r="O796" s="62">
        <v>0</v>
      </c>
      <c r="P796" s="76">
        <f>IF(N796&lt;INDEX(Sectorwise!E:E,MATCH(F796,Sectorwise!A:A,0)),1,0)</f>
        <v>0</v>
      </c>
      <c r="Q796" s="76">
        <f>IF(AND(N796&gt;=INDEX(Sectorwise!E:E,MATCH(F796,Sectorwise!A:A,0)),N796&lt;=INDEX(Sectorwise!F:F,MATCH(F796,Sectorwise!A:A,0))),1,0)</f>
        <v>1</v>
      </c>
      <c r="R796" s="76">
        <f>IF(N796&gt;INDEX(Sectorwise!F:F,MATCH(F796,Sectorwise!A:A,0)),1,0)</f>
        <v>0</v>
      </c>
      <c r="S796" s="27">
        <f t="shared" si="49"/>
        <v>0</v>
      </c>
      <c r="T796" s="27">
        <f t="shared" si="50"/>
        <v>18878</v>
      </c>
      <c r="U796" s="27">
        <f t="shared" si="51"/>
        <v>0</v>
      </c>
      <c r="V796" s="95">
        <f>IF(R796=1,(N796-INDEX(Sectorwise!F:F,MATCH(F796,Sectorwise!A:A,0))),0)</f>
        <v>0</v>
      </c>
      <c r="W796" s="97">
        <f>POISSON(N796,INDEX(Sectorwise!D:D,MATCH(Travel!F369,Sectorwise!A:A,0)),TRUE)</f>
        <v>1</v>
      </c>
    </row>
    <row r="797" spans="1:24" ht="15.75" hidden="1" customHeight="1" x14ac:dyDescent="0.2">
      <c r="A797" s="56" t="s">
        <v>807</v>
      </c>
      <c r="B797" s="56" t="s">
        <v>822</v>
      </c>
      <c r="C797" s="56"/>
      <c r="E797" s="56" t="s">
        <v>205</v>
      </c>
      <c r="F797" s="21" t="s">
        <v>2136</v>
      </c>
      <c r="G797" s="69" t="s">
        <v>2308</v>
      </c>
      <c r="H797" s="56" t="s">
        <v>823</v>
      </c>
      <c r="I797" s="56" t="s">
        <v>806</v>
      </c>
      <c r="J797" s="57">
        <v>7956</v>
      </c>
      <c r="K797" s="57">
        <v>1622</v>
      </c>
      <c r="L797" s="26">
        <f t="shared" si="48"/>
        <v>9578</v>
      </c>
      <c r="M797" s="26">
        <f t="array" ref="M797">MEDIAN(IF($F$3:$F$810=F797,$L$3:$L$810))</f>
        <v>14406</v>
      </c>
      <c r="N797" s="57">
        <v>9578</v>
      </c>
      <c r="O797" s="58">
        <v>0</v>
      </c>
      <c r="P797" s="76">
        <f>IF(N797&lt;INDEX(Sectorwise!E:E,MATCH(F797,Sectorwise!A:A,0)),1,0)</f>
        <v>1</v>
      </c>
      <c r="Q797" s="76">
        <f>IF(AND(N797&gt;=INDEX(Sectorwise!E:E,MATCH(F797,Sectorwise!A:A,0)),N797&lt;=INDEX(Sectorwise!F:F,MATCH(F797,Sectorwise!A:A,0))),1,0)</f>
        <v>0</v>
      </c>
      <c r="R797" s="76">
        <f>IF(N797&gt;INDEX(Sectorwise!F:F,MATCH(F797,Sectorwise!A:A,0)),1,0)</f>
        <v>0</v>
      </c>
      <c r="S797" s="27">
        <f t="shared" si="49"/>
        <v>9578</v>
      </c>
      <c r="T797" s="27">
        <f t="shared" si="50"/>
        <v>0</v>
      </c>
      <c r="U797" s="27">
        <f t="shared" si="51"/>
        <v>0</v>
      </c>
      <c r="V797" s="95">
        <f>IF(R797=1,(N797-INDEX(Sectorwise!F:F,MATCH(F797,Sectorwise!A:A,0))),0)</f>
        <v>0</v>
      </c>
      <c r="W797" s="97">
        <f>POISSON(N797,INDEX(Sectorwise!D:D,MATCH(Travel!F310,Sectorwise!A:A,0)),TRUE)</f>
        <v>1</v>
      </c>
    </row>
    <row r="798" spans="1:24" ht="15.75" hidden="1" customHeight="1" x14ac:dyDescent="0.2">
      <c r="A798" s="33" t="s">
        <v>198</v>
      </c>
      <c r="B798" s="33" t="s">
        <v>202</v>
      </c>
      <c r="C798" s="40"/>
      <c r="D798" s="35"/>
      <c r="E798" s="33" t="s">
        <v>205</v>
      </c>
      <c r="F798" s="33" t="s">
        <v>2158</v>
      </c>
      <c r="G798" s="69" t="s">
        <v>2308</v>
      </c>
      <c r="H798" s="33" t="s">
        <v>203</v>
      </c>
      <c r="I798" s="33" t="s">
        <v>204</v>
      </c>
      <c r="J798" s="36">
        <v>16562</v>
      </c>
      <c r="K798" s="36">
        <v>2933</v>
      </c>
      <c r="L798" s="26">
        <f t="shared" si="48"/>
        <v>19495</v>
      </c>
      <c r="M798" s="26">
        <f t="array" ref="M798">MEDIAN(IF($F$3:$F$810=F798,$L$3:$L$810))</f>
        <v>20521</v>
      </c>
      <c r="N798" s="41">
        <v>19495</v>
      </c>
      <c r="O798" s="38"/>
      <c r="P798" s="76">
        <f>IF(N798&lt;INDEX(Sectorwise!E:E,MATCH(F798,Sectorwise!A:A,0)),1,0)</f>
        <v>0</v>
      </c>
      <c r="Q798" s="76">
        <f>IF(AND(N798&gt;=INDEX(Sectorwise!E:E,MATCH(F798,Sectorwise!A:A,0)),N798&lt;=INDEX(Sectorwise!F:F,MATCH(F798,Sectorwise!A:A,0))),1,0)</f>
        <v>1</v>
      </c>
      <c r="R798" s="76">
        <f>IF(N798&gt;INDEX(Sectorwise!F:F,MATCH(F798,Sectorwise!A:A,0)),1,0)</f>
        <v>0</v>
      </c>
      <c r="S798" s="27">
        <f t="shared" si="49"/>
        <v>0</v>
      </c>
      <c r="T798" s="27">
        <f t="shared" si="50"/>
        <v>19495</v>
      </c>
      <c r="U798" s="27">
        <f t="shared" si="51"/>
        <v>0</v>
      </c>
      <c r="V798" s="95">
        <f>IF(R798=1,(N798-INDEX(Sectorwise!F:F,MATCH(F798,Sectorwise!A:A,0))),0)</f>
        <v>0</v>
      </c>
      <c r="W798" s="97">
        <f>POISSON(N798,INDEX(Sectorwise!D:D,MATCH(Travel!F75,Sectorwise!A:A,0)),TRUE)</f>
        <v>1</v>
      </c>
      <c r="X798" s="39">
        <f>+N798-O798</f>
        <v>19495</v>
      </c>
    </row>
    <row r="799" spans="1:24" ht="15.75" hidden="1" customHeight="1" x14ac:dyDescent="0.2">
      <c r="A799" s="53" t="s">
        <v>542</v>
      </c>
      <c r="B799" s="54" t="s">
        <v>553</v>
      </c>
      <c r="C799" s="22"/>
      <c r="D799" s="32"/>
      <c r="E799" s="21" t="s">
        <v>205</v>
      </c>
      <c r="F799" s="21" t="s">
        <v>2135</v>
      </c>
      <c r="G799" s="69" t="s">
        <v>2308</v>
      </c>
      <c r="H799" s="21" t="s">
        <v>555</v>
      </c>
      <c r="I799" s="21" t="s">
        <v>542</v>
      </c>
      <c r="J799" s="25">
        <v>5914</v>
      </c>
      <c r="K799" s="25">
        <v>1023</v>
      </c>
      <c r="L799" s="26">
        <f t="shared" si="48"/>
        <v>6937</v>
      </c>
      <c r="M799" s="26">
        <f t="array" ref="M799">MEDIAN(IF($F$3:$F$810=F799,$L$3:$L$810))</f>
        <v>7234</v>
      </c>
      <c r="N799" s="47">
        <v>6937</v>
      </c>
      <c r="O799" s="27"/>
      <c r="P799" s="76">
        <f>IF(N799&lt;INDEX(Sectorwise!E:E,MATCH(F799,Sectorwise!A:A,0)),1,0)</f>
        <v>0</v>
      </c>
      <c r="Q799" s="76">
        <f>IF(AND(N799&gt;=INDEX(Sectorwise!E:E,MATCH(F799,Sectorwise!A:A,0)),N799&lt;=INDEX(Sectorwise!F:F,MATCH(F799,Sectorwise!A:A,0))),1,0)</f>
        <v>1</v>
      </c>
      <c r="R799" s="76">
        <f>IF(N799&gt;INDEX(Sectorwise!F:F,MATCH(F799,Sectorwise!A:A,0)),1,0)</f>
        <v>0</v>
      </c>
      <c r="S799" s="27">
        <f t="shared" si="49"/>
        <v>0</v>
      </c>
      <c r="T799" s="27">
        <f t="shared" si="50"/>
        <v>6937</v>
      </c>
      <c r="U799" s="27">
        <f t="shared" si="51"/>
        <v>0</v>
      </c>
      <c r="V799" s="95">
        <f>IF(R799=1,(N799-INDEX(Sectorwise!F:F,MATCH(F799,Sectorwise!A:A,0))),0)</f>
        <v>0</v>
      </c>
      <c r="W799" s="97">
        <f>POISSON(N799,INDEX(Sectorwise!D:D,MATCH(Travel!F208,Sectorwise!A:A,0)),TRUE)</f>
        <v>2.2547182987008206E-4</v>
      </c>
    </row>
    <row r="800" spans="1:24" ht="15.75" hidden="1" customHeight="1" x14ac:dyDescent="0.2">
      <c r="A800" s="60" t="s">
        <v>895</v>
      </c>
      <c r="B800" s="60" t="s">
        <v>904</v>
      </c>
      <c r="C800" s="60"/>
      <c r="E800" s="60" t="s">
        <v>905</v>
      </c>
      <c r="F800" s="33" t="s">
        <v>2171</v>
      </c>
      <c r="G800" s="69" t="s">
        <v>2308</v>
      </c>
      <c r="H800" s="60" t="s">
        <v>906</v>
      </c>
      <c r="I800" s="60" t="s">
        <v>907</v>
      </c>
      <c r="J800" s="61">
        <v>4310</v>
      </c>
      <c r="K800" s="61">
        <v>851</v>
      </c>
      <c r="L800" s="26">
        <f t="shared" si="48"/>
        <v>5161</v>
      </c>
      <c r="M800" s="26">
        <f t="array" ref="M800">MEDIAN(IF($F$3:$F$810=F800,$L$3:$L$810))</f>
        <v>5042</v>
      </c>
      <c r="N800" s="61">
        <v>5161</v>
      </c>
      <c r="O800" s="62">
        <v>0</v>
      </c>
      <c r="P800" s="76">
        <f>IF(N800&lt;INDEX(Sectorwise!E:E,MATCH(F800,Sectorwise!A:A,0)),1,0)</f>
        <v>0</v>
      </c>
      <c r="Q800" s="76">
        <f>IF(AND(N800&gt;=INDEX(Sectorwise!E:E,MATCH(F800,Sectorwise!A:A,0)),N800&lt;=INDEX(Sectorwise!F:F,MATCH(F800,Sectorwise!A:A,0))),1,0)</f>
        <v>1</v>
      </c>
      <c r="R800" s="76">
        <f>IF(N800&gt;INDEX(Sectorwise!F:F,MATCH(F800,Sectorwise!A:A,0)),1,0)</f>
        <v>0</v>
      </c>
      <c r="S800" s="27">
        <f t="shared" si="49"/>
        <v>0</v>
      </c>
      <c r="T800" s="27">
        <f t="shared" si="50"/>
        <v>5161</v>
      </c>
      <c r="U800" s="27">
        <f t="shared" si="51"/>
        <v>0</v>
      </c>
      <c r="V800" s="95">
        <f>IF(R800=1,(N800-INDEX(Sectorwise!F:F,MATCH(F800,Sectorwise!A:A,0))),0)</f>
        <v>0</v>
      </c>
      <c r="W800" s="97">
        <f>POISSON(N800,INDEX(Sectorwise!D:D,MATCH(Travel!F339,Sectorwise!A:A,0)),TRUE)</f>
        <v>8.240719941437942E-169</v>
      </c>
    </row>
    <row r="801" spans="1:24" ht="15.75" hidden="1" customHeight="1" x14ac:dyDescent="0.2">
      <c r="A801" s="63" t="s">
        <v>1473</v>
      </c>
      <c r="B801" s="63" t="s">
        <v>1492</v>
      </c>
      <c r="C801" s="63"/>
      <c r="E801" s="63" t="s">
        <v>1493</v>
      </c>
      <c r="F801" s="60" t="s">
        <v>2158</v>
      </c>
      <c r="G801" s="69" t="s">
        <v>2308</v>
      </c>
      <c r="H801" s="63" t="s">
        <v>1494</v>
      </c>
      <c r="I801" s="63" t="s">
        <v>1495</v>
      </c>
      <c r="J801" s="65">
        <v>17326</v>
      </c>
      <c r="K801" s="65">
        <v>2976</v>
      </c>
      <c r="L801" s="26">
        <f t="shared" si="48"/>
        <v>20302</v>
      </c>
      <c r="M801" s="26">
        <f t="array" ref="M801">MEDIAN(IF($F$3:$F$810=F801,$L$3:$L$810))</f>
        <v>20521</v>
      </c>
      <c r="N801" s="65">
        <v>40604</v>
      </c>
      <c r="O801" s="62">
        <v>0</v>
      </c>
      <c r="P801" s="76">
        <f>IF(N801&lt;INDEX(Sectorwise!E:E,MATCH(F801,Sectorwise!A:A,0)),1,0)</f>
        <v>0</v>
      </c>
      <c r="Q801" s="76">
        <f>IF(AND(N801&gt;=INDEX(Sectorwise!E:E,MATCH(F801,Sectorwise!A:A,0)),N801&lt;=INDEX(Sectorwise!F:F,MATCH(F801,Sectorwise!A:A,0))),1,0)</f>
        <v>0</v>
      </c>
      <c r="R801" s="76">
        <f>IF(N801&gt;INDEX(Sectorwise!F:F,MATCH(F801,Sectorwise!A:A,0)),1,0)</f>
        <v>1</v>
      </c>
      <c r="S801" s="27">
        <f t="shared" si="49"/>
        <v>0</v>
      </c>
      <c r="T801" s="27">
        <f t="shared" si="50"/>
        <v>0</v>
      </c>
      <c r="U801" s="27">
        <f t="shared" si="51"/>
        <v>40604</v>
      </c>
      <c r="V801" s="95">
        <f>IF(R801=1,(N801-INDEX(Sectorwise!F:F,MATCH(F801,Sectorwise!A:A,0))),0)</f>
        <v>18004</v>
      </c>
      <c r="W801" s="97">
        <f>POISSON(N801,INDEX(Sectorwise!D:D,MATCH(Travel!F563,Sectorwise!A:A,0)),TRUE)</f>
        <v>1</v>
      </c>
    </row>
    <row r="802" spans="1:24" ht="15.75" hidden="1" customHeight="1" x14ac:dyDescent="0.2">
      <c r="A802" s="29" t="s">
        <v>2114</v>
      </c>
      <c r="B802" s="29" t="s">
        <v>2117</v>
      </c>
      <c r="C802" s="29"/>
      <c r="E802" s="29" t="s">
        <v>1493</v>
      </c>
      <c r="F802" s="60" t="s">
        <v>2158</v>
      </c>
      <c r="G802" s="69" t="s">
        <v>2308</v>
      </c>
      <c r="H802" s="29" t="s">
        <v>2118</v>
      </c>
      <c r="I802" s="29" t="s">
        <v>2040</v>
      </c>
      <c r="J802" s="65">
        <v>17534</v>
      </c>
      <c r="K802" s="65">
        <v>2987</v>
      </c>
      <c r="L802" s="26">
        <f t="shared" si="48"/>
        <v>20521</v>
      </c>
      <c r="M802" s="26">
        <f t="array" ref="M802">MEDIAN(IF($F$3:$F$810=F802,$L$3:$L$810))</f>
        <v>20521</v>
      </c>
      <c r="N802" s="57">
        <f>J802+K802</f>
        <v>20521</v>
      </c>
      <c r="O802" s="65" t="e">
        <f>N802-#REF!</f>
        <v>#REF!</v>
      </c>
      <c r="P802" s="76">
        <f>IF(N802&lt;INDEX(Sectorwise!E:E,MATCH(F802,Sectorwise!A:A,0)),1,0)</f>
        <v>0</v>
      </c>
      <c r="Q802" s="76">
        <f>IF(AND(N802&gt;=INDEX(Sectorwise!E:E,MATCH(F802,Sectorwise!A:A,0)),N802&lt;=INDEX(Sectorwise!F:F,MATCH(F802,Sectorwise!A:A,0))),1,0)</f>
        <v>1</v>
      </c>
      <c r="R802" s="76">
        <f>IF(N802&gt;INDEX(Sectorwise!F:F,MATCH(F802,Sectorwise!A:A,0)),1,0)</f>
        <v>0</v>
      </c>
      <c r="S802" s="27">
        <f t="shared" si="49"/>
        <v>0</v>
      </c>
      <c r="T802" s="27">
        <f t="shared" si="50"/>
        <v>20521</v>
      </c>
      <c r="U802" s="27">
        <f t="shared" si="51"/>
        <v>0</v>
      </c>
      <c r="V802" s="95">
        <f>IF(R802=1,(N802-INDEX(Sectorwise!F:F,MATCH(F802,Sectorwise!A:A,0))),0)</f>
        <v>0</v>
      </c>
      <c r="W802" s="97">
        <f>POISSON(N802,INDEX(Sectorwise!D:D,MATCH(Travel!F805,Sectorwise!A:A,0)),TRUE)</f>
        <v>1</v>
      </c>
    </row>
    <row r="803" spans="1:24" ht="15.75" hidden="1" customHeight="1" x14ac:dyDescent="0.2">
      <c r="A803" s="60" t="s">
        <v>866</v>
      </c>
      <c r="B803" s="60" t="s">
        <v>867</v>
      </c>
      <c r="C803" s="60"/>
      <c r="E803" s="60" t="s">
        <v>868</v>
      </c>
      <c r="F803" s="21" t="s">
        <v>2147</v>
      </c>
      <c r="G803" s="56" t="s">
        <v>2309</v>
      </c>
      <c r="H803" s="60" t="s">
        <v>869</v>
      </c>
      <c r="I803" s="60" t="s">
        <v>860</v>
      </c>
      <c r="J803" s="61">
        <v>6590</v>
      </c>
      <c r="K803" s="61">
        <v>4015</v>
      </c>
      <c r="L803" s="26">
        <f t="shared" si="48"/>
        <v>10605</v>
      </c>
      <c r="M803" s="26">
        <f t="array" ref="M803">MEDIAN(IF($F$3:$F$810=F803,$L$3:$L$810))</f>
        <v>10605</v>
      </c>
      <c r="N803" s="61">
        <v>10605</v>
      </c>
      <c r="O803" s="62">
        <v>0</v>
      </c>
      <c r="P803" s="76">
        <f>IF(N803&lt;INDEX(Sectorwise!E:E,MATCH(F803,Sectorwise!A:A,0)),1,0)</f>
        <v>0</v>
      </c>
      <c r="Q803" s="76">
        <f>IF(AND(N803&gt;=INDEX(Sectorwise!E:E,MATCH(F803,Sectorwise!A:A,0)),N803&lt;=INDEX(Sectorwise!F:F,MATCH(F803,Sectorwise!A:A,0))),1,0)</f>
        <v>1</v>
      </c>
      <c r="R803" s="76">
        <f>IF(N803&gt;INDEX(Sectorwise!F:F,MATCH(F803,Sectorwise!A:A,0)),1,0)</f>
        <v>0</v>
      </c>
      <c r="S803" s="27">
        <f t="shared" si="49"/>
        <v>0</v>
      </c>
      <c r="T803" s="27">
        <f t="shared" si="50"/>
        <v>10605</v>
      </c>
      <c r="U803" s="27">
        <f t="shared" si="51"/>
        <v>0</v>
      </c>
      <c r="V803" s="95">
        <f>IF(R803=1,(N803-INDEX(Sectorwise!F:F,MATCH(F803,Sectorwise!A:A,0))),0)</f>
        <v>0</v>
      </c>
      <c r="W803" s="97">
        <f>POISSON(N803,INDEX(Sectorwise!D:D,MATCH(Travel!F327,Sectorwise!A:A,0)),TRUE)</f>
        <v>1</v>
      </c>
    </row>
    <row r="804" spans="1:24" ht="15.75" hidden="1" customHeight="1" x14ac:dyDescent="0.2">
      <c r="A804" s="63" t="s">
        <v>1189</v>
      </c>
      <c r="B804" s="63" t="s">
        <v>1190</v>
      </c>
      <c r="C804" s="63"/>
      <c r="E804" s="63" t="s">
        <v>868</v>
      </c>
      <c r="F804" s="21" t="s">
        <v>2147</v>
      </c>
      <c r="G804" s="56" t="s">
        <v>2309</v>
      </c>
      <c r="H804" s="63" t="s">
        <v>1191</v>
      </c>
      <c r="I804" s="63" t="s">
        <v>1175</v>
      </c>
      <c r="J804" s="65">
        <v>7500</v>
      </c>
      <c r="K804" s="65">
        <v>4065</v>
      </c>
      <c r="L804" s="26">
        <f t="shared" si="48"/>
        <v>11565</v>
      </c>
      <c r="M804" s="26">
        <f t="array" ref="M804">MEDIAN(IF($F$3:$F$810=F804,$L$3:$L$810))</f>
        <v>10605</v>
      </c>
      <c r="N804" s="65">
        <v>11565</v>
      </c>
      <c r="O804" s="62">
        <v>0</v>
      </c>
      <c r="P804" s="76">
        <f>IF(N804&lt;INDEX(Sectorwise!E:E,MATCH(F804,Sectorwise!A:A,0)),1,0)</f>
        <v>0</v>
      </c>
      <c r="Q804" s="76">
        <f>IF(AND(N804&gt;=INDEX(Sectorwise!E:E,MATCH(F804,Sectorwise!A:A,0)),N804&lt;=INDEX(Sectorwise!F:F,MATCH(F804,Sectorwise!A:A,0))),1,0)</f>
        <v>1</v>
      </c>
      <c r="R804" s="76">
        <f>IF(N804&gt;INDEX(Sectorwise!F:F,MATCH(F804,Sectorwise!A:A,0)),1,0)</f>
        <v>0</v>
      </c>
      <c r="S804" s="27">
        <f t="shared" si="49"/>
        <v>0</v>
      </c>
      <c r="T804" s="27">
        <f t="shared" si="50"/>
        <v>11565</v>
      </c>
      <c r="U804" s="27">
        <f t="shared" si="51"/>
        <v>0</v>
      </c>
      <c r="V804" s="95">
        <f>IF(R804=1,(N804-INDEX(Sectorwise!F:F,MATCH(F804,Sectorwise!A:A,0))),0)</f>
        <v>0</v>
      </c>
      <c r="W804" s="97">
        <f>POISSON(N804,INDEX(Sectorwise!D:D,MATCH(Travel!F450,Sectorwise!A:A,0)),TRUE)</f>
        <v>1</v>
      </c>
    </row>
    <row r="805" spans="1:24" ht="15.75" hidden="1" customHeight="1" x14ac:dyDescent="0.2">
      <c r="A805" s="60" t="s">
        <v>1347</v>
      </c>
      <c r="B805" s="60" t="s">
        <v>1353</v>
      </c>
      <c r="C805" s="60" t="s">
        <v>1354</v>
      </c>
      <c r="E805" s="60" t="s">
        <v>868</v>
      </c>
      <c r="F805" s="21" t="s">
        <v>2135</v>
      </c>
      <c r="G805" s="33" t="s">
        <v>2321</v>
      </c>
      <c r="H805" s="60" t="s">
        <v>1355</v>
      </c>
      <c r="I805" s="60" t="s">
        <v>1310</v>
      </c>
      <c r="J805" s="61">
        <v>5487</v>
      </c>
      <c r="K805" s="61">
        <v>3690</v>
      </c>
      <c r="L805" s="26">
        <f t="shared" si="48"/>
        <v>9177</v>
      </c>
      <c r="M805" s="26">
        <f t="array" ref="M805">MEDIAN(IF($F$3:$F$810=F805,$L$3:$L$810))</f>
        <v>7234</v>
      </c>
      <c r="N805" s="61">
        <v>9177</v>
      </c>
      <c r="O805" s="62">
        <v>7577</v>
      </c>
      <c r="P805" s="76">
        <f>IF(N805&lt;INDEX(Sectorwise!E:E,MATCH(F805,Sectorwise!A:A,0)),1,0)</f>
        <v>0</v>
      </c>
      <c r="Q805" s="76">
        <f>IF(AND(N805&gt;=INDEX(Sectorwise!E:E,MATCH(F805,Sectorwise!A:A,0)),N805&lt;=INDEX(Sectorwise!F:F,MATCH(F805,Sectorwise!A:A,0))),1,0)</f>
        <v>0</v>
      </c>
      <c r="R805" s="76">
        <f>IF(N805&gt;INDEX(Sectorwise!F:F,MATCH(F805,Sectorwise!A:A,0)),1,0)</f>
        <v>1</v>
      </c>
      <c r="S805" s="27">
        <f t="shared" si="49"/>
        <v>0</v>
      </c>
      <c r="T805" s="27">
        <f t="shared" si="50"/>
        <v>0</v>
      </c>
      <c r="U805" s="27">
        <f t="shared" si="51"/>
        <v>9177</v>
      </c>
      <c r="V805" s="95">
        <f>IF(R805=1,(N805-INDEX(Sectorwise!F:F,MATCH(F805,Sectorwise!A:A,0))),0)</f>
        <v>1177</v>
      </c>
      <c r="W805" s="97">
        <f>POISSON(N805,INDEX(Sectorwise!D:D,MATCH(Travel!F506,Sectorwise!A:A,0)),TRUE)</f>
        <v>1</v>
      </c>
    </row>
    <row r="806" spans="1:24" ht="15.75" hidden="1" customHeight="1" x14ac:dyDescent="0.2">
      <c r="A806" s="69" t="s">
        <v>1942</v>
      </c>
      <c r="B806" s="69" t="s">
        <v>1945</v>
      </c>
      <c r="C806" s="69"/>
      <c r="E806" s="69" t="s">
        <v>868</v>
      </c>
      <c r="F806" s="21" t="s">
        <v>2210</v>
      </c>
      <c r="G806" s="56" t="s">
        <v>2309</v>
      </c>
      <c r="H806" s="69" t="s">
        <v>1946</v>
      </c>
      <c r="I806" s="69" t="s">
        <v>1799</v>
      </c>
      <c r="J806" s="70">
        <v>12038</v>
      </c>
      <c r="K806" s="70">
        <v>7701</v>
      </c>
      <c r="L806" s="26">
        <f t="shared" si="48"/>
        <v>19739</v>
      </c>
      <c r="M806" s="26">
        <f t="array" ref="M806">MEDIAN(IF($F$3:$F$810=F806,$L$3:$L$810))</f>
        <v>19495</v>
      </c>
      <c r="N806" s="70">
        <v>19739</v>
      </c>
      <c r="O806" s="71">
        <v>0</v>
      </c>
      <c r="P806" s="76">
        <f>IF(N806&lt;INDEX(Sectorwise!E:E,MATCH(F806,Sectorwise!A:A,0)),1,0)</f>
        <v>0</v>
      </c>
      <c r="Q806" s="76">
        <f>IF(AND(N806&gt;=INDEX(Sectorwise!E:E,MATCH(F806,Sectorwise!A:A,0)),N806&lt;=INDEX(Sectorwise!F:F,MATCH(F806,Sectorwise!A:A,0))),1,0)</f>
        <v>1</v>
      </c>
      <c r="R806" s="76">
        <f>IF(N806&gt;INDEX(Sectorwise!F:F,MATCH(F806,Sectorwise!A:A,0)),1,0)</f>
        <v>0</v>
      </c>
      <c r="S806" s="27">
        <f t="shared" si="49"/>
        <v>0</v>
      </c>
      <c r="T806" s="27">
        <f t="shared" si="50"/>
        <v>19739</v>
      </c>
      <c r="U806" s="27">
        <f t="shared" si="51"/>
        <v>0</v>
      </c>
      <c r="V806" s="95">
        <f>IF(R806=1,(N806-INDEX(Sectorwise!F:F,MATCH(F806,Sectorwise!A:A,0))),0)</f>
        <v>0</v>
      </c>
      <c r="W806" s="97">
        <f>POISSON(N806,INDEX(Sectorwise!D:D,MATCH(Travel!F743,Sectorwise!A:A,0)),TRUE)</f>
        <v>1</v>
      </c>
    </row>
    <row r="807" spans="1:24" ht="15.75" hidden="1" customHeight="1" x14ac:dyDescent="0.2">
      <c r="A807" s="53" t="s">
        <v>502</v>
      </c>
      <c r="B807" s="54" t="s">
        <v>505</v>
      </c>
      <c r="C807" s="22"/>
      <c r="D807" s="32"/>
      <c r="E807" s="21" t="s">
        <v>506</v>
      </c>
      <c r="F807" s="21" t="s">
        <v>2164</v>
      </c>
      <c r="G807" s="21" t="s">
        <v>2320</v>
      </c>
      <c r="H807" s="21" t="s">
        <v>507</v>
      </c>
      <c r="I807" s="21" t="s">
        <v>502</v>
      </c>
      <c r="J807" s="25">
        <v>10597</v>
      </c>
      <c r="K807" s="25">
        <v>5903</v>
      </c>
      <c r="L807" s="26">
        <f t="shared" si="48"/>
        <v>16500</v>
      </c>
      <c r="M807" s="26">
        <f t="array" ref="M807">MEDIAN(IF($F$3:$F$810=F807,$L$3:$L$810))</f>
        <v>10655</v>
      </c>
      <c r="N807" s="47">
        <v>16500</v>
      </c>
      <c r="O807" s="27"/>
      <c r="P807" s="76">
        <f>IF(N807&lt;INDEX(Sectorwise!E:E,MATCH(F807,Sectorwise!A:A,0)),1,0)</f>
        <v>0</v>
      </c>
      <c r="Q807" s="76">
        <f>IF(AND(N807&gt;=INDEX(Sectorwise!E:E,MATCH(F807,Sectorwise!A:A,0)),N807&lt;=INDEX(Sectorwise!F:F,MATCH(F807,Sectorwise!A:A,0))),1,0)</f>
        <v>0</v>
      </c>
      <c r="R807" s="76">
        <f>IF(N807&gt;INDEX(Sectorwise!F:F,MATCH(F807,Sectorwise!A:A,0)),1,0)</f>
        <v>1</v>
      </c>
      <c r="S807" s="27">
        <f t="shared" si="49"/>
        <v>0</v>
      </c>
      <c r="T807" s="27">
        <f t="shared" si="50"/>
        <v>0</v>
      </c>
      <c r="U807" s="27">
        <f t="shared" si="51"/>
        <v>16500</v>
      </c>
      <c r="V807" s="95">
        <f>IF(R807=1,(N807-INDEX(Sectorwise!F:F,MATCH(F807,Sectorwise!A:A,0))),0)</f>
        <v>4700</v>
      </c>
      <c r="W807" s="97">
        <f>POISSON(N807,INDEX(Sectorwise!D:D,MATCH(Travel!F186,Sectorwise!A:A,0)),TRUE)</f>
        <v>1</v>
      </c>
    </row>
    <row r="808" spans="1:24" ht="15.75" hidden="1" customHeight="1" x14ac:dyDescent="0.2">
      <c r="A808" s="53" t="s">
        <v>525</v>
      </c>
      <c r="B808" s="54" t="s">
        <v>526</v>
      </c>
      <c r="C808" s="22"/>
      <c r="D808" s="32"/>
      <c r="E808" s="21" t="s">
        <v>506</v>
      </c>
      <c r="F808" s="21" t="s">
        <v>2164</v>
      </c>
      <c r="G808" s="21" t="s">
        <v>2320</v>
      </c>
      <c r="H808" s="21" t="s">
        <v>527</v>
      </c>
      <c r="I808" s="21" t="s">
        <v>525</v>
      </c>
      <c r="J808" s="25">
        <v>3230</v>
      </c>
      <c r="K808" s="25">
        <v>1580</v>
      </c>
      <c r="L808" s="26">
        <f t="shared" si="48"/>
        <v>4810</v>
      </c>
      <c r="M808" s="26">
        <f t="array" ref="M808">MEDIAN(IF($F$3:$F$810=F808,$L$3:$L$810))</f>
        <v>10655</v>
      </c>
      <c r="N808" s="47">
        <v>4810</v>
      </c>
      <c r="O808" s="27"/>
      <c r="P808" s="76">
        <f>IF(N808&lt;INDEX(Sectorwise!E:E,MATCH(F808,Sectorwise!A:A,0)),1,0)</f>
        <v>1</v>
      </c>
      <c r="Q808" s="76">
        <f>IF(AND(N808&gt;=INDEX(Sectorwise!E:E,MATCH(F808,Sectorwise!A:A,0)),N808&lt;=INDEX(Sectorwise!F:F,MATCH(F808,Sectorwise!A:A,0))),1,0)</f>
        <v>0</v>
      </c>
      <c r="R808" s="76">
        <f>IF(N808&gt;INDEX(Sectorwise!F:F,MATCH(F808,Sectorwise!A:A,0)),1,0)</f>
        <v>0</v>
      </c>
      <c r="S808" s="27">
        <f t="shared" si="49"/>
        <v>4810</v>
      </c>
      <c r="T808" s="27">
        <f t="shared" si="50"/>
        <v>0</v>
      </c>
      <c r="U808" s="27">
        <f t="shared" si="51"/>
        <v>0</v>
      </c>
      <c r="V808" s="95">
        <f>IF(R808=1,(N808-INDEX(Sectorwise!F:F,MATCH(F808,Sectorwise!A:A,0))),0)</f>
        <v>0</v>
      </c>
      <c r="W808" s="97">
        <f>POISSON(N808,INDEX(Sectorwise!D:D,MATCH(Travel!F195,Sectorwise!A:A,0)),TRUE)</f>
        <v>9.9377068930787486E-203</v>
      </c>
    </row>
    <row r="809" spans="1:24" ht="15.75" hidden="1" customHeight="1" x14ac:dyDescent="0.2">
      <c r="A809" s="29" t="s">
        <v>2098</v>
      </c>
      <c r="B809" s="29" t="s">
        <v>2107</v>
      </c>
      <c r="C809" s="29" t="s">
        <v>2108</v>
      </c>
      <c r="E809" s="29" t="s">
        <v>2109</v>
      </c>
      <c r="F809" s="33" t="s">
        <v>2208</v>
      </c>
      <c r="G809" s="69" t="s">
        <v>2308</v>
      </c>
      <c r="H809" s="29" t="s">
        <v>2110</v>
      </c>
      <c r="I809" s="29" t="s">
        <v>2040</v>
      </c>
      <c r="J809" s="65">
        <v>7880</v>
      </c>
      <c r="K809" s="65">
        <v>1883</v>
      </c>
      <c r="L809" s="26">
        <f t="shared" si="48"/>
        <v>9763</v>
      </c>
      <c r="M809" s="26">
        <f t="array" ref="M809">MEDIAN(IF($F$3:$F$810=F809,$L$3:$L$810))</f>
        <v>10597</v>
      </c>
      <c r="N809" s="65">
        <v>9763</v>
      </c>
      <c r="O809" s="65" t="e">
        <f>N809-#REF!</f>
        <v>#REF!</v>
      </c>
      <c r="P809" s="76">
        <f>IF(N809&lt;INDEX(Sectorwise!E:E,MATCH(F809,Sectorwise!A:A,0)),1,0)</f>
        <v>0</v>
      </c>
      <c r="Q809" s="76">
        <f>IF(AND(N809&gt;=INDEX(Sectorwise!E:E,MATCH(F809,Sectorwise!A:A,0)),N809&lt;=INDEX(Sectorwise!F:F,MATCH(F809,Sectorwise!A:A,0))),1,0)</f>
        <v>1</v>
      </c>
      <c r="R809" s="76">
        <f>IF(N809&gt;INDEX(Sectorwise!F:F,MATCH(F809,Sectorwise!A:A,0)),1,0)</f>
        <v>0</v>
      </c>
      <c r="S809" s="27">
        <f t="shared" si="49"/>
        <v>0</v>
      </c>
      <c r="T809" s="27">
        <f t="shared" si="50"/>
        <v>9763</v>
      </c>
      <c r="U809" s="27">
        <f t="shared" si="51"/>
        <v>0</v>
      </c>
      <c r="V809" s="95">
        <f>IF(R809=1,(N809-INDEX(Sectorwise!F:F,MATCH(F809,Sectorwise!A:A,0))),0)</f>
        <v>0</v>
      </c>
      <c r="W809" s="97">
        <f>POISSON(N809,INDEX(Sectorwise!D:D,MATCH(Travel!F801,Sectorwise!A:A,0)),TRUE)</f>
        <v>0</v>
      </c>
    </row>
    <row r="810" spans="1:24" ht="15.75" hidden="1" customHeight="1" thickBot="1" x14ac:dyDescent="0.25">
      <c r="A810" s="102" t="s">
        <v>2123</v>
      </c>
      <c r="B810" s="102" t="s">
        <v>2126</v>
      </c>
      <c r="C810" s="102"/>
      <c r="D810" s="72"/>
      <c r="E810" s="102" t="s">
        <v>2109</v>
      </c>
      <c r="F810" s="33" t="s">
        <v>2191</v>
      </c>
      <c r="G810" s="69" t="s">
        <v>2308</v>
      </c>
      <c r="H810" s="102" t="s">
        <v>2127</v>
      </c>
      <c r="I810" s="102" t="s">
        <v>2040</v>
      </c>
      <c r="J810" s="73">
        <v>3665</v>
      </c>
      <c r="K810" s="73">
        <v>1039</v>
      </c>
      <c r="L810" s="26">
        <f t="shared" si="48"/>
        <v>4704</v>
      </c>
      <c r="M810" s="26">
        <f t="array" ref="M810">MEDIAN(IF($F$3:$F$810=F810,$L$3:$L$810))</f>
        <v>5519</v>
      </c>
      <c r="N810" s="73">
        <v>4704</v>
      </c>
      <c r="O810" s="73" t="e">
        <f>N810-#REF!</f>
        <v>#REF!</v>
      </c>
      <c r="P810" s="76">
        <f>IF(N810&lt;INDEX(Sectorwise!E:E,MATCH(F810,Sectorwise!A:A,0)),1,0)</f>
        <v>1</v>
      </c>
      <c r="Q810" s="76">
        <f>IF(AND(N810&gt;=INDEX(Sectorwise!E:E,MATCH(F810,Sectorwise!A:A,0)),N810&lt;=INDEX(Sectorwise!F:F,MATCH(F810,Sectorwise!A:A,0))),1,0)</f>
        <v>0</v>
      </c>
      <c r="R810" s="76">
        <f>IF(N810&gt;INDEX(Sectorwise!F:F,MATCH(F810,Sectorwise!A:A,0)),1,0)</f>
        <v>0</v>
      </c>
      <c r="S810" s="27">
        <f t="shared" si="49"/>
        <v>4704</v>
      </c>
      <c r="T810" s="27">
        <f t="shared" si="50"/>
        <v>0</v>
      </c>
      <c r="U810" s="27">
        <f t="shared" si="51"/>
        <v>0</v>
      </c>
      <c r="V810" s="95">
        <f>IF(R810=1,(N810-INDEX(Sectorwise!F:F,MATCH(F810,Sectorwise!A:A,0))),0)</f>
        <v>0</v>
      </c>
      <c r="W810" s="97">
        <f>POISSON(N810,INDEX(Sectorwise!D:D,MATCH(Travel!F809,Sectorwise!A:A,0)),TRUE)</f>
        <v>0</v>
      </c>
      <c r="X810" s="74"/>
    </row>
    <row r="811" spans="1:24" ht="15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77"/>
      <c r="Q811" s="77"/>
      <c r="R811" s="77"/>
      <c r="S811" s="1"/>
      <c r="T811" s="1"/>
      <c r="U811" s="1"/>
      <c r="V811" s="96">
        <f>SUM(V3:V810)</f>
        <v>855360</v>
      </c>
      <c r="W811" s="27"/>
      <c r="X811" s="12"/>
    </row>
  </sheetData>
  <autoFilter ref="A2:X811">
    <filterColumn colId="6">
      <filters blank="1"/>
    </filterColumn>
    <sortState ref="A3:W811">
      <sortCondition ref="E2:E811"/>
    </sortState>
  </autoFilter>
  <sortState ref="A3:W810">
    <sortCondition ref="F3:F810"/>
  </sortState>
  <mergeCells count="2">
    <mergeCell ref="P1:R1"/>
    <mergeCell ref="S1:U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J121"/>
  <sheetViews>
    <sheetView tabSelected="1" workbookViewId="0">
      <selection activeCell="D4" sqref="D4"/>
    </sheetView>
  </sheetViews>
  <sheetFormatPr defaultRowHeight="15" x14ac:dyDescent="0.25"/>
  <cols>
    <col min="1" max="1" width="35.7109375" bestFit="1" customWidth="1"/>
    <col min="2" max="2" width="24.5703125" bestFit="1" customWidth="1"/>
    <col min="3" max="3" width="25.28515625" bestFit="1" customWidth="1"/>
    <col min="4" max="4" width="22" bestFit="1" customWidth="1"/>
    <col min="5" max="5" width="19.140625" bestFit="1" customWidth="1"/>
    <col min="6" max="7" width="22.140625" bestFit="1" customWidth="1"/>
    <col min="8" max="8" width="19.28515625" bestFit="1" customWidth="1"/>
    <col min="9" max="9" width="22.28515625" bestFit="1" customWidth="1"/>
    <col min="10" max="11" width="11.28515625" bestFit="1" customWidth="1"/>
  </cols>
  <sheetData>
    <row r="3" spans="1:10" x14ac:dyDescent="0.25">
      <c r="A3" s="2" t="s">
        <v>2132</v>
      </c>
      <c r="B3" t="s">
        <v>2242</v>
      </c>
      <c r="C3" t="s">
        <v>2272</v>
      </c>
      <c r="D3" t="s">
        <v>2256</v>
      </c>
      <c r="E3" t="s">
        <v>2257</v>
      </c>
      <c r="F3" t="s">
        <v>2258</v>
      </c>
      <c r="G3" t="s">
        <v>2259</v>
      </c>
      <c r="H3" t="s">
        <v>2260</v>
      </c>
      <c r="I3" t="s">
        <v>2261</v>
      </c>
      <c r="J3" t="s">
        <v>2262</v>
      </c>
    </row>
    <row r="4" spans="1:10" x14ac:dyDescent="0.25">
      <c r="A4" s="3" t="s">
        <v>714</v>
      </c>
      <c r="B4" s="4">
        <v>1</v>
      </c>
      <c r="C4" s="4">
        <v>8000</v>
      </c>
      <c r="D4" s="4">
        <v>0</v>
      </c>
      <c r="E4" s="4">
        <v>1</v>
      </c>
      <c r="F4" s="4">
        <v>0</v>
      </c>
      <c r="G4" s="4">
        <v>0</v>
      </c>
      <c r="H4" s="4">
        <v>8000</v>
      </c>
      <c r="I4" s="4">
        <v>0</v>
      </c>
      <c r="J4" s="4">
        <v>0</v>
      </c>
    </row>
    <row r="5" spans="1:10" x14ac:dyDescent="0.25">
      <c r="A5" s="3" t="s">
        <v>1577</v>
      </c>
      <c r="B5" s="4">
        <v>1</v>
      </c>
      <c r="C5" s="4">
        <v>10500</v>
      </c>
      <c r="D5" s="4">
        <v>0</v>
      </c>
      <c r="E5" s="4">
        <v>1</v>
      </c>
      <c r="F5" s="4">
        <v>0</v>
      </c>
      <c r="G5" s="4">
        <v>0</v>
      </c>
      <c r="H5" s="4">
        <v>10500</v>
      </c>
      <c r="I5" s="4">
        <v>0</v>
      </c>
      <c r="J5" s="4">
        <v>0</v>
      </c>
    </row>
    <row r="6" spans="1:10" x14ac:dyDescent="0.25">
      <c r="A6" s="3" t="s">
        <v>1934</v>
      </c>
      <c r="B6" s="4">
        <v>3</v>
      </c>
      <c r="C6" s="4">
        <v>45000</v>
      </c>
      <c r="D6" s="4">
        <v>0</v>
      </c>
      <c r="E6" s="4">
        <v>3</v>
      </c>
      <c r="F6" s="4">
        <v>0</v>
      </c>
      <c r="G6" s="4">
        <v>0</v>
      </c>
      <c r="H6" s="4">
        <v>45000</v>
      </c>
      <c r="I6" s="4">
        <v>0</v>
      </c>
      <c r="J6" s="4">
        <v>0</v>
      </c>
    </row>
    <row r="7" spans="1:10" x14ac:dyDescent="0.25">
      <c r="A7" s="3" t="s">
        <v>1722</v>
      </c>
      <c r="B7" s="4">
        <v>2</v>
      </c>
      <c r="C7" s="4">
        <v>13161</v>
      </c>
      <c r="D7" s="4">
        <v>1</v>
      </c>
      <c r="E7" s="4">
        <v>0</v>
      </c>
      <c r="F7" s="4">
        <v>1</v>
      </c>
      <c r="G7" s="4">
        <v>5614</v>
      </c>
      <c r="H7" s="4">
        <v>0</v>
      </c>
      <c r="I7" s="4">
        <v>7547</v>
      </c>
      <c r="J7" s="4">
        <v>247</v>
      </c>
    </row>
    <row r="8" spans="1:10" x14ac:dyDescent="0.25">
      <c r="A8" s="3" t="s">
        <v>1919</v>
      </c>
      <c r="B8" s="4">
        <v>1</v>
      </c>
      <c r="C8" s="4">
        <v>4000</v>
      </c>
      <c r="D8" s="4">
        <v>0</v>
      </c>
      <c r="E8" s="4">
        <v>1</v>
      </c>
      <c r="F8" s="4">
        <v>0</v>
      </c>
      <c r="G8" s="4">
        <v>0</v>
      </c>
      <c r="H8" s="4">
        <v>4000</v>
      </c>
      <c r="I8" s="4">
        <v>0</v>
      </c>
      <c r="J8" s="4">
        <v>0</v>
      </c>
    </row>
    <row r="9" spans="1:10" x14ac:dyDescent="0.25">
      <c r="A9" s="3" t="s">
        <v>1580</v>
      </c>
      <c r="B9" s="4">
        <v>1</v>
      </c>
      <c r="C9" s="4">
        <v>1900</v>
      </c>
      <c r="D9" s="4">
        <v>0</v>
      </c>
      <c r="E9" s="4">
        <v>1</v>
      </c>
      <c r="F9" s="4">
        <v>0</v>
      </c>
      <c r="G9" s="4">
        <v>0</v>
      </c>
      <c r="H9" s="4">
        <v>1900</v>
      </c>
      <c r="I9" s="4">
        <v>0</v>
      </c>
      <c r="J9" s="4">
        <v>0</v>
      </c>
    </row>
    <row r="10" spans="1:10" x14ac:dyDescent="0.25">
      <c r="A10" s="3" t="s">
        <v>1867</v>
      </c>
      <c r="B10" s="4">
        <v>1</v>
      </c>
      <c r="C10" s="4">
        <v>7500</v>
      </c>
      <c r="D10" s="4">
        <v>0</v>
      </c>
      <c r="E10" s="4">
        <v>1</v>
      </c>
      <c r="F10" s="4">
        <v>0</v>
      </c>
      <c r="G10" s="4">
        <v>0</v>
      </c>
      <c r="H10" s="4">
        <v>7500</v>
      </c>
      <c r="I10" s="4">
        <v>0</v>
      </c>
      <c r="J10" s="4">
        <v>0</v>
      </c>
    </row>
    <row r="11" spans="1:10" x14ac:dyDescent="0.25">
      <c r="A11" s="3" t="s">
        <v>1725</v>
      </c>
      <c r="B11" s="4">
        <v>1</v>
      </c>
      <c r="C11" s="4">
        <v>7000</v>
      </c>
      <c r="D11" s="4">
        <v>0</v>
      </c>
      <c r="E11" s="4">
        <v>1</v>
      </c>
      <c r="F11" s="4">
        <v>0</v>
      </c>
      <c r="G11" s="4">
        <v>0</v>
      </c>
      <c r="H11" s="4">
        <v>7000</v>
      </c>
      <c r="I11" s="4">
        <v>0</v>
      </c>
      <c r="J11" s="4">
        <v>0</v>
      </c>
    </row>
    <row r="12" spans="1:10" x14ac:dyDescent="0.25">
      <c r="A12" s="3" t="s">
        <v>1531</v>
      </c>
      <c r="B12" s="4">
        <v>3</v>
      </c>
      <c r="C12" s="4">
        <v>16122</v>
      </c>
      <c r="D12" s="4">
        <v>0</v>
      </c>
      <c r="E12" s="4">
        <v>3</v>
      </c>
      <c r="F12" s="4">
        <v>0</v>
      </c>
      <c r="G12" s="4">
        <v>0</v>
      </c>
      <c r="H12" s="4">
        <v>16122</v>
      </c>
      <c r="I12" s="4">
        <v>0</v>
      </c>
      <c r="J12" s="4">
        <v>0</v>
      </c>
    </row>
    <row r="13" spans="1:10" x14ac:dyDescent="0.25">
      <c r="A13" s="7" t="s">
        <v>2142</v>
      </c>
      <c r="B13" s="8">
        <v>17</v>
      </c>
      <c r="C13" s="8">
        <v>83493</v>
      </c>
      <c r="D13" s="8">
        <v>3</v>
      </c>
      <c r="E13" s="8">
        <v>11</v>
      </c>
      <c r="F13" s="8">
        <v>3</v>
      </c>
      <c r="G13" s="8">
        <v>11683</v>
      </c>
      <c r="H13" s="8">
        <v>56327</v>
      </c>
      <c r="I13" s="8">
        <v>30966</v>
      </c>
      <c r="J13" s="8">
        <v>13866</v>
      </c>
    </row>
    <row r="14" spans="1:10" x14ac:dyDescent="0.25">
      <c r="A14" s="7" t="s">
        <v>2152</v>
      </c>
      <c r="B14" s="8">
        <v>21</v>
      </c>
      <c r="C14" s="8">
        <v>108524</v>
      </c>
      <c r="D14" s="8">
        <v>3</v>
      </c>
      <c r="E14" s="8">
        <v>14</v>
      </c>
      <c r="F14" s="8">
        <v>4</v>
      </c>
      <c r="G14" s="8">
        <v>11192</v>
      </c>
      <c r="H14" s="8">
        <v>74569</v>
      </c>
      <c r="I14" s="8">
        <v>61035</v>
      </c>
      <c r="J14" s="8">
        <v>37035</v>
      </c>
    </row>
    <row r="15" spans="1:10" x14ac:dyDescent="0.25">
      <c r="A15" s="5" t="s">
        <v>2134</v>
      </c>
      <c r="B15" s="6">
        <v>178</v>
      </c>
      <c r="C15" s="6">
        <v>1231460</v>
      </c>
      <c r="D15" s="6">
        <v>39</v>
      </c>
      <c r="E15" s="6">
        <v>108</v>
      </c>
      <c r="F15" s="6">
        <v>31</v>
      </c>
      <c r="G15" s="6">
        <v>168652</v>
      </c>
      <c r="H15" s="6">
        <v>813457</v>
      </c>
      <c r="I15" s="6">
        <v>422301</v>
      </c>
      <c r="J15" s="6">
        <v>168101</v>
      </c>
    </row>
    <row r="16" spans="1:10" x14ac:dyDescent="0.25">
      <c r="A16" s="5" t="s">
        <v>2135</v>
      </c>
      <c r="B16" s="6">
        <v>189</v>
      </c>
      <c r="C16" s="6">
        <v>1326621</v>
      </c>
      <c r="D16" s="6">
        <v>46</v>
      </c>
      <c r="E16" s="6">
        <v>84</v>
      </c>
      <c r="F16" s="6">
        <v>59</v>
      </c>
      <c r="G16" s="6">
        <v>203731</v>
      </c>
      <c r="H16" s="6">
        <v>611548</v>
      </c>
      <c r="I16" s="6">
        <v>601512</v>
      </c>
      <c r="J16" s="6">
        <v>129512</v>
      </c>
    </row>
    <row r="17" spans="1:10" x14ac:dyDescent="0.25">
      <c r="A17" s="3" t="s">
        <v>2145</v>
      </c>
      <c r="B17" s="4">
        <v>1</v>
      </c>
      <c r="C17" s="4">
        <v>4732</v>
      </c>
      <c r="D17" s="4">
        <v>0</v>
      </c>
      <c r="E17" s="4">
        <v>1</v>
      </c>
      <c r="F17" s="4">
        <v>0</v>
      </c>
      <c r="G17" s="4">
        <v>0</v>
      </c>
      <c r="H17" s="4">
        <v>4732</v>
      </c>
      <c r="I17" s="4">
        <v>0</v>
      </c>
      <c r="J17" s="4">
        <v>0</v>
      </c>
    </row>
    <row r="18" spans="1:10" x14ac:dyDescent="0.25">
      <c r="A18" s="3" t="s">
        <v>2146</v>
      </c>
      <c r="B18" s="4">
        <v>1</v>
      </c>
      <c r="C18" s="4">
        <v>4702</v>
      </c>
      <c r="D18" s="4">
        <v>0</v>
      </c>
      <c r="E18" s="4">
        <v>1</v>
      </c>
      <c r="F18" s="4">
        <v>0</v>
      </c>
      <c r="G18" s="4">
        <v>0</v>
      </c>
      <c r="H18" s="4">
        <v>4702</v>
      </c>
      <c r="I18" s="4">
        <v>0</v>
      </c>
      <c r="J18" s="4">
        <v>0</v>
      </c>
    </row>
    <row r="19" spans="1:10" x14ac:dyDescent="0.25">
      <c r="A19" s="7" t="s">
        <v>2147</v>
      </c>
      <c r="B19" s="8">
        <v>45</v>
      </c>
      <c r="C19" s="8">
        <v>466872</v>
      </c>
      <c r="D19" s="8">
        <v>6</v>
      </c>
      <c r="E19" s="8">
        <v>25</v>
      </c>
      <c r="F19" s="8">
        <v>14</v>
      </c>
      <c r="G19" s="8">
        <v>43194</v>
      </c>
      <c r="H19" s="8">
        <v>261560</v>
      </c>
      <c r="I19" s="8">
        <v>229366</v>
      </c>
      <c r="J19" s="8">
        <v>65566</v>
      </c>
    </row>
    <row r="20" spans="1:10" x14ac:dyDescent="0.25">
      <c r="A20" s="3" t="s">
        <v>2148</v>
      </c>
      <c r="B20" s="4">
        <v>1</v>
      </c>
      <c r="C20" s="4">
        <v>8229</v>
      </c>
      <c r="D20" s="4">
        <v>0</v>
      </c>
      <c r="E20" s="4">
        <v>1</v>
      </c>
      <c r="F20" s="4">
        <v>0</v>
      </c>
      <c r="G20" s="4">
        <v>0</v>
      </c>
      <c r="H20" s="4">
        <v>8229</v>
      </c>
      <c r="I20" s="4">
        <v>0</v>
      </c>
      <c r="J20" s="4">
        <v>0</v>
      </c>
    </row>
    <row r="21" spans="1:10" x14ac:dyDescent="0.25">
      <c r="A21" s="7" t="s">
        <v>2149</v>
      </c>
      <c r="B21" s="8">
        <v>38</v>
      </c>
      <c r="C21" s="8">
        <v>394125</v>
      </c>
      <c r="D21" s="8">
        <v>6</v>
      </c>
      <c r="E21" s="8">
        <v>22</v>
      </c>
      <c r="F21" s="8">
        <v>10</v>
      </c>
      <c r="G21" s="8">
        <v>43550</v>
      </c>
      <c r="H21" s="8">
        <v>227197</v>
      </c>
      <c r="I21" s="8">
        <v>155792</v>
      </c>
      <c r="J21" s="8">
        <v>41792</v>
      </c>
    </row>
    <row r="22" spans="1:10" x14ac:dyDescent="0.25">
      <c r="A22" s="7" t="s">
        <v>2136</v>
      </c>
      <c r="B22" s="8">
        <v>42</v>
      </c>
      <c r="C22" s="8">
        <v>564721</v>
      </c>
      <c r="D22" s="8">
        <v>9</v>
      </c>
      <c r="E22" s="8">
        <v>30</v>
      </c>
      <c r="F22" s="8">
        <v>3</v>
      </c>
      <c r="G22" s="8">
        <v>86561</v>
      </c>
      <c r="H22" s="8">
        <v>432793</v>
      </c>
      <c r="I22" s="8">
        <v>103767</v>
      </c>
      <c r="J22" s="8">
        <v>56067</v>
      </c>
    </row>
    <row r="23" spans="1:10" x14ac:dyDescent="0.25">
      <c r="A23" s="3" t="s">
        <v>2143</v>
      </c>
      <c r="B23" s="4">
        <v>1</v>
      </c>
      <c r="C23" s="4">
        <v>4854</v>
      </c>
      <c r="D23" s="4">
        <v>0</v>
      </c>
      <c r="E23" s="4">
        <v>1</v>
      </c>
      <c r="F23" s="4">
        <v>0</v>
      </c>
      <c r="G23" s="4">
        <v>0</v>
      </c>
      <c r="H23" s="4">
        <v>4854</v>
      </c>
      <c r="I23" s="4">
        <v>0</v>
      </c>
      <c r="J23" s="4">
        <v>0</v>
      </c>
    </row>
    <row r="24" spans="1:10" x14ac:dyDescent="0.25">
      <c r="A24" s="3" t="s">
        <v>2192</v>
      </c>
      <c r="B24" s="4">
        <v>5</v>
      </c>
      <c r="C24" s="4">
        <v>18240</v>
      </c>
      <c r="D24" s="4">
        <v>2</v>
      </c>
      <c r="E24" s="4">
        <v>1</v>
      </c>
      <c r="F24" s="4">
        <v>2</v>
      </c>
      <c r="G24" s="4">
        <v>5095</v>
      </c>
      <c r="H24" s="4">
        <v>3186</v>
      </c>
      <c r="I24" s="4">
        <v>9959</v>
      </c>
      <c r="J24" s="4">
        <v>2759</v>
      </c>
    </row>
    <row r="25" spans="1:10" x14ac:dyDescent="0.25">
      <c r="A25" s="3" t="s">
        <v>2170</v>
      </c>
      <c r="B25" s="4">
        <v>3</v>
      </c>
      <c r="C25" s="4">
        <v>59466</v>
      </c>
      <c r="D25" s="4">
        <v>0</v>
      </c>
      <c r="E25" s="4">
        <v>3</v>
      </c>
      <c r="F25" s="4">
        <v>0</v>
      </c>
      <c r="G25" s="4">
        <v>0</v>
      </c>
      <c r="H25" s="4">
        <v>59466</v>
      </c>
      <c r="I25" s="4">
        <v>0</v>
      </c>
      <c r="J25" s="4">
        <v>0</v>
      </c>
    </row>
    <row r="26" spans="1:10" x14ac:dyDescent="0.25">
      <c r="A26" s="7" t="s">
        <v>2151</v>
      </c>
      <c r="B26" s="8">
        <v>19</v>
      </c>
      <c r="C26" s="8">
        <v>185008</v>
      </c>
      <c r="D26" s="8">
        <v>4</v>
      </c>
      <c r="E26" s="8">
        <v>15</v>
      </c>
      <c r="F26" s="8">
        <v>0</v>
      </c>
      <c r="G26" s="8">
        <v>28263</v>
      </c>
      <c r="H26" s="8">
        <v>156745</v>
      </c>
      <c r="I26" s="8">
        <v>0</v>
      </c>
      <c r="J26" s="8">
        <v>0</v>
      </c>
    </row>
    <row r="27" spans="1:10" x14ac:dyDescent="0.25">
      <c r="A27" s="3" t="s">
        <v>2174</v>
      </c>
      <c r="B27" s="4">
        <v>1</v>
      </c>
      <c r="C27" s="4">
        <v>9704</v>
      </c>
      <c r="D27" s="4">
        <v>0</v>
      </c>
      <c r="E27" s="4">
        <v>1</v>
      </c>
      <c r="F27" s="4">
        <v>0</v>
      </c>
      <c r="G27" s="4">
        <v>0</v>
      </c>
      <c r="H27" s="4">
        <v>9704</v>
      </c>
      <c r="I27" s="4">
        <v>0</v>
      </c>
      <c r="J27" s="4">
        <v>0</v>
      </c>
    </row>
    <row r="28" spans="1:10" x14ac:dyDescent="0.25">
      <c r="A28" s="3" t="s">
        <v>2175</v>
      </c>
      <c r="B28" s="4">
        <v>4</v>
      </c>
      <c r="C28" s="4">
        <v>34966</v>
      </c>
      <c r="D28" s="4">
        <v>1</v>
      </c>
      <c r="E28" s="4">
        <v>2</v>
      </c>
      <c r="F28" s="4">
        <v>1</v>
      </c>
      <c r="G28" s="4">
        <v>5125</v>
      </c>
      <c r="H28" s="4">
        <v>11628</v>
      </c>
      <c r="I28" s="4">
        <v>18213</v>
      </c>
      <c r="J28" s="4">
        <v>11813</v>
      </c>
    </row>
    <row r="29" spans="1:10" x14ac:dyDescent="0.25">
      <c r="A29" s="7" t="s">
        <v>2153</v>
      </c>
      <c r="B29" s="8">
        <v>13</v>
      </c>
      <c r="C29" s="8">
        <v>119924</v>
      </c>
      <c r="D29" s="8">
        <v>3</v>
      </c>
      <c r="E29" s="8">
        <v>10</v>
      </c>
      <c r="F29" s="8">
        <v>0</v>
      </c>
      <c r="G29" s="8">
        <v>18253</v>
      </c>
      <c r="H29" s="8">
        <v>101671</v>
      </c>
      <c r="I29" s="8">
        <v>0</v>
      </c>
      <c r="J29" s="8">
        <v>0</v>
      </c>
    </row>
    <row r="30" spans="1:10" x14ac:dyDescent="0.25">
      <c r="A30" s="3" t="s">
        <v>2173</v>
      </c>
      <c r="B30" s="4">
        <v>7</v>
      </c>
      <c r="C30" s="4">
        <v>85907</v>
      </c>
      <c r="D30" s="4">
        <v>1</v>
      </c>
      <c r="E30" s="4">
        <v>2</v>
      </c>
      <c r="F30" s="4">
        <v>4</v>
      </c>
      <c r="G30" s="4">
        <v>8560</v>
      </c>
      <c r="H30" s="4">
        <v>22602</v>
      </c>
      <c r="I30" s="4">
        <v>65625</v>
      </c>
      <c r="J30" s="4">
        <v>14025</v>
      </c>
    </row>
    <row r="31" spans="1:10" x14ac:dyDescent="0.25">
      <c r="A31" s="3" t="s">
        <v>2210</v>
      </c>
      <c r="B31" s="4">
        <v>7</v>
      </c>
      <c r="C31" s="4">
        <v>136493</v>
      </c>
      <c r="D31" s="4">
        <v>1</v>
      </c>
      <c r="E31" s="4">
        <v>6</v>
      </c>
      <c r="F31" s="4">
        <v>0</v>
      </c>
      <c r="G31" s="4">
        <v>16371</v>
      </c>
      <c r="H31" s="4">
        <v>120122</v>
      </c>
      <c r="I31" s="4">
        <v>0</v>
      </c>
      <c r="J31" s="4">
        <v>0</v>
      </c>
    </row>
    <row r="32" spans="1:10" x14ac:dyDescent="0.25">
      <c r="A32" s="3" t="s">
        <v>2158</v>
      </c>
      <c r="B32" s="4">
        <v>27</v>
      </c>
      <c r="C32" s="4">
        <v>554302</v>
      </c>
      <c r="D32" s="4">
        <v>1</v>
      </c>
      <c r="E32" s="4">
        <v>22</v>
      </c>
      <c r="F32" s="4">
        <v>4</v>
      </c>
      <c r="G32" s="4">
        <v>18257</v>
      </c>
      <c r="H32" s="4">
        <v>450838</v>
      </c>
      <c r="I32" s="4">
        <v>146422</v>
      </c>
      <c r="J32" s="4">
        <v>56022</v>
      </c>
    </row>
    <row r="33" spans="1:10" x14ac:dyDescent="0.25">
      <c r="A33" s="3" t="s">
        <v>2191</v>
      </c>
      <c r="B33" s="4">
        <v>8</v>
      </c>
      <c r="C33" s="4">
        <v>42571</v>
      </c>
      <c r="D33" s="4">
        <v>2</v>
      </c>
      <c r="E33" s="4">
        <v>6</v>
      </c>
      <c r="F33" s="4">
        <v>0</v>
      </c>
      <c r="G33" s="4">
        <v>8518</v>
      </c>
      <c r="H33" s="4">
        <v>34053</v>
      </c>
      <c r="I33" s="4">
        <v>0</v>
      </c>
      <c r="J33" s="4">
        <v>0</v>
      </c>
    </row>
    <row r="34" spans="1:10" x14ac:dyDescent="0.25">
      <c r="A34" s="3" t="s">
        <v>2185</v>
      </c>
      <c r="B34" s="4">
        <v>1</v>
      </c>
      <c r="C34" s="4">
        <v>9450</v>
      </c>
      <c r="D34" s="4">
        <v>0</v>
      </c>
      <c r="E34" s="4">
        <v>1</v>
      </c>
      <c r="F34" s="4">
        <v>0</v>
      </c>
      <c r="G34" s="4">
        <v>0</v>
      </c>
      <c r="H34" s="4">
        <v>9450</v>
      </c>
      <c r="I34" s="4">
        <v>0</v>
      </c>
      <c r="J34" s="4">
        <v>0</v>
      </c>
    </row>
    <row r="35" spans="1:10" x14ac:dyDescent="0.25">
      <c r="A35" s="3" t="s">
        <v>2156</v>
      </c>
      <c r="B35" s="4">
        <v>4</v>
      </c>
      <c r="C35" s="4">
        <v>34070</v>
      </c>
      <c r="D35" s="4">
        <v>1</v>
      </c>
      <c r="E35" s="4">
        <v>3</v>
      </c>
      <c r="F35" s="4">
        <v>0</v>
      </c>
      <c r="G35" s="4">
        <v>5269</v>
      </c>
      <c r="H35" s="4">
        <v>28801</v>
      </c>
      <c r="I35" s="4">
        <v>0</v>
      </c>
      <c r="J35" s="4">
        <v>0</v>
      </c>
    </row>
    <row r="36" spans="1:10" x14ac:dyDescent="0.25">
      <c r="A36" s="3" t="s">
        <v>2196</v>
      </c>
      <c r="B36" s="4">
        <v>2</v>
      </c>
      <c r="C36" s="4">
        <v>17537</v>
      </c>
      <c r="D36" s="4">
        <v>1</v>
      </c>
      <c r="E36" s="4">
        <v>0</v>
      </c>
      <c r="F36" s="4">
        <v>1</v>
      </c>
      <c r="G36" s="4">
        <v>4180</v>
      </c>
      <c r="H36" s="4">
        <v>0</v>
      </c>
      <c r="I36" s="4">
        <v>13357</v>
      </c>
      <c r="J36" s="4">
        <v>3657</v>
      </c>
    </row>
    <row r="37" spans="1:10" x14ac:dyDescent="0.25">
      <c r="A37" s="7" t="s">
        <v>2208</v>
      </c>
      <c r="B37" s="8">
        <v>10</v>
      </c>
      <c r="C37" s="8">
        <v>104770</v>
      </c>
      <c r="D37" s="8">
        <v>0</v>
      </c>
      <c r="E37" s="8">
        <v>9</v>
      </c>
      <c r="F37" s="8">
        <v>1</v>
      </c>
      <c r="G37" s="8">
        <v>0</v>
      </c>
      <c r="H37" s="8">
        <v>94173</v>
      </c>
      <c r="I37" s="8">
        <v>21194</v>
      </c>
      <c r="J37" s="8">
        <v>9494</v>
      </c>
    </row>
    <row r="38" spans="1:10" x14ac:dyDescent="0.25">
      <c r="A38" s="3" t="s">
        <v>2171</v>
      </c>
      <c r="B38" s="4">
        <v>5</v>
      </c>
      <c r="C38" s="4">
        <v>25101</v>
      </c>
      <c r="D38" s="4">
        <v>0</v>
      </c>
      <c r="E38" s="4">
        <v>4</v>
      </c>
      <c r="F38" s="4">
        <v>1</v>
      </c>
      <c r="G38" s="4">
        <v>0</v>
      </c>
      <c r="H38" s="4">
        <v>20059</v>
      </c>
      <c r="I38" s="4">
        <v>19830</v>
      </c>
      <c r="J38" s="4">
        <v>14230</v>
      </c>
    </row>
    <row r="39" spans="1:10" x14ac:dyDescent="0.25">
      <c r="A39" s="3" t="s">
        <v>2214</v>
      </c>
      <c r="B39" s="4">
        <v>3</v>
      </c>
      <c r="C39" s="4">
        <v>14546</v>
      </c>
      <c r="D39" s="4">
        <v>0</v>
      </c>
      <c r="E39" s="4">
        <v>3</v>
      </c>
      <c r="F39" s="4">
        <v>0</v>
      </c>
      <c r="G39" s="4">
        <v>0</v>
      </c>
      <c r="H39" s="4">
        <v>14546</v>
      </c>
      <c r="I39" s="4">
        <v>0</v>
      </c>
      <c r="J39" s="4">
        <v>0</v>
      </c>
    </row>
    <row r="40" spans="1:10" x14ac:dyDescent="0.25">
      <c r="A40" s="3" t="s">
        <v>2176</v>
      </c>
      <c r="B40" s="4">
        <v>2</v>
      </c>
      <c r="C40" s="4">
        <v>19507</v>
      </c>
      <c r="D40" s="4">
        <v>0</v>
      </c>
      <c r="E40" s="4">
        <v>2</v>
      </c>
      <c r="F40" s="4">
        <v>0</v>
      </c>
      <c r="G40" s="4">
        <v>0</v>
      </c>
      <c r="H40" s="4">
        <v>19507</v>
      </c>
      <c r="I40" s="4">
        <v>0</v>
      </c>
      <c r="J40" s="4">
        <v>0</v>
      </c>
    </row>
    <row r="41" spans="1:10" x14ac:dyDescent="0.25">
      <c r="A41" s="3" t="s">
        <v>2164</v>
      </c>
      <c r="B41" s="4">
        <v>2</v>
      </c>
      <c r="C41" s="4">
        <v>21310</v>
      </c>
      <c r="D41" s="4">
        <v>1</v>
      </c>
      <c r="E41" s="4">
        <v>0</v>
      </c>
      <c r="F41" s="4">
        <v>1</v>
      </c>
      <c r="G41" s="4">
        <v>4810</v>
      </c>
      <c r="H41" s="4">
        <v>0</v>
      </c>
      <c r="I41" s="4">
        <v>16500</v>
      </c>
      <c r="J41" s="4">
        <v>4700</v>
      </c>
    </row>
    <row r="42" spans="1:10" x14ac:dyDescent="0.25">
      <c r="A42" s="3" t="s">
        <v>2186</v>
      </c>
      <c r="B42" s="4">
        <v>1</v>
      </c>
      <c r="C42" s="4">
        <v>222207</v>
      </c>
      <c r="D42" s="4">
        <v>0</v>
      </c>
      <c r="E42" s="4">
        <v>1</v>
      </c>
      <c r="F42" s="4">
        <v>0</v>
      </c>
      <c r="G42" s="4">
        <v>0</v>
      </c>
      <c r="H42" s="4">
        <v>222207</v>
      </c>
      <c r="I42" s="4">
        <v>0</v>
      </c>
      <c r="J42" s="4">
        <v>0</v>
      </c>
    </row>
    <row r="43" spans="1:10" x14ac:dyDescent="0.25">
      <c r="A43" s="3" t="s">
        <v>2150</v>
      </c>
      <c r="B43" s="4">
        <v>1</v>
      </c>
      <c r="C43" s="4">
        <v>0</v>
      </c>
      <c r="D43" s="4">
        <v>0</v>
      </c>
      <c r="E43" s="4">
        <v>1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</row>
    <row r="44" spans="1:10" x14ac:dyDescent="0.25">
      <c r="A44" s="3" t="s">
        <v>2222</v>
      </c>
      <c r="B44" s="4">
        <v>1</v>
      </c>
      <c r="C44" s="4">
        <v>7479</v>
      </c>
      <c r="D44" s="4">
        <v>0</v>
      </c>
      <c r="E44" s="4">
        <v>1</v>
      </c>
      <c r="F44" s="4">
        <v>0</v>
      </c>
      <c r="G44" s="4">
        <v>0</v>
      </c>
      <c r="H44" s="4">
        <v>7479</v>
      </c>
      <c r="I44" s="4">
        <v>0</v>
      </c>
      <c r="J44" s="4">
        <v>0</v>
      </c>
    </row>
    <row r="45" spans="1:10" x14ac:dyDescent="0.25">
      <c r="A45" s="3" t="s">
        <v>2213</v>
      </c>
      <c r="B45" s="4">
        <v>1</v>
      </c>
      <c r="C45" s="4">
        <v>7715</v>
      </c>
      <c r="D45" s="4">
        <v>0</v>
      </c>
      <c r="E45" s="4">
        <v>1</v>
      </c>
      <c r="F45" s="4">
        <v>0</v>
      </c>
      <c r="G45" s="4">
        <v>0</v>
      </c>
      <c r="H45" s="4">
        <v>7715</v>
      </c>
      <c r="I45" s="4">
        <v>0</v>
      </c>
      <c r="J45" s="4">
        <v>0</v>
      </c>
    </row>
    <row r="46" spans="1:10" x14ac:dyDescent="0.25">
      <c r="A46" s="3" t="s">
        <v>2137</v>
      </c>
      <c r="B46" s="4">
        <v>2</v>
      </c>
      <c r="C46" s="4">
        <v>16459</v>
      </c>
      <c r="D46" s="4">
        <v>1</v>
      </c>
      <c r="E46" s="4">
        <v>0</v>
      </c>
      <c r="F46" s="4">
        <v>1</v>
      </c>
      <c r="G46" s="4">
        <v>6122</v>
      </c>
      <c r="H46" s="4">
        <v>0</v>
      </c>
      <c r="I46" s="4">
        <v>10337</v>
      </c>
      <c r="J46" s="4">
        <v>1237</v>
      </c>
    </row>
    <row r="47" spans="1:10" x14ac:dyDescent="0.25">
      <c r="A47" s="3" t="s">
        <v>2154</v>
      </c>
      <c r="B47" s="4">
        <v>3</v>
      </c>
      <c r="C47" s="4">
        <v>23920</v>
      </c>
      <c r="D47" s="4">
        <v>1</v>
      </c>
      <c r="E47" s="4">
        <v>2</v>
      </c>
      <c r="F47" s="4">
        <v>0</v>
      </c>
      <c r="G47" s="4">
        <v>4814</v>
      </c>
      <c r="H47" s="4">
        <v>19106</v>
      </c>
      <c r="I47" s="4">
        <v>0</v>
      </c>
      <c r="J47" s="4">
        <v>0</v>
      </c>
    </row>
    <row r="48" spans="1:10" x14ac:dyDescent="0.25">
      <c r="A48" s="3" t="s">
        <v>2144</v>
      </c>
      <c r="B48" s="4">
        <v>6</v>
      </c>
      <c r="C48" s="4">
        <v>46118</v>
      </c>
      <c r="D48" s="4">
        <v>2</v>
      </c>
      <c r="E48" s="4">
        <v>3</v>
      </c>
      <c r="F48" s="4">
        <v>1</v>
      </c>
      <c r="G48" s="4">
        <v>8826</v>
      </c>
      <c r="H48" s="4">
        <v>27712</v>
      </c>
      <c r="I48" s="4">
        <v>19160</v>
      </c>
      <c r="J48" s="4">
        <v>9160</v>
      </c>
    </row>
    <row r="49" spans="1:10" x14ac:dyDescent="0.25">
      <c r="A49" s="3" t="s">
        <v>2178</v>
      </c>
      <c r="B49" s="4">
        <v>8</v>
      </c>
      <c r="C49" s="4">
        <v>222220</v>
      </c>
      <c r="D49" s="4">
        <v>3</v>
      </c>
      <c r="E49" s="4">
        <v>4</v>
      </c>
      <c r="F49" s="4">
        <v>1</v>
      </c>
      <c r="G49" s="4">
        <v>24359</v>
      </c>
      <c r="H49" s="4">
        <v>150361</v>
      </c>
      <c r="I49" s="4">
        <v>47500</v>
      </c>
      <c r="J49" s="4">
        <v>6400</v>
      </c>
    </row>
    <row r="50" spans="1:10" x14ac:dyDescent="0.25">
      <c r="A50" s="3" t="s">
        <v>2215</v>
      </c>
      <c r="B50" s="4">
        <v>1</v>
      </c>
      <c r="C50" s="4">
        <v>70500</v>
      </c>
      <c r="D50" s="4">
        <v>0</v>
      </c>
      <c r="E50" s="4">
        <v>1</v>
      </c>
      <c r="F50" s="4">
        <v>0</v>
      </c>
      <c r="G50" s="4">
        <v>0</v>
      </c>
      <c r="H50" s="4">
        <v>70500</v>
      </c>
      <c r="I50" s="4">
        <v>0</v>
      </c>
      <c r="J50" s="4">
        <v>0</v>
      </c>
    </row>
    <row r="51" spans="1:10" x14ac:dyDescent="0.25">
      <c r="A51" s="3" t="s">
        <v>2229</v>
      </c>
      <c r="B51" s="4">
        <v>1</v>
      </c>
      <c r="C51" s="4">
        <v>8157</v>
      </c>
      <c r="D51" s="4">
        <v>0</v>
      </c>
      <c r="E51" s="4">
        <v>1</v>
      </c>
      <c r="F51" s="4">
        <v>0</v>
      </c>
      <c r="G51" s="4">
        <v>0</v>
      </c>
      <c r="H51" s="4">
        <v>8157</v>
      </c>
      <c r="I51" s="4">
        <v>0</v>
      </c>
      <c r="J51" s="4">
        <v>0</v>
      </c>
    </row>
    <row r="52" spans="1:10" x14ac:dyDescent="0.25">
      <c r="A52" s="3" t="s">
        <v>2201</v>
      </c>
      <c r="B52" s="4">
        <v>1</v>
      </c>
      <c r="C52" s="4">
        <v>0</v>
      </c>
      <c r="D52" s="4">
        <v>0</v>
      </c>
      <c r="E52" s="4">
        <v>1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</row>
    <row r="53" spans="1:10" x14ac:dyDescent="0.25">
      <c r="A53" s="3" t="s">
        <v>2187</v>
      </c>
      <c r="B53" s="4">
        <v>1</v>
      </c>
      <c r="C53" s="4">
        <v>87500</v>
      </c>
      <c r="D53" s="4">
        <v>0</v>
      </c>
      <c r="E53" s="4">
        <v>1</v>
      </c>
      <c r="F53" s="4">
        <v>0</v>
      </c>
      <c r="G53" s="4">
        <v>0</v>
      </c>
      <c r="H53" s="4">
        <v>87500</v>
      </c>
      <c r="I53" s="4">
        <v>0</v>
      </c>
      <c r="J53" s="4">
        <v>0</v>
      </c>
    </row>
    <row r="54" spans="1:10" x14ac:dyDescent="0.25">
      <c r="A54" s="3" t="s">
        <v>2206</v>
      </c>
      <c r="B54" s="4">
        <v>1</v>
      </c>
      <c r="C54" s="4">
        <v>143000</v>
      </c>
      <c r="D54" s="4">
        <v>0</v>
      </c>
      <c r="E54" s="4">
        <v>1</v>
      </c>
      <c r="F54" s="4">
        <v>0</v>
      </c>
      <c r="G54" s="4">
        <v>0</v>
      </c>
      <c r="H54" s="4">
        <v>143000</v>
      </c>
      <c r="I54" s="4">
        <v>0</v>
      </c>
      <c r="J54" s="4">
        <v>0</v>
      </c>
    </row>
    <row r="55" spans="1:10" x14ac:dyDescent="0.25">
      <c r="A55" s="3" t="s">
        <v>2218</v>
      </c>
      <c r="B55" s="4">
        <v>1</v>
      </c>
      <c r="C55" s="4">
        <v>0</v>
      </c>
      <c r="D55" s="4">
        <v>0</v>
      </c>
      <c r="E55" s="4">
        <v>1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</row>
    <row r="56" spans="1:10" x14ac:dyDescent="0.25">
      <c r="A56" s="3" t="s">
        <v>2195</v>
      </c>
      <c r="B56" s="4">
        <v>2</v>
      </c>
      <c r="C56" s="4">
        <v>15822</v>
      </c>
      <c r="D56" s="4">
        <v>1</v>
      </c>
      <c r="E56" s="4">
        <v>0</v>
      </c>
      <c r="F56" s="4">
        <v>1</v>
      </c>
      <c r="G56" s="4">
        <v>5425</v>
      </c>
      <c r="H56" s="4">
        <v>0</v>
      </c>
      <c r="I56" s="4">
        <v>10397</v>
      </c>
      <c r="J56" s="4">
        <v>1597</v>
      </c>
    </row>
    <row r="57" spans="1:10" x14ac:dyDescent="0.25">
      <c r="A57" s="3" t="s">
        <v>2212</v>
      </c>
      <c r="B57" s="4">
        <v>3</v>
      </c>
      <c r="C57" s="4">
        <v>58763</v>
      </c>
      <c r="D57" s="4">
        <v>0</v>
      </c>
      <c r="E57" s="4">
        <v>3</v>
      </c>
      <c r="F57" s="4">
        <v>0</v>
      </c>
      <c r="G57" s="4">
        <v>0</v>
      </c>
      <c r="H57" s="4">
        <v>58763</v>
      </c>
      <c r="I57" s="4">
        <v>0</v>
      </c>
      <c r="J57" s="4">
        <v>0</v>
      </c>
    </row>
    <row r="58" spans="1:10" x14ac:dyDescent="0.25">
      <c r="A58" s="3" t="s">
        <v>2193</v>
      </c>
      <c r="B58" s="4">
        <v>1</v>
      </c>
      <c r="C58" s="4">
        <v>13000</v>
      </c>
      <c r="D58" s="4">
        <v>0</v>
      </c>
      <c r="E58" s="4">
        <v>1</v>
      </c>
      <c r="F58" s="4">
        <v>0</v>
      </c>
      <c r="G58" s="4">
        <v>0</v>
      </c>
      <c r="H58" s="4">
        <v>13000</v>
      </c>
      <c r="I58" s="4">
        <v>0</v>
      </c>
      <c r="J58" s="4">
        <v>0</v>
      </c>
    </row>
    <row r="59" spans="1:10" x14ac:dyDescent="0.25">
      <c r="A59" s="3" t="s">
        <v>2220</v>
      </c>
      <c r="B59" s="4">
        <v>2</v>
      </c>
      <c r="C59" s="4">
        <v>13888</v>
      </c>
      <c r="D59" s="4">
        <v>1</v>
      </c>
      <c r="E59" s="4">
        <v>0</v>
      </c>
      <c r="F59" s="4">
        <v>1</v>
      </c>
      <c r="G59" s="4">
        <v>5216</v>
      </c>
      <c r="H59" s="4">
        <v>0</v>
      </c>
      <c r="I59" s="4">
        <v>8672</v>
      </c>
      <c r="J59" s="4">
        <v>972</v>
      </c>
    </row>
    <row r="60" spans="1:10" x14ac:dyDescent="0.25">
      <c r="A60" s="3" t="s">
        <v>2194</v>
      </c>
      <c r="B60" s="4">
        <v>2</v>
      </c>
      <c r="C60" s="4">
        <v>6500</v>
      </c>
      <c r="D60" s="4">
        <v>1</v>
      </c>
      <c r="E60" s="4">
        <v>0</v>
      </c>
      <c r="F60" s="4">
        <v>1</v>
      </c>
      <c r="G60" s="4">
        <v>0</v>
      </c>
      <c r="H60" s="4">
        <v>0</v>
      </c>
      <c r="I60" s="4">
        <v>6500</v>
      </c>
      <c r="J60" s="4">
        <v>2900</v>
      </c>
    </row>
    <row r="61" spans="1:10" x14ac:dyDescent="0.25">
      <c r="A61" s="3" t="s">
        <v>2217</v>
      </c>
      <c r="B61" s="4">
        <v>1</v>
      </c>
      <c r="C61" s="4">
        <v>8800</v>
      </c>
      <c r="D61" s="4">
        <v>0</v>
      </c>
      <c r="E61" s="4">
        <v>1</v>
      </c>
      <c r="F61" s="4">
        <v>0</v>
      </c>
      <c r="G61" s="4">
        <v>0</v>
      </c>
      <c r="H61" s="4">
        <v>8800</v>
      </c>
      <c r="I61" s="4">
        <v>0</v>
      </c>
      <c r="J61" s="4">
        <v>0</v>
      </c>
    </row>
    <row r="62" spans="1:10" x14ac:dyDescent="0.25">
      <c r="A62" s="3" t="s">
        <v>2157</v>
      </c>
      <c r="B62" s="4">
        <v>2</v>
      </c>
      <c r="C62" s="4">
        <v>166000</v>
      </c>
      <c r="D62" s="4">
        <v>1</v>
      </c>
      <c r="E62" s="4">
        <v>0</v>
      </c>
      <c r="F62" s="4">
        <v>1</v>
      </c>
      <c r="G62" s="4">
        <v>72000</v>
      </c>
      <c r="H62" s="4">
        <v>0</v>
      </c>
      <c r="I62" s="4">
        <v>94000</v>
      </c>
      <c r="J62" s="4">
        <v>2700</v>
      </c>
    </row>
    <row r="63" spans="1:10" x14ac:dyDescent="0.25">
      <c r="A63" s="3" t="s">
        <v>2183</v>
      </c>
      <c r="B63" s="4">
        <v>1</v>
      </c>
      <c r="C63" s="4">
        <v>78000</v>
      </c>
      <c r="D63" s="4">
        <v>0</v>
      </c>
      <c r="E63" s="4">
        <v>1</v>
      </c>
      <c r="F63" s="4">
        <v>0</v>
      </c>
      <c r="G63" s="4">
        <v>0</v>
      </c>
      <c r="H63" s="4">
        <v>78000</v>
      </c>
      <c r="I63" s="4">
        <v>0</v>
      </c>
      <c r="J63" s="4">
        <v>0</v>
      </c>
    </row>
    <row r="64" spans="1:10" x14ac:dyDescent="0.25">
      <c r="A64" s="3" t="s">
        <v>2182</v>
      </c>
      <c r="B64" s="4">
        <v>1</v>
      </c>
      <c r="C64" s="4">
        <v>23835</v>
      </c>
      <c r="D64" s="4">
        <v>0</v>
      </c>
      <c r="E64" s="4">
        <v>1</v>
      </c>
      <c r="F64" s="4">
        <v>0</v>
      </c>
      <c r="G64" s="4">
        <v>0</v>
      </c>
      <c r="H64" s="4">
        <v>23835</v>
      </c>
      <c r="I64" s="4">
        <v>0</v>
      </c>
      <c r="J64" s="4">
        <v>0</v>
      </c>
    </row>
    <row r="65" spans="1:10" x14ac:dyDescent="0.25">
      <c r="A65" s="3" t="s">
        <v>2202</v>
      </c>
      <c r="B65" s="4">
        <v>1</v>
      </c>
      <c r="C65" s="4">
        <v>15000</v>
      </c>
      <c r="D65" s="4">
        <v>0</v>
      </c>
      <c r="E65" s="4">
        <v>1</v>
      </c>
      <c r="F65" s="4">
        <v>0</v>
      </c>
      <c r="G65" s="4">
        <v>0</v>
      </c>
      <c r="H65" s="4">
        <v>15000</v>
      </c>
      <c r="I65" s="4">
        <v>0</v>
      </c>
      <c r="J65" s="4">
        <v>0</v>
      </c>
    </row>
    <row r="66" spans="1:10" x14ac:dyDescent="0.25">
      <c r="A66" s="3" t="s">
        <v>2165</v>
      </c>
      <c r="B66" s="4">
        <v>2</v>
      </c>
      <c r="C66" s="4">
        <v>15416</v>
      </c>
      <c r="D66" s="4">
        <v>0</v>
      </c>
      <c r="E66" s="4">
        <v>2</v>
      </c>
      <c r="F66" s="4">
        <v>0</v>
      </c>
      <c r="G66" s="4">
        <v>0</v>
      </c>
      <c r="H66" s="4">
        <v>15416</v>
      </c>
      <c r="I66" s="4">
        <v>0</v>
      </c>
      <c r="J66" s="4">
        <v>0</v>
      </c>
    </row>
    <row r="67" spans="1:10" x14ac:dyDescent="0.25">
      <c r="A67" s="3" t="s">
        <v>2166</v>
      </c>
      <c r="B67" s="4">
        <v>1</v>
      </c>
      <c r="C67" s="4">
        <v>5775</v>
      </c>
      <c r="D67" s="4">
        <v>0</v>
      </c>
      <c r="E67" s="4">
        <v>1</v>
      </c>
      <c r="F67" s="4">
        <v>0</v>
      </c>
      <c r="G67" s="4">
        <v>0</v>
      </c>
      <c r="H67" s="4">
        <v>5775</v>
      </c>
      <c r="I67" s="4">
        <v>0</v>
      </c>
      <c r="J67" s="4">
        <v>0</v>
      </c>
    </row>
    <row r="68" spans="1:10" x14ac:dyDescent="0.25">
      <c r="A68" s="3" t="s">
        <v>2162</v>
      </c>
      <c r="B68" s="4">
        <v>1</v>
      </c>
      <c r="C68" s="4">
        <v>50405</v>
      </c>
      <c r="D68" s="4">
        <v>0</v>
      </c>
      <c r="E68" s="4">
        <v>1</v>
      </c>
      <c r="F68" s="4">
        <v>0</v>
      </c>
      <c r="G68" s="4">
        <v>0</v>
      </c>
      <c r="H68" s="4">
        <v>50405</v>
      </c>
      <c r="I68" s="4">
        <v>0</v>
      </c>
      <c r="J68" s="4">
        <v>0</v>
      </c>
    </row>
    <row r="69" spans="1:10" x14ac:dyDescent="0.25">
      <c r="A69" s="3" t="s">
        <v>2203</v>
      </c>
      <c r="B69" s="4">
        <v>1</v>
      </c>
      <c r="C69" s="4">
        <v>9000</v>
      </c>
      <c r="D69" s="4">
        <v>0</v>
      </c>
      <c r="E69" s="4">
        <v>1</v>
      </c>
      <c r="F69" s="4">
        <v>0</v>
      </c>
      <c r="G69" s="4">
        <v>0</v>
      </c>
      <c r="H69" s="4">
        <v>9000</v>
      </c>
      <c r="I69" s="4">
        <v>0</v>
      </c>
      <c r="J69" s="4">
        <v>0</v>
      </c>
    </row>
    <row r="70" spans="1:10" x14ac:dyDescent="0.25">
      <c r="A70" s="3" t="s">
        <v>2188</v>
      </c>
      <c r="B70" s="4">
        <v>2</v>
      </c>
      <c r="C70" s="4">
        <v>238000</v>
      </c>
      <c r="D70" s="4">
        <v>0</v>
      </c>
      <c r="E70" s="4">
        <v>2</v>
      </c>
      <c r="F70" s="4">
        <v>0</v>
      </c>
      <c r="G70" s="4">
        <v>0</v>
      </c>
      <c r="H70" s="4">
        <v>238000</v>
      </c>
      <c r="I70" s="4">
        <v>0</v>
      </c>
      <c r="J70" s="4">
        <v>0</v>
      </c>
    </row>
    <row r="71" spans="1:10" x14ac:dyDescent="0.25">
      <c r="A71" s="3" t="s">
        <v>2181</v>
      </c>
      <c r="B71" s="4">
        <v>1</v>
      </c>
      <c r="C71" s="4">
        <v>74830</v>
      </c>
      <c r="D71" s="4">
        <v>0</v>
      </c>
      <c r="E71" s="4">
        <v>1</v>
      </c>
      <c r="F71" s="4">
        <v>0</v>
      </c>
      <c r="G71" s="4">
        <v>0</v>
      </c>
      <c r="H71" s="4">
        <v>74830</v>
      </c>
      <c r="I71" s="4">
        <v>0</v>
      </c>
      <c r="J71" s="4">
        <v>0</v>
      </c>
    </row>
    <row r="72" spans="1:10" x14ac:dyDescent="0.25">
      <c r="A72" s="3" t="s">
        <v>2204</v>
      </c>
      <c r="B72" s="4">
        <v>1</v>
      </c>
      <c r="C72" s="4">
        <v>68017</v>
      </c>
      <c r="D72" s="4">
        <v>0</v>
      </c>
      <c r="E72" s="4">
        <v>1</v>
      </c>
      <c r="F72" s="4">
        <v>0</v>
      </c>
      <c r="G72" s="4">
        <v>0</v>
      </c>
      <c r="H72" s="4">
        <v>68017</v>
      </c>
      <c r="I72" s="4">
        <v>0</v>
      </c>
      <c r="J72" s="4">
        <v>0</v>
      </c>
    </row>
    <row r="73" spans="1:10" x14ac:dyDescent="0.25">
      <c r="A73" s="3" t="s">
        <v>2139</v>
      </c>
      <c r="B73" s="4">
        <v>4</v>
      </c>
      <c r="C73" s="4">
        <v>141635</v>
      </c>
      <c r="D73" s="4">
        <v>1</v>
      </c>
      <c r="E73" s="4">
        <v>3</v>
      </c>
      <c r="F73" s="4">
        <v>0</v>
      </c>
      <c r="G73" s="4">
        <v>3800</v>
      </c>
      <c r="H73" s="4">
        <v>137835</v>
      </c>
      <c r="I73" s="4">
        <v>0</v>
      </c>
      <c r="J73" s="4">
        <v>0</v>
      </c>
    </row>
    <row r="74" spans="1:10" x14ac:dyDescent="0.25">
      <c r="A74" s="3" t="s">
        <v>2226</v>
      </c>
      <c r="B74" s="4">
        <v>1</v>
      </c>
      <c r="C74" s="4">
        <v>21870</v>
      </c>
      <c r="D74" s="4">
        <v>0</v>
      </c>
      <c r="E74" s="4">
        <v>1</v>
      </c>
      <c r="F74" s="4">
        <v>0</v>
      </c>
      <c r="G74" s="4">
        <v>0</v>
      </c>
      <c r="H74" s="4">
        <v>21870</v>
      </c>
      <c r="I74" s="4">
        <v>0</v>
      </c>
      <c r="J74" s="4">
        <v>0</v>
      </c>
    </row>
    <row r="75" spans="1:10" x14ac:dyDescent="0.25">
      <c r="A75" s="3" t="s">
        <v>2219</v>
      </c>
      <c r="B75" s="4">
        <v>1</v>
      </c>
      <c r="C75" s="4">
        <v>86200</v>
      </c>
      <c r="D75" s="4">
        <v>0</v>
      </c>
      <c r="E75" s="4">
        <v>1</v>
      </c>
      <c r="F75" s="4">
        <v>0</v>
      </c>
      <c r="G75" s="4">
        <v>0</v>
      </c>
      <c r="H75" s="4">
        <v>86200</v>
      </c>
      <c r="I75" s="4">
        <v>0</v>
      </c>
      <c r="J75" s="4">
        <v>0</v>
      </c>
    </row>
    <row r="76" spans="1:10" x14ac:dyDescent="0.25">
      <c r="A76" s="3" t="s">
        <v>2221</v>
      </c>
      <c r="B76" s="4">
        <v>1</v>
      </c>
      <c r="C76" s="4">
        <v>41000</v>
      </c>
      <c r="D76" s="4">
        <v>0</v>
      </c>
      <c r="E76" s="4">
        <v>1</v>
      </c>
      <c r="F76" s="4">
        <v>0</v>
      </c>
      <c r="G76" s="4">
        <v>0</v>
      </c>
      <c r="H76" s="4">
        <v>41000</v>
      </c>
      <c r="I76" s="4">
        <v>0</v>
      </c>
      <c r="J76" s="4">
        <v>0</v>
      </c>
    </row>
    <row r="77" spans="1:10" x14ac:dyDescent="0.25">
      <c r="A77" s="3" t="s">
        <v>2172</v>
      </c>
      <c r="B77" s="4">
        <v>1</v>
      </c>
      <c r="C77" s="4">
        <v>10097</v>
      </c>
      <c r="D77" s="4">
        <v>0</v>
      </c>
      <c r="E77" s="4">
        <v>1</v>
      </c>
      <c r="F77" s="4">
        <v>0</v>
      </c>
      <c r="G77" s="4">
        <v>0</v>
      </c>
      <c r="H77" s="4">
        <v>10097</v>
      </c>
      <c r="I77" s="4">
        <v>0</v>
      </c>
      <c r="J77" s="4">
        <v>0</v>
      </c>
    </row>
    <row r="78" spans="1:10" x14ac:dyDescent="0.25">
      <c r="A78" s="3" t="s">
        <v>2199</v>
      </c>
      <c r="B78" s="4">
        <v>3</v>
      </c>
      <c r="C78" s="4">
        <v>28616</v>
      </c>
      <c r="D78" s="4">
        <v>1</v>
      </c>
      <c r="E78" s="4">
        <v>2</v>
      </c>
      <c r="F78" s="4">
        <v>0</v>
      </c>
      <c r="G78" s="4">
        <v>8729</v>
      </c>
      <c r="H78" s="4">
        <v>19887</v>
      </c>
      <c r="I78" s="4">
        <v>0</v>
      </c>
      <c r="J78" s="4">
        <v>0</v>
      </c>
    </row>
    <row r="79" spans="1:10" x14ac:dyDescent="0.25">
      <c r="A79" s="3" t="s">
        <v>2231</v>
      </c>
      <c r="B79" s="4">
        <v>1</v>
      </c>
      <c r="C79" s="4">
        <v>14860</v>
      </c>
      <c r="D79" s="4">
        <v>0</v>
      </c>
      <c r="E79" s="4">
        <v>1</v>
      </c>
      <c r="F79" s="4">
        <v>0</v>
      </c>
      <c r="G79" s="4">
        <v>0</v>
      </c>
      <c r="H79" s="4">
        <v>14860</v>
      </c>
      <c r="I79" s="4">
        <v>0</v>
      </c>
      <c r="J79" s="4">
        <v>0</v>
      </c>
    </row>
    <row r="80" spans="1:10" x14ac:dyDescent="0.25">
      <c r="A80" s="3" t="s">
        <v>2160</v>
      </c>
      <c r="B80" s="4">
        <v>2</v>
      </c>
      <c r="C80" s="4">
        <v>37764</v>
      </c>
      <c r="D80" s="4">
        <v>0</v>
      </c>
      <c r="E80" s="4">
        <v>2</v>
      </c>
      <c r="F80" s="4">
        <v>0</v>
      </c>
      <c r="G80" s="4">
        <v>0</v>
      </c>
      <c r="H80" s="4">
        <v>37764</v>
      </c>
      <c r="I80" s="4">
        <v>0</v>
      </c>
      <c r="J80" s="4">
        <v>0</v>
      </c>
    </row>
    <row r="81" spans="1:10" x14ac:dyDescent="0.25">
      <c r="A81" s="3" t="s">
        <v>2234</v>
      </c>
      <c r="B81" s="4">
        <v>4</v>
      </c>
      <c r="C81" s="4">
        <v>88242</v>
      </c>
      <c r="D81" s="4">
        <v>0</v>
      </c>
      <c r="E81" s="4">
        <v>2</v>
      </c>
      <c r="F81" s="4">
        <v>2</v>
      </c>
      <c r="G81" s="4">
        <v>0</v>
      </c>
      <c r="H81" s="4">
        <v>40970</v>
      </c>
      <c r="I81" s="4">
        <v>67949</v>
      </c>
      <c r="J81" s="4">
        <v>22349</v>
      </c>
    </row>
    <row r="82" spans="1:10" x14ac:dyDescent="0.25">
      <c r="A82" s="3" t="s">
        <v>2223</v>
      </c>
      <c r="B82" s="4">
        <v>1</v>
      </c>
      <c r="C82" s="4">
        <v>86500</v>
      </c>
      <c r="D82" s="4">
        <v>0</v>
      </c>
      <c r="E82" s="4">
        <v>1</v>
      </c>
      <c r="F82" s="4">
        <v>0</v>
      </c>
      <c r="G82" s="4">
        <v>0</v>
      </c>
      <c r="H82" s="4">
        <v>86500</v>
      </c>
      <c r="I82" s="4">
        <v>0</v>
      </c>
      <c r="J82" s="4">
        <v>0</v>
      </c>
    </row>
    <row r="83" spans="1:10" x14ac:dyDescent="0.25">
      <c r="A83" s="3" t="s">
        <v>2155</v>
      </c>
      <c r="B83" s="4">
        <v>4</v>
      </c>
      <c r="C83" s="4">
        <v>131500</v>
      </c>
      <c r="D83" s="4">
        <v>1</v>
      </c>
      <c r="E83" s="4">
        <v>2</v>
      </c>
      <c r="F83" s="4">
        <v>1</v>
      </c>
      <c r="G83" s="4">
        <v>27500</v>
      </c>
      <c r="H83" s="4">
        <v>67000</v>
      </c>
      <c r="I83" s="4">
        <v>37000</v>
      </c>
      <c r="J83" s="4">
        <v>100</v>
      </c>
    </row>
    <row r="84" spans="1:10" x14ac:dyDescent="0.25">
      <c r="A84" s="3" t="s">
        <v>2180</v>
      </c>
      <c r="B84" s="4">
        <v>1</v>
      </c>
      <c r="C84" s="4">
        <v>75000</v>
      </c>
      <c r="D84" s="4">
        <v>0</v>
      </c>
      <c r="E84" s="4">
        <v>1</v>
      </c>
      <c r="F84" s="4">
        <v>0</v>
      </c>
      <c r="G84" s="4">
        <v>0</v>
      </c>
      <c r="H84" s="4">
        <v>75000</v>
      </c>
      <c r="I84" s="4">
        <v>0</v>
      </c>
      <c r="J84" s="4">
        <v>0</v>
      </c>
    </row>
    <row r="85" spans="1:10" x14ac:dyDescent="0.25">
      <c r="A85" s="3" t="s">
        <v>2161</v>
      </c>
      <c r="B85" s="4">
        <v>1</v>
      </c>
      <c r="C85" s="4">
        <v>115000</v>
      </c>
      <c r="D85" s="4">
        <v>0</v>
      </c>
      <c r="E85" s="4">
        <v>1</v>
      </c>
      <c r="F85" s="4">
        <v>0</v>
      </c>
      <c r="G85" s="4">
        <v>0</v>
      </c>
      <c r="H85" s="4">
        <v>115000</v>
      </c>
      <c r="I85" s="4">
        <v>0</v>
      </c>
      <c r="J85" s="4">
        <v>0</v>
      </c>
    </row>
    <row r="86" spans="1:10" x14ac:dyDescent="0.25">
      <c r="A86" s="3" t="s">
        <v>2216</v>
      </c>
      <c r="B86" s="4">
        <v>1</v>
      </c>
      <c r="C86" s="4">
        <v>23546</v>
      </c>
      <c r="D86" s="4">
        <v>0</v>
      </c>
      <c r="E86" s="4">
        <v>0</v>
      </c>
      <c r="F86" s="4">
        <v>1</v>
      </c>
      <c r="G86" s="4">
        <v>0</v>
      </c>
      <c r="H86" s="4">
        <v>0</v>
      </c>
      <c r="I86" s="4">
        <v>134680</v>
      </c>
      <c r="J86" s="4">
        <v>108680</v>
      </c>
    </row>
    <row r="87" spans="1:10" x14ac:dyDescent="0.25">
      <c r="A87" s="3" t="s">
        <v>2230</v>
      </c>
      <c r="B87" s="4">
        <v>1</v>
      </c>
      <c r="C87" s="4">
        <v>11792</v>
      </c>
      <c r="D87" s="4">
        <v>0</v>
      </c>
      <c r="E87" s="4">
        <v>1</v>
      </c>
      <c r="F87" s="4">
        <v>0</v>
      </c>
      <c r="G87" s="4">
        <v>0</v>
      </c>
      <c r="H87" s="4">
        <v>11792</v>
      </c>
      <c r="I87" s="4">
        <v>0</v>
      </c>
      <c r="J87" s="4">
        <v>0</v>
      </c>
    </row>
    <row r="88" spans="1:10" x14ac:dyDescent="0.25">
      <c r="A88" s="3" t="s">
        <v>2200</v>
      </c>
      <c r="B88" s="4">
        <v>1</v>
      </c>
      <c r="C88" s="4">
        <v>99342</v>
      </c>
      <c r="D88" s="4">
        <v>0</v>
      </c>
      <c r="E88" s="4">
        <v>1</v>
      </c>
      <c r="F88" s="4">
        <v>0</v>
      </c>
      <c r="G88" s="4">
        <v>0</v>
      </c>
      <c r="H88" s="4">
        <v>99342</v>
      </c>
      <c r="I88" s="4">
        <v>0</v>
      </c>
      <c r="J88" s="4">
        <v>0</v>
      </c>
    </row>
    <row r="89" spans="1:10" x14ac:dyDescent="0.25">
      <c r="A89" s="3" t="s">
        <v>2211</v>
      </c>
      <c r="B89" s="4">
        <v>1</v>
      </c>
      <c r="C89" s="4">
        <v>27800</v>
      </c>
      <c r="D89" s="4">
        <v>0</v>
      </c>
      <c r="E89" s="4">
        <v>1</v>
      </c>
      <c r="F89" s="4">
        <v>0</v>
      </c>
      <c r="G89" s="4">
        <v>0</v>
      </c>
      <c r="H89" s="4">
        <v>27800</v>
      </c>
      <c r="I89" s="4">
        <v>0</v>
      </c>
      <c r="J89" s="4">
        <v>0</v>
      </c>
    </row>
    <row r="90" spans="1:10" x14ac:dyDescent="0.25">
      <c r="A90" s="3" t="s">
        <v>2179</v>
      </c>
      <c r="B90" s="4">
        <v>1</v>
      </c>
      <c r="C90" s="4">
        <v>17200</v>
      </c>
      <c r="D90" s="4">
        <v>0</v>
      </c>
      <c r="E90" s="4">
        <v>1</v>
      </c>
      <c r="F90" s="4">
        <v>0</v>
      </c>
      <c r="G90" s="4">
        <v>0</v>
      </c>
      <c r="H90" s="4">
        <v>17200</v>
      </c>
      <c r="I90" s="4">
        <v>0</v>
      </c>
      <c r="J90" s="4">
        <v>0</v>
      </c>
    </row>
    <row r="91" spans="1:10" x14ac:dyDescent="0.25">
      <c r="A91" s="3" t="s">
        <v>2167</v>
      </c>
      <c r="B91" s="4">
        <v>1</v>
      </c>
      <c r="C91" s="4">
        <v>9000</v>
      </c>
      <c r="D91" s="4">
        <v>0</v>
      </c>
      <c r="E91" s="4">
        <v>1</v>
      </c>
      <c r="F91" s="4">
        <v>0</v>
      </c>
      <c r="G91" s="4">
        <v>0</v>
      </c>
      <c r="H91" s="4">
        <v>9000</v>
      </c>
      <c r="I91" s="4">
        <v>0</v>
      </c>
      <c r="J91" s="4">
        <v>0</v>
      </c>
    </row>
    <row r="92" spans="1:10" x14ac:dyDescent="0.25">
      <c r="A92" s="3" t="s">
        <v>2140</v>
      </c>
      <c r="B92" s="4">
        <v>1</v>
      </c>
      <c r="C92" s="4">
        <v>42200</v>
      </c>
      <c r="D92" s="4">
        <v>0</v>
      </c>
      <c r="E92" s="4">
        <v>1</v>
      </c>
      <c r="F92" s="4">
        <v>0</v>
      </c>
      <c r="G92" s="4">
        <v>0</v>
      </c>
      <c r="H92" s="4">
        <v>42200</v>
      </c>
      <c r="I92" s="4">
        <v>0</v>
      </c>
      <c r="J92" s="4">
        <v>0</v>
      </c>
    </row>
    <row r="93" spans="1:10" x14ac:dyDescent="0.25">
      <c r="A93" s="3" t="s">
        <v>2184</v>
      </c>
      <c r="B93" s="4">
        <v>1</v>
      </c>
      <c r="C93" s="4">
        <v>6680</v>
      </c>
      <c r="D93" s="4">
        <v>0</v>
      </c>
      <c r="E93" s="4">
        <v>1</v>
      </c>
      <c r="F93" s="4">
        <v>0</v>
      </c>
      <c r="G93" s="4">
        <v>0</v>
      </c>
      <c r="H93" s="4">
        <v>6680</v>
      </c>
      <c r="I93" s="4">
        <v>0</v>
      </c>
      <c r="J93" s="4">
        <v>0</v>
      </c>
    </row>
    <row r="94" spans="1:10" x14ac:dyDescent="0.25">
      <c r="A94" s="3" t="s">
        <v>2224</v>
      </c>
      <c r="B94" s="4">
        <v>1</v>
      </c>
      <c r="C94" s="4">
        <v>5600</v>
      </c>
      <c r="D94" s="4">
        <v>0</v>
      </c>
      <c r="E94" s="4">
        <v>1</v>
      </c>
      <c r="F94" s="4">
        <v>0</v>
      </c>
      <c r="G94" s="4">
        <v>0</v>
      </c>
      <c r="H94" s="4">
        <v>5600</v>
      </c>
      <c r="I94" s="4">
        <v>0</v>
      </c>
      <c r="J94" s="4">
        <v>0</v>
      </c>
    </row>
    <row r="95" spans="1:10" x14ac:dyDescent="0.25">
      <c r="A95" s="3" t="s">
        <v>2235</v>
      </c>
      <c r="B95" s="4">
        <v>1</v>
      </c>
      <c r="C95" s="4">
        <v>35000</v>
      </c>
      <c r="D95" s="4">
        <v>0</v>
      </c>
      <c r="E95" s="4">
        <v>1</v>
      </c>
      <c r="F95" s="4">
        <v>0</v>
      </c>
      <c r="G95" s="4">
        <v>0</v>
      </c>
      <c r="H95" s="4">
        <v>35000</v>
      </c>
      <c r="I95" s="4">
        <v>0</v>
      </c>
      <c r="J95" s="4">
        <v>0</v>
      </c>
    </row>
    <row r="96" spans="1:10" x14ac:dyDescent="0.25">
      <c r="A96" s="3" t="s">
        <v>2141</v>
      </c>
      <c r="B96" s="4">
        <v>1</v>
      </c>
      <c r="C96" s="4">
        <v>28500</v>
      </c>
      <c r="D96" s="4">
        <v>0</v>
      </c>
      <c r="E96" s="4">
        <v>1</v>
      </c>
      <c r="F96" s="4">
        <v>0</v>
      </c>
      <c r="G96" s="4">
        <v>0</v>
      </c>
      <c r="H96" s="4">
        <v>28500</v>
      </c>
      <c r="I96" s="4">
        <v>0</v>
      </c>
      <c r="J96" s="4">
        <v>0</v>
      </c>
    </row>
    <row r="97" spans="1:10" x14ac:dyDescent="0.25">
      <c r="A97" s="3" t="s">
        <v>2177</v>
      </c>
      <c r="B97" s="4">
        <v>1</v>
      </c>
      <c r="C97" s="4">
        <v>20800</v>
      </c>
      <c r="D97" s="4">
        <v>0</v>
      </c>
      <c r="E97" s="4">
        <v>1</v>
      </c>
      <c r="F97" s="4">
        <v>0</v>
      </c>
      <c r="G97" s="4">
        <v>0</v>
      </c>
      <c r="H97" s="4">
        <v>20800</v>
      </c>
      <c r="I97" s="4">
        <v>0</v>
      </c>
      <c r="J97" s="4">
        <v>0</v>
      </c>
    </row>
    <row r="98" spans="1:10" x14ac:dyDescent="0.25">
      <c r="A98" s="3" t="s">
        <v>2209</v>
      </c>
      <c r="B98" s="4">
        <v>1</v>
      </c>
      <c r="C98" s="4">
        <v>10729</v>
      </c>
      <c r="D98" s="4">
        <v>0</v>
      </c>
      <c r="E98" s="4">
        <v>1</v>
      </c>
      <c r="F98" s="4">
        <v>0</v>
      </c>
      <c r="G98" s="4">
        <v>0</v>
      </c>
      <c r="H98" s="4">
        <v>10729</v>
      </c>
      <c r="I98" s="4">
        <v>0</v>
      </c>
      <c r="J98" s="4">
        <v>0</v>
      </c>
    </row>
    <row r="99" spans="1:10" x14ac:dyDescent="0.25">
      <c r="A99" s="3" t="s">
        <v>2163</v>
      </c>
      <c r="B99" s="4">
        <v>1</v>
      </c>
      <c r="C99" s="4">
        <v>13500</v>
      </c>
      <c r="D99" s="4">
        <v>0</v>
      </c>
      <c r="E99" s="4">
        <v>1</v>
      </c>
      <c r="F99" s="4">
        <v>0</v>
      </c>
      <c r="G99" s="4">
        <v>0</v>
      </c>
      <c r="H99" s="4">
        <v>13500</v>
      </c>
      <c r="I99" s="4">
        <v>0</v>
      </c>
      <c r="J99" s="4">
        <v>0</v>
      </c>
    </row>
    <row r="100" spans="1:10" x14ac:dyDescent="0.25">
      <c r="A100" s="3" t="s">
        <v>2189</v>
      </c>
      <c r="B100" s="4">
        <v>1</v>
      </c>
      <c r="C100" s="4">
        <v>28900</v>
      </c>
      <c r="D100" s="4">
        <v>0</v>
      </c>
      <c r="E100" s="4">
        <v>1</v>
      </c>
      <c r="F100" s="4">
        <v>0</v>
      </c>
      <c r="G100" s="4">
        <v>0</v>
      </c>
      <c r="H100" s="4">
        <v>28900</v>
      </c>
      <c r="I100" s="4">
        <v>0</v>
      </c>
      <c r="J100" s="4">
        <v>0</v>
      </c>
    </row>
    <row r="101" spans="1:10" x14ac:dyDescent="0.25">
      <c r="A101" s="3" t="s">
        <v>2138</v>
      </c>
      <c r="B101" s="4">
        <v>2</v>
      </c>
      <c r="C101" s="4">
        <v>42600</v>
      </c>
      <c r="D101" s="4">
        <v>1</v>
      </c>
      <c r="E101" s="4">
        <v>0</v>
      </c>
      <c r="F101" s="4">
        <v>1</v>
      </c>
      <c r="G101" s="4">
        <v>8300</v>
      </c>
      <c r="H101" s="4">
        <v>0</v>
      </c>
      <c r="I101" s="4">
        <v>34300</v>
      </c>
      <c r="J101" s="4">
        <v>10800</v>
      </c>
    </row>
    <row r="102" spans="1:10" x14ac:dyDescent="0.25">
      <c r="A102" s="3" t="s">
        <v>2227</v>
      </c>
      <c r="B102" s="4">
        <v>1</v>
      </c>
      <c r="C102" s="4">
        <v>107000</v>
      </c>
      <c r="D102" s="4">
        <v>0</v>
      </c>
      <c r="E102" s="4">
        <v>1</v>
      </c>
      <c r="F102" s="4">
        <v>0</v>
      </c>
      <c r="G102" s="4">
        <v>0</v>
      </c>
      <c r="H102" s="4">
        <v>107000</v>
      </c>
      <c r="I102" s="4">
        <v>0</v>
      </c>
      <c r="J102" s="4">
        <v>0</v>
      </c>
    </row>
    <row r="103" spans="1:10" x14ac:dyDescent="0.25">
      <c r="A103" s="3" t="s">
        <v>2236</v>
      </c>
      <c r="B103" s="4">
        <v>1</v>
      </c>
      <c r="C103" s="4">
        <v>68000</v>
      </c>
      <c r="D103" s="4">
        <v>0</v>
      </c>
      <c r="E103" s="4">
        <v>1</v>
      </c>
      <c r="F103" s="4">
        <v>0</v>
      </c>
      <c r="G103" s="4">
        <v>0</v>
      </c>
      <c r="H103" s="4">
        <v>68000</v>
      </c>
      <c r="I103" s="4">
        <v>0</v>
      </c>
      <c r="J103" s="4">
        <v>0</v>
      </c>
    </row>
    <row r="104" spans="1:10" x14ac:dyDescent="0.25">
      <c r="A104" s="3" t="s">
        <v>2207</v>
      </c>
      <c r="B104" s="4">
        <v>1</v>
      </c>
      <c r="C104" s="4">
        <v>5864</v>
      </c>
      <c r="D104" s="4">
        <v>0</v>
      </c>
      <c r="E104" s="4">
        <v>1</v>
      </c>
      <c r="F104" s="4">
        <v>0</v>
      </c>
      <c r="G104" s="4">
        <v>0</v>
      </c>
      <c r="H104" s="4">
        <v>5864</v>
      </c>
      <c r="I104" s="4">
        <v>0</v>
      </c>
      <c r="J104" s="4">
        <v>0</v>
      </c>
    </row>
    <row r="105" spans="1:10" x14ac:dyDescent="0.25">
      <c r="A105" s="3" t="s">
        <v>2232</v>
      </c>
      <c r="B105" s="4">
        <v>2</v>
      </c>
      <c r="C105" s="4">
        <v>10910</v>
      </c>
      <c r="D105" s="4">
        <v>0</v>
      </c>
      <c r="E105" s="4">
        <v>2</v>
      </c>
      <c r="F105" s="4">
        <v>0</v>
      </c>
      <c r="G105" s="4">
        <v>0</v>
      </c>
      <c r="H105" s="4">
        <v>10910</v>
      </c>
      <c r="I105" s="4">
        <v>0</v>
      </c>
      <c r="J105" s="4">
        <v>0</v>
      </c>
    </row>
    <row r="106" spans="1:10" x14ac:dyDescent="0.25">
      <c r="A106" s="3" t="s">
        <v>2197</v>
      </c>
      <c r="B106" s="4">
        <v>1</v>
      </c>
      <c r="C106" s="4">
        <v>63800</v>
      </c>
      <c r="D106" s="4">
        <v>0</v>
      </c>
      <c r="E106" s="4">
        <v>1</v>
      </c>
      <c r="F106" s="4">
        <v>0</v>
      </c>
      <c r="G106" s="4">
        <v>0</v>
      </c>
      <c r="H106" s="4">
        <v>63800</v>
      </c>
      <c r="I106" s="4">
        <v>0</v>
      </c>
      <c r="J106" s="4">
        <v>0</v>
      </c>
    </row>
    <row r="107" spans="1:10" x14ac:dyDescent="0.25">
      <c r="A107" s="3" t="s">
        <v>2159</v>
      </c>
      <c r="B107" s="4">
        <v>1</v>
      </c>
      <c r="C107" s="4">
        <v>10439</v>
      </c>
      <c r="D107" s="4">
        <v>0</v>
      </c>
      <c r="E107" s="4">
        <v>1</v>
      </c>
      <c r="F107" s="4">
        <v>0</v>
      </c>
      <c r="G107" s="4">
        <v>0</v>
      </c>
      <c r="H107" s="4">
        <v>10439</v>
      </c>
      <c r="I107" s="4">
        <v>0</v>
      </c>
      <c r="J107" s="4">
        <v>0</v>
      </c>
    </row>
    <row r="108" spans="1:10" x14ac:dyDescent="0.25">
      <c r="A108" s="3" t="s">
        <v>2205</v>
      </c>
      <c r="B108" s="4">
        <v>2</v>
      </c>
      <c r="C108" s="4">
        <v>42000</v>
      </c>
      <c r="D108" s="4">
        <v>0</v>
      </c>
      <c r="E108" s="4">
        <v>2</v>
      </c>
      <c r="F108" s="4">
        <v>0</v>
      </c>
      <c r="G108" s="4">
        <v>0</v>
      </c>
      <c r="H108" s="4">
        <v>42000</v>
      </c>
      <c r="I108" s="4">
        <v>0</v>
      </c>
      <c r="J108" s="4">
        <v>0</v>
      </c>
    </row>
    <row r="109" spans="1:10" x14ac:dyDescent="0.25">
      <c r="A109" s="3" t="s">
        <v>2225</v>
      </c>
      <c r="B109" s="4">
        <v>1</v>
      </c>
      <c r="C109" s="4">
        <v>78200</v>
      </c>
      <c r="D109" s="4">
        <v>0</v>
      </c>
      <c r="E109" s="4">
        <v>1</v>
      </c>
      <c r="F109" s="4">
        <v>0</v>
      </c>
      <c r="G109" s="4">
        <v>0</v>
      </c>
      <c r="H109" s="4">
        <v>78200</v>
      </c>
      <c r="I109" s="4">
        <v>0</v>
      </c>
      <c r="J109" s="4">
        <v>0</v>
      </c>
    </row>
    <row r="110" spans="1:10" x14ac:dyDescent="0.25">
      <c r="A110" s="3" t="s">
        <v>2233</v>
      </c>
      <c r="B110" s="4">
        <v>1</v>
      </c>
      <c r="C110" s="4">
        <v>63000</v>
      </c>
      <c r="D110" s="4">
        <v>0</v>
      </c>
      <c r="E110" s="4">
        <v>1</v>
      </c>
      <c r="F110" s="4">
        <v>0</v>
      </c>
      <c r="G110" s="4">
        <v>0</v>
      </c>
      <c r="H110" s="4">
        <v>63000</v>
      </c>
      <c r="I110" s="4">
        <v>0</v>
      </c>
      <c r="J110" s="4">
        <v>0</v>
      </c>
    </row>
    <row r="111" spans="1:10" x14ac:dyDescent="0.25">
      <c r="A111" s="3" t="s">
        <v>2198</v>
      </c>
      <c r="B111" s="4">
        <v>1</v>
      </c>
      <c r="C111" s="4">
        <v>51800</v>
      </c>
      <c r="D111" s="4">
        <v>0</v>
      </c>
      <c r="E111" s="4">
        <v>1</v>
      </c>
      <c r="F111" s="4">
        <v>0</v>
      </c>
      <c r="G111" s="4">
        <v>0</v>
      </c>
      <c r="H111" s="4">
        <v>51800</v>
      </c>
      <c r="I111" s="4">
        <v>0</v>
      </c>
      <c r="J111" s="4">
        <v>0</v>
      </c>
    </row>
    <row r="112" spans="1:10" x14ac:dyDescent="0.25">
      <c r="A112" s="3" t="s">
        <v>2168</v>
      </c>
      <c r="B112" s="4">
        <v>1</v>
      </c>
      <c r="C112" s="4">
        <v>20000</v>
      </c>
      <c r="D112" s="4">
        <v>0</v>
      </c>
      <c r="E112" s="4">
        <v>1</v>
      </c>
      <c r="F112" s="4">
        <v>0</v>
      </c>
      <c r="G112" s="4">
        <v>0</v>
      </c>
      <c r="H112" s="4">
        <v>20000</v>
      </c>
      <c r="I112" s="4">
        <v>0</v>
      </c>
      <c r="J112" s="4">
        <v>0</v>
      </c>
    </row>
    <row r="113" spans="1:10" x14ac:dyDescent="0.25">
      <c r="A113" s="3" t="s">
        <v>2190</v>
      </c>
      <c r="B113" s="4">
        <v>1</v>
      </c>
      <c r="C113" s="4">
        <v>38800</v>
      </c>
      <c r="D113" s="4">
        <v>0</v>
      </c>
      <c r="E113" s="4">
        <v>1</v>
      </c>
      <c r="F113" s="4">
        <v>0</v>
      </c>
      <c r="G113" s="4">
        <v>0</v>
      </c>
      <c r="H113" s="4">
        <v>38800</v>
      </c>
      <c r="I113" s="4">
        <v>0</v>
      </c>
      <c r="J113" s="4">
        <v>0</v>
      </c>
    </row>
    <row r="114" spans="1:10" x14ac:dyDescent="0.25">
      <c r="A114" s="3" t="s">
        <v>2169</v>
      </c>
      <c r="B114" s="4">
        <v>1</v>
      </c>
      <c r="C114" s="4">
        <v>16422</v>
      </c>
      <c r="D114" s="4">
        <v>0</v>
      </c>
      <c r="E114" s="4">
        <v>1</v>
      </c>
      <c r="F114" s="4">
        <v>0</v>
      </c>
      <c r="G114" s="4">
        <v>0</v>
      </c>
      <c r="H114" s="4">
        <v>16422</v>
      </c>
      <c r="I114" s="4">
        <v>0</v>
      </c>
      <c r="J114" s="4">
        <v>0</v>
      </c>
    </row>
    <row r="115" spans="1:10" x14ac:dyDescent="0.25">
      <c r="A115" s="3" t="s">
        <v>2228</v>
      </c>
      <c r="B115" s="4">
        <v>1</v>
      </c>
      <c r="C115" s="4">
        <v>8201</v>
      </c>
      <c r="D115" s="4">
        <v>0</v>
      </c>
      <c r="E115" s="4">
        <v>1</v>
      </c>
      <c r="F115" s="4">
        <v>0</v>
      </c>
      <c r="G115" s="4">
        <v>0</v>
      </c>
      <c r="H115" s="4">
        <v>8201</v>
      </c>
      <c r="I115" s="4">
        <v>0</v>
      </c>
      <c r="J115" s="4">
        <v>0</v>
      </c>
    </row>
    <row r="116" spans="1:10" x14ac:dyDescent="0.25">
      <c r="A116" s="3" t="s">
        <v>2237</v>
      </c>
      <c r="B116" s="4">
        <v>8</v>
      </c>
      <c r="C116" s="4">
        <v>152391</v>
      </c>
      <c r="D116" s="4">
        <v>0</v>
      </c>
      <c r="E116" s="4">
        <v>6</v>
      </c>
      <c r="F116" s="4">
        <v>2</v>
      </c>
      <c r="G116" s="4">
        <v>0</v>
      </c>
      <c r="H116" s="4">
        <v>114280</v>
      </c>
      <c r="I116" s="4">
        <v>76222</v>
      </c>
      <c r="J116" s="4">
        <v>34222</v>
      </c>
    </row>
    <row r="117" spans="1:10" x14ac:dyDescent="0.25">
      <c r="A117" s="3" t="s">
        <v>2238</v>
      </c>
      <c r="B117" s="4">
        <v>3</v>
      </c>
      <c r="C117" s="4">
        <v>29817</v>
      </c>
      <c r="D117" s="4">
        <v>0</v>
      </c>
      <c r="E117" s="4">
        <v>2</v>
      </c>
      <c r="F117" s="4">
        <v>1</v>
      </c>
      <c r="G117" s="4">
        <v>0</v>
      </c>
      <c r="H117" s="4">
        <v>19878</v>
      </c>
      <c r="I117" s="4">
        <v>35294</v>
      </c>
      <c r="J117" s="4">
        <v>24294</v>
      </c>
    </row>
    <row r="118" spans="1:10" x14ac:dyDescent="0.25">
      <c r="A118" s="3" t="s">
        <v>2240</v>
      </c>
      <c r="B118" s="4">
        <v>6</v>
      </c>
      <c r="C118" s="4">
        <v>4709</v>
      </c>
      <c r="D118" s="4">
        <v>0</v>
      </c>
      <c r="E118" s="4">
        <v>5</v>
      </c>
      <c r="F118" s="4">
        <v>1</v>
      </c>
      <c r="G118" s="4">
        <v>0</v>
      </c>
      <c r="H118" s="4">
        <v>3755</v>
      </c>
      <c r="I118" s="4">
        <v>954</v>
      </c>
      <c r="J118" s="4">
        <v>54</v>
      </c>
    </row>
    <row r="119" spans="1:10" x14ac:dyDescent="0.25">
      <c r="A119" s="3" t="s">
        <v>2241</v>
      </c>
      <c r="B119" s="4">
        <v>7</v>
      </c>
      <c r="C119" s="4">
        <v>6573</v>
      </c>
      <c r="D119" s="4">
        <v>1</v>
      </c>
      <c r="E119" s="4">
        <v>4</v>
      </c>
      <c r="F119" s="4">
        <v>2</v>
      </c>
      <c r="G119" s="4">
        <v>268</v>
      </c>
      <c r="H119" s="4">
        <v>3296</v>
      </c>
      <c r="I119" s="4">
        <v>3009</v>
      </c>
      <c r="J119" s="4">
        <v>1009</v>
      </c>
    </row>
    <row r="120" spans="1:10" x14ac:dyDescent="0.25">
      <c r="A120" s="3" t="s">
        <v>2239</v>
      </c>
      <c r="B120" s="4">
        <v>1</v>
      </c>
      <c r="C120" s="4">
        <v>6867</v>
      </c>
      <c r="D120" s="4">
        <v>0</v>
      </c>
      <c r="E120" s="4">
        <v>1</v>
      </c>
      <c r="F120" s="4">
        <v>0</v>
      </c>
      <c r="G120" s="4">
        <v>0</v>
      </c>
      <c r="H120" s="4">
        <v>6867</v>
      </c>
      <c r="I120" s="4">
        <v>0</v>
      </c>
      <c r="J120" s="4">
        <v>0</v>
      </c>
    </row>
    <row r="121" spans="1:10" x14ac:dyDescent="0.25">
      <c r="A121" s="3" t="s">
        <v>2133</v>
      </c>
      <c r="B121" s="4">
        <v>808</v>
      </c>
      <c r="C121" s="4">
        <v>9606980</v>
      </c>
      <c r="D121" s="4">
        <v>147</v>
      </c>
      <c r="E121" s="4">
        <v>503</v>
      </c>
      <c r="F121" s="4">
        <v>158</v>
      </c>
      <c r="G121" s="4">
        <v>872237</v>
      </c>
      <c r="H121" s="4">
        <v>7002657</v>
      </c>
      <c r="I121" s="4">
        <v>2509360</v>
      </c>
      <c r="J121" s="4">
        <v>855360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25"/>
  <sheetViews>
    <sheetView workbookViewId="0">
      <pane ySplit="3" topLeftCell="A4" activePane="bottomLeft" state="frozen"/>
      <selection activeCell="L1" sqref="L1:L1048576"/>
      <selection pane="bottomLeft" activeCell="L1" sqref="L1:L1048576"/>
    </sheetView>
  </sheetViews>
  <sheetFormatPr defaultRowHeight="15" x14ac:dyDescent="0.25"/>
  <cols>
    <col min="1" max="1" width="35.7109375" customWidth="1"/>
    <col min="2" max="2" width="11.140625" style="10" bestFit="1" customWidth="1"/>
    <col min="3" max="3" width="13.7109375" style="10" bestFit="1" customWidth="1"/>
    <col min="4" max="4" width="11.7109375" style="9" bestFit="1" customWidth="1"/>
    <col min="5" max="6" width="11.5703125" style="9" bestFit="1" customWidth="1"/>
    <col min="7" max="7" width="0.7109375" style="84" customWidth="1"/>
    <col min="8" max="8" width="6.5703125" style="10" bestFit="1" customWidth="1"/>
    <col min="9" max="9" width="4.140625" style="10" customWidth="1"/>
    <col min="10" max="10" width="6.7109375" style="10" bestFit="1" customWidth="1"/>
    <col min="11" max="11" width="11.7109375" style="9" bestFit="1" customWidth="1"/>
    <col min="12" max="13" width="13.28515625" style="9" bestFit="1" customWidth="1"/>
    <col min="14" max="14" width="11.7109375" style="9" bestFit="1" customWidth="1"/>
    <col min="15" max="15" width="19.28515625" customWidth="1"/>
  </cols>
  <sheetData>
    <row r="1" spans="1:15" x14ac:dyDescent="0.25">
      <c r="E1" s="98">
        <v>10</v>
      </c>
      <c r="F1" s="98">
        <v>10</v>
      </c>
    </row>
    <row r="2" spans="1:15" s="79" customFormat="1" x14ac:dyDescent="0.25">
      <c r="A2" s="152" t="s">
        <v>2243</v>
      </c>
      <c r="B2" s="148" t="s">
        <v>2269</v>
      </c>
      <c r="C2" s="148" t="s">
        <v>2245</v>
      </c>
      <c r="D2" s="149" t="s">
        <v>2301</v>
      </c>
      <c r="E2" s="149" t="s">
        <v>2246</v>
      </c>
      <c r="F2" s="149" t="s">
        <v>2247</v>
      </c>
      <c r="G2" s="85"/>
      <c r="H2" s="148" t="s">
        <v>2263</v>
      </c>
      <c r="I2" s="148"/>
      <c r="J2" s="148"/>
      <c r="K2" s="149" t="s">
        <v>2267</v>
      </c>
      <c r="L2" s="149"/>
      <c r="M2" s="149"/>
      <c r="N2" s="150" t="s">
        <v>2268</v>
      </c>
    </row>
    <row r="3" spans="1:15" s="79" customFormat="1" x14ac:dyDescent="0.25">
      <c r="A3" s="152"/>
      <c r="B3" s="152"/>
      <c r="C3" s="148"/>
      <c r="D3" s="149"/>
      <c r="E3" s="149"/>
      <c r="F3" s="149"/>
      <c r="G3" s="85"/>
      <c r="H3" s="86" t="s">
        <v>2264</v>
      </c>
      <c r="I3" s="86" t="s">
        <v>2265</v>
      </c>
      <c r="J3" s="86" t="s">
        <v>2266</v>
      </c>
      <c r="K3" s="87" t="s">
        <v>2264</v>
      </c>
      <c r="L3" s="87" t="s">
        <v>2265</v>
      </c>
      <c r="M3" s="87" t="s">
        <v>2266</v>
      </c>
      <c r="N3" s="151"/>
    </row>
    <row r="4" spans="1:15" s="83" customFormat="1" x14ac:dyDescent="0.25">
      <c r="A4" s="80" t="s">
        <v>2135</v>
      </c>
      <c r="B4" s="81">
        <f>INDEX('Pivot - Sector'!B:B,MATCH(A4,'Pivot - Sector'!A:A,0))</f>
        <v>189</v>
      </c>
      <c r="C4" s="82">
        <f>INDEX('Pivot - Sector'!C:C,MATCH(A4,'Pivot - Sector'!A:A,0))</f>
        <v>1326621</v>
      </c>
      <c r="D4" s="82">
        <f>INDEX(Travel!M:M,MATCH(A4,Travel!F:F,0))</f>
        <v>7234</v>
      </c>
      <c r="E4" s="82">
        <f t="shared" ref="E4:E35" si="0">ROUNDDOWN(D4*(100-$E$1)%,-2)</f>
        <v>6500</v>
      </c>
      <c r="F4" s="82">
        <f t="shared" ref="F4:F35" si="1">ROUNDUP(D4*(100+$F$1)%,-2)</f>
        <v>8000</v>
      </c>
      <c r="G4" s="84"/>
      <c r="H4" s="81">
        <f>INDEX('Pivot - Sector'!D:D,MATCH(A4,'Pivot - Sector'!A:A,0))</f>
        <v>46</v>
      </c>
      <c r="I4" s="81">
        <f>INDEX('Pivot - Sector'!E:E,MATCH(A4,'Pivot - Sector'!A:A,0))</f>
        <v>84</v>
      </c>
      <c r="J4" s="81">
        <f>INDEX('Pivot - Sector'!F:F,MATCH(A4,'Pivot - Sector'!A:A,0))</f>
        <v>59</v>
      </c>
      <c r="K4" s="82">
        <f>INDEX('Pivot - Sector'!G:G,MATCH(A4,'Pivot - Sector'!A:A,0))</f>
        <v>203731</v>
      </c>
      <c r="L4" s="82">
        <f>INDEX('Pivot - Sector'!H:H,MATCH(A4,'Pivot - Sector'!A:A,0))</f>
        <v>611548</v>
      </c>
      <c r="M4" s="82">
        <f>INDEX('Pivot - Sector'!I:I,MATCH(A4,'Pivot - Sector'!A:A,0))</f>
        <v>601512</v>
      </c>
      <c r="N4" s="82">
        <f>INDEX('Pivot - Sector'!J:J,MATCH(A4,'Pivot - Sector'!A:A,0))</f>
        <v>129512</v>
      </c>
    </row>
    <row r="5" spans="1:15" s="83" customFormat="1" x14ac:dyDescent="0.25">
      <c r="A5" s="80" t="s">
        <v>2134</v>
      </c>
      <c r="B5" s="81">
        <f>INDEX('Pivot - Sector'!B:B,MATCH(A5,'Pivot - Sector'!A:A,0))</f>
        <v>178</v>
      </c>
      <c r="C5" s="82">
        <f>INDEX('Pivot - Sector'!C:C,MATCH(A5,'Pivot - Sector'!A:A,0))</f>
        <v>1231460</v>
      </c>
      <c r="D5" s="82">
        <f>INDEX(Travel!M:M,MATCH(A5,Travel!F:F,0))</f>
        <v>7412.5</v>
      </c>
      <c r="E5" s="82">
        <f t="shared" si="0"/>
        <v>6600</v>
      </c>
      <c r="F5" s="82">
        <f t="shared" si="1"/>
        <v>8200</v>
      </c>
      <c r="G5" s="84"/>
      <c r="H5" s="81">
        <f>INDEX('Pivot - Sector'!D:D,MATCH(A5,'Pivot - Sector'!A:A,0))</f>
        <v>39</v>
      </c>
      <c r="I5" s="81">
        <f>INDEX('Pivot - Sector'!E:E,MATCH(A5,'Pivot - Sector'!A:A,0))</f>
        <v>108</v>
      </c>
      <c r="J5" s="81">
        <f>INDEX('Pivot - Sector'!F:F,MATCH(A5,'Pivot - Sector'!A:A,0))</f>
        <v>31</v>
      </c>
      <c r="K5" s="82">
        <f>INDEX('Pivot - Sector'!G:G,MATCH(A5,'Pivot - Sector'!A:A,0))</f>
        <v>168652</v>
      </c>
      <c r="L5" s="82">
        <f>INDEX('Pivot - Sector'!H:H,MATCH(A5,'Pivot - Sector'!A:A,0))</f>
        <v>813457</v>
      </c>
      <c r="M5" s="82">
        <f>INDEX('Pivot - Sector'!I:I,MATCH(A5,'Pivot - Sector'!A:A,0))</f>
        <v>422301</v>
      </c>
      <c r="N5" s="82">
        <f>INDEX('Pivot - Sector'!J:J,MATCH(A5,'Pivot - Sector'!A:A,0))</f>
        <v>168101</v>
      </c>
    </row>
    <row r="6" spans="1:15" s="83" customFormat="1" x14ac:dyDescent="0.25">
      <c r="A6" s="80" t="s">
        <v>2147</v>
      </c>
      <c r="B6" s="81">
        <f>INDEX('Pivot - Sector'!B:B,MATCH(A6,'Pivot - Sector'!A:A,0))</f>
        <v>45</v>
      </c>
      <c r="C6" s="82">
        <f>INDEX('Pivot - Sector'!C:C,MATCH(A6,'Pivot - Sector'!A:A,0))</f>
        <v>466872</v>
      </c>
      <c r="D6" s="82">
        <f>INDEX(Travel!M:M,MATCH(A6,Travel!F:F,0))</f>
        <v>10605</v>
      </c>
      <c r="E6" s="82">
        <f t="shared" si="0"/>
        <v>9500</v>
      </c>
      <c r="F6" s="82">
        <f t="shared" si="1"/>
        <v>11700</v>
      </c>
      <c r="G6" s="84"/>
      <c r="H6" s="81">
        <f>INDEX('Pivot - Sector'!D:D,MATCH(A6,'Pivot - Sector'!A:A,0))</f>
        <v>6</v>
      </c>
      <c r="I6" s="81">
        <f>INDEX('Pivot - Sector'!E:E,MATCH(A6,'Pivot - Sector'!A:A,0))</f>
        <v>25</v>
      </c>
      <c r="J6" s="81">
        <f>INDEX('Pivot - Sector'!F:F,MATCH(A6,'Pivot - Sector'!A:A,0))</f>
        <v>14</v>
      </c>
      <c r="K6" s="82">
        <f>INDEX('Pivot - Sector'!G:G,MATCH(A6,'Pivot - Sector'!A:A,0))</f>
        <v>43194</v>
      </c>
      <c r="L6" s="82">
        <f>INDEX('Pivot - Sector'!H:H,MATCH(A6,'Pivot - Sector'!A:A,0))</f>
        <v>261560</v>
      </c>
      <c r="M6" s="82">
        <f>INDEX('Pivot - Sector'!I:I,MATCH(A6,'Pivot - Sector'!A:A,0))</f>
        <v>229366</v>
      </c>
      <c r="N6" s="82">
        <f>INDEX('Pivot - Sector'!J:J,MATCH(A6,'Pivot - Sector'!A:A,0))</f>
        <v>65566</v>
      </c>
    </row>
    <row r="7" spans="1:15" s="83" customFormat="1" x14ac:dyDescent="0.25">
      <c r="A7" s="80" t="s">
        <v>2136</v>
      </c>
      <c r="B7" s="81">
        <f>INDEX('Pivot - Sector'!B:B,MATCH(A7,'Pivot - Sector'!A:A,0))</f>
        <v>42</v>
      </c>
      <c r="C7" s="82">
        <f>INDEX('Pivot - Sector'!C:C,MATCH(A7,'Pivot - Sector'!A:A,0))</f>
        <v>564721</v>
      </c>
      <c r="D7" s="82">
        <f>INDEX(Travel!M:M,MATCH(A7,Travel!F:F,0))</f>
        <v>14406</v>
      </c>
      <c r="E7" s="82">
        <f t="shared" si="0"/>
        <v>12900</v>
      </c>
      <c r="F7" s="82">
        <f t="shared" si="1"/>
        <v>15900</v>
      </c>
      <c r="G7" s="84"/>
      <c r="H7" s="81">
        <f>INDEX('Pivot - Sector'!D:D,MATCH(A7,'Pivot - Sector'!A:A,0))</f>
        <v>9</v>
      </c>
      <c r="I7" s="81">
        <f>INDEX('Pivot - Sector'!E:E,MATCH(A7,'Pivot - Sector'!A:A,0))</f>
        <v>30</v>
      </c>
      <c r="J7" s="81">
        <f>INDEX('Pivot - Sector'!F:F,MATCH(A7,'Pivot - Sector'!A:A,0))</f>
        <v>3</v>
      </c>
      <c r="K7" s="82">
        <f>INDEX('Pivot - Sector'!G:G,MATCH(A7,'Pivot - Sector'!A:A,0))</f>
        <v>86561</v>
      </c>
      <c r="L7" s="82">
        <f>INDEX('Pivot - Sector'!H:H,MATCH(A7,'Pivot - Sector'!A:A,0))</f>
        <v>432793</v>
      </c>
      <c r="M7" s="82">
        <f>INDEX('Pivot - Sector'!I:I,MATCH(A7,'Pivot - Sector'!A:A,0))</f>
        <v>103767</v>
      </c>
      <c r="N7" s="82">
        <f>INDEX('Pivot - Sector'!J:J,MATCH(A7,'Pivot - Sector'!A:A,0))</f>
        <v>56067</v>
      </c>
    </row>
    <row r="8" spans="1:15" s="83" customFormat="1" x14ac:dyDescent="0.25">
      <c r="A8" s="80" t="s">
        <v>2149</v>
      </c>
      <c r="B8" s="81">
        <f>INDEX('Pivot - Sector'!B:B,MATCH(A8,'Pivot - Sector'!A:A,0))</f>
        <v>38</v>
      </c>
      <c r="C8" s="82">
        <f>INDEX('Pivot - Sector'!C:C,MATCH(A8,'Pivot - Sector'!A:A,0))</f>
        <v>394125</v>
      </c>
      <c r="D8" s="82">
        <f>INDEX(Travel!M:M,MATCH(A8,Travel!F:F,0))</f>
        <v>10332</v>
      </c>
      <c r="E8" s="82">
        <f t="shared" si="0"/>
        <v>9200</v>
      </c>
      <c r="F8" s="82">
        <f t="shared" si="1"/>
        <v>11400</v>
      </c>
      <c r="G8" s="84"/>
      <c r="H8" s="81">
        <f>INDEX('Pivot - Sector'!D:D,MATCH(A8,'Pivot - Sector'!A:A,0))</f>
        <v>6</v>
      </c>
      <c r="I8" s="81">
        <f>INDEX('Pivot - Sector'!E:E,MATCH(A8,'Pivot - Sector'!A:A,0))</f>
        <v>22</v>
      </c>
      <c r="J8" s="81">
        <f>INDEX('Pivot - Sector'!F:F,MATCH(A8,'Pivot - Sector'!A:A,0))</f>
        <v>10</v>
      </c>
      <c r="K8" s="82">
        <f>INDEX('Pivot - Sector'!G:G,MATCH(A8,'Pivot - Sector'!A:A,0))</f>
        <v>43550</v>
      </c>
      <c r="L8" s="82">
        <f>INDEX('Pivot - Sector'!H:H,MATCH(A8,'Pivot - Sector'!A:A,0))</f>
        <v>227197</v>
      </c>
      <c r="M8" s="82">
        <f>INDEX('Pivot - Sector'!I:I,MATCH(A8,'Pivot - Sector'!A:A,0))</f>
        <v>155792</v>
      </c>
      <c r="N8" s="82">
        <f>INDEX('Pivot - Sector'!J:J,MATCH(A8,'Pivot - Sector'!A:A,0))</f>
        <v>41792</v>
      </c>
    </row>
    <row r="9" spans="1:15" s="83" customFormat="1" x14ac:dyDescent="0.25">
      <c r="A9" s="80" t="s">
        <v>2158</v>
      </c>
      <c r="B9" s="81">
        <f>INDEX('Pivot - Sector'!B:B,MATCH(A9,'Pivot - Sector'!A:A,0))</f>
        <v>27</v>
      </c>
      <c r="C9" s="82">
        <f>INDEX('Pivot - Sector'!C:C,MATCH(A9,'Pivot - Sector'!A:A,0))</f>
        <v>554302</v>
      </c>
      <c r="D9" s="82">
        <f>INDEX(Travel!M:M,MATCH(A9,Travel!F:F,0))</f>
        <v>20521</v>
      </c>
      <c r="E9" s="82">
        <f t="shared" si="0"/>
        <v>18400</v>
      </c>
      <c r="F9" s="82">
        <f t="shared" si="1"/>
        <v>22600</v>
      </c>
      <c r="G9" s="84"/>
      <c r="H9" s="81">
        <f>INDEX('Pivot - Sector'!D:D,MATCH(A9,'Pivot - Sector'!A:A,0))</f>
        <v>1</v>
      </c>
      <c r="I9" s="81">
        <f>INDEX('Pivot - Sector'!E:E,MATCH(A9,'Pivot - Sector'!A:A,0))</f>
        <v>22</v>
      </c>
      <c r="J9" s="81">
        <f>INDEX('Pivot - Sector'!F:F,MATCH(A9,'Pivot - Sector'!A:A,0))</f>
        <v>4</v>
      </c>
      <c r="K9" s="82">
        <f>INDEX('Pivot - Sector'!G:G,MATCH(A9,'Pivot - Sector'!A:A,0))</f>
        <v>18257</v>
      </c>
      <c r="L9" s="82">
        <f>INDEX('Pivot - Sector'!H:H,MATCH(A9,'Pivot - Sector'!A:A,0))</f>
        <v>450838</v>
      </c>
      <c r="M9" s="82">
        <f>INDEX('Pivot - Sector'!I:I,MATCH(A9,'Pivot - Sector'!A:A,0))</f>
        <v>146422</v>
      </c>
      <c r="N9" s="82">
        <f>INDEX('Pivot - Sector'!J:J,MATCH(A9,'Pivot - Sector'!A:A,0))</f>
        <v>56022</v>
      </c>
    </row>
    <row r="10" spans="1:15" s="83" customFormat="1" ht="30" x14ac:dyDescent="0.25">
      <c r="A10" s="80" t="s">
        <v>2152</v>
      </c>
      <c r="B10" s="81">
        <f>INDEX('Pivot - Sector'!B:B,MATCH(A10,'Pivot - Sector'!A:A,0))</f>
        <v>21</v>
      </c>
      <c r="C10" s="82">
        <f>INDEX('Pivot - Sector'!C:C,MATCH(A10,'Pivot - Sector'!A:A,0))</f>
        <v>108524</v>
      </c>
      <c r="D10" s="82">
        <f>INDEX(Travel!M:M,MATCH(A10,Travel!F:F,0))</f>
        <v>5438</v>
      </c>
      <c r="E10" s="82">
        <f t="shared" si="0"/>
        <v>4800</v>
      </c>
      <c r="F10" s="82">
        <f t="shared" si="1"/>
        <v>6000</v>
      </c>
      <c r="G10" s="84"/>
      <c r="H10" s="81">
        <f>INDEX('Pivot - Sector'!D:D,MATCH(A10,'Pivot - Sector'!A:A,0))</f>
        <v>3</v>
      </c>
      <c r="I10" s="81">
        <f>INDEX('Pivot - Sector'!E:E,MATCH(A10,'Pivot - Sector'!A:A,0))</f>
        <v>14</v>
      </c>
      <c r="J10" s="81">
        <f>INDEX('Pivot - Sector'!F:F,MATCH(A10,'Pivot - Sector'!A:A,0))</f>
        <v>4</v>
      </c>
      <c r="K10" s="82">
        <f>INDEX('Pivot - Sector'!G:G,MATCH(A10,'Pivot - Sector'!A:A,0))</f>
        <v>11192</v>
      </c>
      <c r="L10" s="82">
        <f>INDEX('Pivot - Sector'!H:H,MATCH(A10,'Pivot - Sector'!A:A,0))</f>
        <v>74569</v>
      </c>
      <c r="M10" s="82">
        <f>INDEX('Pivot - Sector'!I:I,MATCH(A10,'Pivot - Sector'!A:A,0))</f>
        <v>61035</v>
      </c>
      <c r="N10" s="82">
        <f>INDEX('Pivot - Sector'!J:J,MATCH(A10,'Pivot - Sector'!A:A,0))</f>
        <v>37035</v>
      </c>
      <c r="O10" s="106" t="str">
        <f>M10&amp;CHAR(10)&amp;N10</f>
        <v>61035
37035</v>
      </c>
    </row>
    <row r="11" spans="1:15" s="83" customFormat="1" x14ac:dyDescent="0.25">
      <c r="A11" s="80" t="s">
        <v>2151</v>
      </c>
      <c r="B11" s="81">
        <f>INDEX('Pivot - Sector'!B:B,MATCH(A11,'Pivot - Sector'!A:A,0))</f>
        <v>19</v>
      </c>
      <c r="C11" s="82">
        <f>INDEX('Pivot - Sector'!C:C,MATCH(A11,'Pivot - Sector'!A:A,0))</f>
        <v>185008</v>
      </c>
      <c r="D11" s="82">
        <f>INDEX(Travel!M:M,MATCH(A11,Travel!F:F,0))</f>
        <v>10079</v>
      </c>
      <c r="E11" s="82">
        <f t="shared" si="0"/>
        <v>9000</v>
      </c>
      <c r="F11" s="82">
        <f t="shared" si="1"/>
        <v>11100</v>
      </c>
      <c r="G11" s="84"/>
      <c r="H11" s="81">
        <f>INDEX('Pivot - Sector'!D:D,MATCH(A11,'Pivot - Sector'!A:A,0))</f>
        <v>4</v>
      </c>
      <c r="I11" s="81">
        <f>INDEX('Pivot - Sector'!E:E,MATCH(A11,'Pivot - Sector'!A:A,0))</f>
        <v>15</v>
      </c>
      <c r="J11" s="81">
        <f>INDEX('Pivot - Sector'!F:F,MATCH(A11,'Pivot - Sector'!A:A,0))</f>
        <v>0</v>
      </c>
      <c r="K11" s="82">
        <f>INDEX('Pivot - Sector'!G:G,MATCH(A11,'Pivot - Sector'!A:A,0))</f>
        <v>28263</v>
      </c>
      <c r="L11" s="82">
        <f>INDEX('Pivot - Sector'!H:H,MATCH(A11,'Pivot - Sector'!A:A,0))</f>
        <v>156745</v>
      </c>
      <c r="M11" s="82">
        <f>INDEX('Pivot - Sector'!I:I,MATCH(A11,'Pivot - Sector'!A:A,0))</f>
        <v>0</v>
      </c>
      <c r="N11" s="82">
        <f>INDEX('Pivot - Sector'!J:J,MATCH(A11,'Pivot - Sector'!A:A,0))</f>
        <v>0</v>
      </c>
    </row>
    <row r="12" spans="1:15" s="83" customFormat="1" x14ac:dyDescent="0.25">
      <c r="A12" s="80" t="s">
        <v>2142</v>
      </c>
      <c r="B12" s="81">
        <f>INDEX('Pivot - Sector'!B:B,MATCH(A12,'Pivot - Sector'!A:A,0))</f>
        <v>17</v>
      </c>
      <c r="C12" s="82">
        <f>INDEX('Pivot - Sector'!C:C,MATCH(A12,'Pivot - Sector'!A:A,0))</f>
        <v>83493</v>
      </c>
      <c r="D12" s="82">
        <f>INDEX(Travel!M:M,MATCH(A12,Travel!F:F,0))</f>
        <v>5161</v>
      </c>
      <c r="E12" s="82">
        <f t="shared" si="0"/>
        <v>4600</v>
      </c>
      <c r="F12" s="82">
        <f t="shared" si="1"/>
        <v>5700</v>
      </c>
      <c r="G12" s="84"/>
      <c r="H12" s="81">
        <f>INDEX('Pivot - Sector'!D:D,MATCH(A12,'Pivot - Sector'!A:A,0))</f>
        <v>3</v>
      </c>
      <c r="I12" s="81">
        <f>INDEX('Pivot - Sector'!E:E,MATCH(A12,'Pivot - Sector'!A:A,0))</f>
        <v>11</v>
      </c>
      <c r="J12" s="81">
        <f>INDEX('Pivot - Sector'!F:F,MATCH(A12,'Pivot - Sector'!A:A,0))</f>
        <v>3</v>
      </c>
      <c r="K12" s="82">
        <f>INDEX('Pivot - Sector'!G:G,MATCH(A12,'Pivot - Sector'!A:A,0))</f>
        <v>11683</v>
      </c>
      <c r="L12" s="82">
        <f>INDEX('Pivot - Sector'!H:H,MATCH(A12,'Pivot - Sector'!A:A,0))</f>
        <v>56327</v>
      </c>
      <c r="M12" s="82">
        <f>INDEX('Pivot - Sector'!I:I,MATCH(A12,'Pivot - Sector'!A:A,0))</f>
        <v>30966</v>
      </c>
      <c r="N12" s="82">
        <f>INDEX('Pivot - Sector'!J:J,MATCH(A12,'Pivot - Sector'!A:A,0))</f>
        <v>13866</v>
      </c>
    </row>
    <row r="13" spans="1:15" s="83" customFormat="1" x14ac:dyDescent="0.25">
      <c r="A13" s="80" t="s">
        <v>2153</v>
      </c>
      <c r="B13" s="81">
        <f>INDEX('Pivot - Sector'!B:B,MATCH(A13,'Pivot - Sector'!A:A,0))</f>
        <v>13</v>
      </c>
      <c r="C13" s="82">
        <f>INDEX('Pivot - Sector'!C:C,MATCH(A13,'Pivot - Sector'!A:A,0))</f>
        <v>119924</v>
      </c>
      <c r="D13" s="82">
        <f>INDEX(Travel!M:M,MATCH(A13,Travel!F:F,0))</f>
        <v>9855</v>
      </c>
      <c r="E13" s="82">
        <f t="shared" si="0"/>
        <v>8800</v>
      </c>
      <c r="F13" s="82">
        <f t="shared" si="1"/>
        <v>10900</v>
      </c>
      <c r="G13" s="84"/>
      <c r="H13" s="81">
        <f>INDEX('Pivot - Sector'!D:D,MATCH(A13,'Pivot - Sector'!A:A,0))</f>
        <v>3</v>
      </c>
      <c r="I13" s="81">
        <f>INDEX('Pivot - Sector'!E:E,MATCH(A13,'Pivot - Sector'!A:A,0))</f>
        <v>10</v>
      </c>
      <c r="J13" s="81">
        <f>INDEX('Pivot - Sector'!F:F,MATCH(A13,'Pivot - Sector'!A:A,0))</f>
        <v>0</v>
      </c>
      <c r="K13" s="82">
        <f>INDEX('Pivot - Sector'!G:G,MATCH(A13,'Pivot - Sector'!A:A,0))</f>
        <v>18253</v>
      </c>
      <c r="L13" s="82">
        <f>INDEX('Pivot - Sector'!H:H,MATCH(A13,'Pivot - Sector'!A:A,0))</f>
        <v>101671</v>
      </c>
      <c r="M13" s="82">
        <f>INDEX('Pivot - Sector'!I:I,MATCH(A13,'Pivot - Sector'!A:A,0))</f>
        <v>0</v>
      </c>
      <c r="N13" s="82">
        <f>INDEX('Pivot - Sector'!J:J,MATCH(A13,'Pivot - Sector'!A:A,0))</f>
        <v>0</v>
      </c>
    </row>
    <row r="14" spans="1:15" s="83" customFormat="1" x14ac:dyDescent="0.25">
      <c r="A14" s="80" t="s">
        <v>2208</v>
      </c>
      <c r="B14" s="81">
        <f>INDEX('Pivot - Sector'!B:B,MATCH(A14,'Pivot - Sector'!A:A,0))</f>
        <v>10</v>
      </c>
      <c r="C14" s="82">
        <f>INDEX('Pivot - Sector'!C:C,MATCH(A14,'Pivot - Sector'!A:A,0))</f>
        <v>104770</v>
      </c>
      <c r="D14" s="82">
        <f>INDEX(Travel!M:M,MATCH(A14,Travel!F:F,0))</f>
        <v>10597</v>
      </c>
      <c r="E14" s="82">
        <f t="shared" si="0"/>
        <v>9500</v>
      </c>
      <c r="F14" s="82">
        <f t="shared" si="1"/>
        <v>11700</v>
      </c>
      <c r="G14" s="84"/>
      <c r="H14" s="81">
        <f>INDEX('Pivot - Sector'!D:D,MATCH(A14,'Pivot - Sector'!A:A,0))</f>
        <v>0</v>
      </c>
      <c r="I14" s="81">
        <f>INDEX('Pivot - Sector'!E:E,MATCH(A14,'Pivot - Sector'!A:A,0))</f>
        <v>9</v>
      </c>
      <c r="J14" s="81">
        <f>INDEX('Pivot - Sector'!F:F,MATCH(A14,'Pivot - Sector'!A:A,0))</f>
        <v>1</v>
      </c>
      <c r="K14" s="82">
        <f>INDEX('Pivot - Sector'!G:G,MATCH(A14,'Pivot - Sector'!A:A,0))</f>
        <v>0</v>
      </c>
      <c r="L14" s="82">
        <f>INDEX('Pivot - Sector'!H:H,MATCH(A14,'Pivot - Sector'!A:A,0))</f>
        <v>94173</v>
      </c>
      <c r="M14" s="82">
        <f>INDEX('Pivot - Sector'!I:I,MATCH(A14,'Pivot - Sector'!A:A,0))</f>
        <v>21194</v>
      </c>
      <c r="N14" s="82">
        <f>INDEX('Pivot - Sector'!J:J,MATCH(A14,'Pivot - Sector'!A:A,0))</f>
        <v>9494</v>
      </c>
    </row>
    <row r="15" spans="1:15" s="83" customFormat="1" x14ac:dyDescent="0.25">
      <c r="A15" s="80" t="s">
        <v>2191</v>
      </c>
      <c r="B15" s="81">
        <f>INDEX('Pivot - Sector'!B:B,MATCH(A15,'Pivot - Sector'!A:A,0))</f>
        <v>8</v>
      </c>
      <c r="C15" s="82">
        <f>INDEX('Pivot - Sector'!C:C,MATCH(A15,'Pivot - Sector'!A:A,0))</f>
        <v>42571</v>
      </c>
      <c r="D15" s="82">
        <f>INDEX(Travel!M:M,MATCH(A15,Travel!F:F,0))</f>
        <v>5519</v>
      </c>
      <c r="E15" s="82">
        <f t="shared" si="0"/>
        <v>4900</v>
      </c>
      <c r="F15" s="82">
        <f t="shared" si="1"/>
        <v>6100</v>
      </c>
      <c r="G15" s="84"/>
      <c r="H15" s="81">
        <f>INDEX('Pivot - Sector'!D:D,MATCH(A15,'Pivot - Sector'!A:A,0))</f>
        <v>2</v>
      </c>
      <c r="I15" s="81">
        <f>INDEX('Pivot - Sector'!E:E,MATCH(A15,'Pivot - Sector'!A:A,0))</f>
        <v>6</v>
      </c>
      <c r="J15" s="81">
        <f>INDEX('Pivot - Sector'!F:F,MATCH(A15,'Pivot - Sector'!A:A,0))</f>
        <v>0</v>
      </c>
      <c r="K15" s="82">
        <f>INDEX('Pivot - Sector'!G:G,MATCH(A15,'Pivot - Sector'!A:A,0))</f>
        <v>8518</v>
      </c>
      <c r="L15" s="82">
        <f>INDEX('Pivot - Sector'!H:H,MATCH(A15,'Pivot - Sector'!A:A,0))</f>
        <v>34053</v>
      </c>
      <c r="M15" s="82">
        <f>INDEX('Pivot - Sector'!I:I,MATCH(A15,'Pivot - Sector'!A:A,0))</f>
        <v>0</v>
      </c>
      <c r="N15" s="82">
        <f>INDEX('Pivot - Sector'!J:J,MATCH(A15,'Pivot - Sector'!A:A,0))</f>
        <v>0</v>
      </c>
    </row>
    <row r="16" spans="1:15" s="83" customFormat="1" x14ac:dyDescent="0.25">
      <c r="A16" s="80" t="s">
        <v>2178</v>
      </c>
      <c r="B16" s="81">
        <f>INDEX('Pivot - Sector'!B:B,MATCH(A16,'Pivot - Sector'!A:A,0))</f>
        <v>8</v>
      </c>
      <c r="C16" s="82">
        <f>INDEX('Pivot - Sector'!C:C,MATCH(A16,'Pivot - Sector'!A:A,0))</f>
        <v>222220</v>
      </c>
      <c r="D16" s="82">
        <f>INDEX(Travel!M:M,MATCH(A16,Travel!F:F,0))</f>
        <v>37293</v>
      </c>
      <c r="E16" s="82">
        <f t="shared" si="0"/>
        <v>33500</v>
      </c>
      <c r="F16" s="82">
        <f t="shared" si="1"/>
        <v>41100</v>
      </c>
      <c r="G16" s="84"/>
      <c r="H16" s="81">
        <f>INDEX('Pivot - Sector'!D:D,MATCH(A16,'Pivot - Sector'!A:A,0))</f>
        <v>3</v>
      </c>
      <c r="I16" s="81">
        <f>INDEX('Pivot - Sector'!E:E,MATCH(A16,'Pivot - Sector'!A:A,0))</f>
        <v>4</v>
      </c>
      <c r="J16" s="81">
        <f>INDEX('Pivot - Sector'!F:F,MATCH(A16,'Pivot - Sector'!A:A,0))</f>
        <v>1</v>
      </c>
      <c r="K16" s="82">
        <f>INDEX('Pivot - Sector'!G:G,MATCH(A16,'Pivot - Sector'!A:A,0))</f>
        <v>24359</v>
      </c>
      <c r="L16" s="82">
        <f>INDEX('Pivot - Sector'!H:H,MATCH(A16,'Pivot - Sector'!A:A,0))</f>
        <v>150361</v>
      </c>
      <c r="M16" s="82">
        <f>INDEX('Pivot - Sector'!I:I,MATCH(A16,'Pivot - Sector'!A:A,0))</f>
        <v>47500</v>
      </c>
      <c r="N16" s="82">
        <f>INDEX('Pivot - Sector'!J:J,MATCH(A16,'Pivot - Sector'!A:A,0))</f>
        <v>6400</v>
      </c>
    </row>
    <row r="17" spans="1:14" s="83" customFormat="1" x14ac:dyDescent="0.25">
      <c r="A17" s="80" t="s">
        <v>2237</v>
      </c>
      <c r="B17" s="81">
        <f>INDEX('Pivot - Sector'!B:B,MATCH(A17,'Pivot - Sector'!A:A,0))</f>
        <v>8</v>
      </c>
      <c r="C17" s="82">
        <f>INDEX('Pivot - Sector'!C:C,MATCH(A17,'Pivot - Sector'!A:A,0))</f>
        <v>152391</v>
      </c>
      <c r="D17" s="82">
        <f>INDEX(Travel!M:M,MATCH(A17,Travel!F:F,0))</f>
        <v>19030</v>
      </c>
      <c r="E17" s="82">
        <f t="shared" si="0"/>
        <v>17100</v>
      </c>
      <c r="F17" s="82">
        <f t="shared" si="1"/>
        <v>21000</v>
      </c>
      <c r="G17" s="84"/>
      <c r="H17" s="81">
        <f>INDEX('Pivot - Sector'!D:D,MATCH(A17,'Pivot - Sector'!A:A,0))</f>
        <v>0</v>
      </c>
      <c r="I17" s="81">
        <f>INDEX('Pivot - Sector'!E:E,MATCH(A17,'Pivot - Sector'!A:A,0))</f>
        <v>6</v>
      </c>
      <c r="J17" s="81">
        <f>INDEX('Pivot - Sector'!F:F,MATCH(A17,'Pivot - Sector'!A:A,0))</f>
        <v>2</v>
      </c>
      <c r="K17" s="82">
        <f>INDEX('Pivot - Sector'!G:G,MATCH(A17,'Pivot - Sector'!A:A,0))</f>
        <v>0</v>
      </c>
      <c r="L17" s="82">
        <f>INDEX('Pivot - Sector'!H:H,MATCH(A17,'Pivot - Sector'!A:A,0))</f>
        <v>114280</v>
      </c>
      <c r="M17" s="82">
        <f>INDEX('Pivot - Sector'!I:I,MATCH(A17,'Pivot - Sector'!A:A,0))</f>
        <v>76222</v>
      </c>
      <c r="N17" s="82">
        <f>INDEX('Pivot - Sector'!J:J,MATCH(A17,'Pivot - Sector'!A:A,0))</f>
        <v>34222</v>
      </c>
    </row>
    <row r="18" spans="1:14" s="83" customFormat="1" x14ac:dyDescent="0.25">
      <c r="A18" s="80" t="s">
        <v>2173</v>
      </c>
      <c r="B18" s="81">
        <f>INDEX('Pivot - Sector'!B:B,MATCH(A18,'Pivot - Sector'!A:A,0))</f>
        <v>7</v>
      </c>
      <c r="C18" s="82">
        <f>INDEX('Pivot - Sector'!C:C,MATCH(A18,'Pivot - Sector'!A:A,0))</f>
        <v>85907</v>
      </c>
      <c r="D18" s="82">
        <f>INDEX(Travel!M:M,MATCH(A18,Travel!F:F,0))</f>
        <v>11722</v>
      </c>
      <c r="E18" s="82">
        <f t="shared" si="0"/>
        <v>10500</v>
      </c>
      <c r="F18" s="82">
        <f t="shared" si="1"/>
        <v>12900</v>
      </c>
      <c r="G18" s="84"/>
      <c r="H18" s="81">
        <f>INDEX('Pivot - Sector'!D:D,MATCH(A18,'Pivot - Sector'!A:A,0))</f>
        <v>1</v>
      </c>
      <c r="I18" s="81">
        <f>INDEX('Pivot - Sector'!E:E,MATCH(A18,'Pivot - Sector'!A:A,0))</f>
        <v>2</v>
      </c>
      <c r="J18" s="81">
        <f>INDEX('Pivot - Sector'!F:F,MATCH(A18,'Pivot - Sector'!A:A,0))</f>
        <v>4</v>
      </c>
      <c r="K18" s="82">
        <f>INDEX('Pivot - Sector'!G:G,MATCH(A18,'Pivot - Sector'!A:A,0))</f>
        <v>8560</v>
      </c>
      <c r="L18" s="82">
        <f>INDEX('Pivot - Sector'!H:H,MATCH(A18,'Pivot - Sector'!A:A,0))</f>
        <v>22602</v>
      </c>
      <c r="M18" s="82">
        <f>INDEX('Pivot - Sector'!I:I,MATCH(A18,'Pivot - Sector'!A:A,0))</f>
        <v>65625</v>
      </c>
      <c r="N18" s="82">
        <f>INDEX('Pivot - Sector'!J:J,MATCH(A18,'Pivot - Sector'!A:A,0))</f>
        <v>14025</v>
      </c>
    </row>
    <row r="19" spans="1:14" s="83" customFormat="1" x14ac:dyDescent="0.25">
      <c r="A19" s="80" t="s">
        <v>2210</v>
      </c>
      <c r="B19" s="81">
        <f>INDEX('Pivot - Sector'!B:B,MATCH(A19,'Pivot - Sector'!A:A,0))</f>
        <v>7</v>
      </c>
      <c r="C19" s="82">
        <f>INDEX('Pivot - Sector'!C:C,MATCH(A19,'Pivot - Sector'!A:A,0))</f>
        <v>136493</v>
      </c>
      <c r="D19" s="82">
        <f>INDEX(Travel!M:M,MATCH(A19,Travel!F:F,0))</f>
        <v>19495</v>
      </c>
      <c r="E19" s="82">
        <f t="shared" si="0"/>
        <v>17500</v>
      </c>
      <c r="F19" s="82">
        <f t="shared" si="1"/>
        <v>21500</v>
      </c>
      <c r="G19" s="84"/>
      <c r="H19" s="81">
        <f>INDEX('Pivot - Sector'!D:D,MATCH(A19,'Pivot - Sector'!A:A,0))</f>
        <v>1</v>
      </c>
      <c r="I19" s="81">
        <f>INDEX('Pivot - Sector'!E:E,MATCH(A19,'Pivot - Sector'!A:A,0))</f>
        <v>6</v>
      </c>
      <c r="J19" s="81">
        <f>INDEX('Pivot - Sector'!F:F,MATCH(A19,'Pivot - Sector'!A:A,0))</f>
        <v>0</v>
      </c>
      <c r="K19" s="82">
        <f>INDEX('Pivot - Sector'!G:G,MATCH(A19,'Pivot - Sector'!A:A,0))</f>
        <v>16371</v>
      </c>
      <c r="L19" s="82">
        <f>INDEX('Pivot - Sector'!H:H,MATCH(A19,'Pivot - Sector'!A:A,0))</f>
        <v>120122</v>
      </c>
      <c r="M19" s="82">
        <f>INDEX('Pivot - Sector'!I:I,MATCH(A19,'Pivot - Sector'!A:A,0))</f>
        <v>0</v>
      </c>
      <c r="N19" s="82">
        <f>INDEX('Pivot - Sector'!J:J,MATCH(A19,'Pivot - Sector'!A:A,0))</f>
        <v>0</v>
      </c>
    </row>
    <row r="20" spans="1:14" s="83" customFormat="1" x14ac:dyDescent="0.25">
      <c r="A20" s="80" t="s">
        <v>2241</v>
      </c>
      <c r="B20" s="81">
        <f>INDEX('Pivot - Sector'!B:B,MATCH(A20,'Pivot - Sector'!A:A,0))</f>
        <v>7</v>
      </c>
      <c r="C20" s="82">
        <f>INDEX('Pivot - Sector'!C:C,MATCH(A20,'Pivot - Sector'!A:A,0))</f>
        <v>6573</v>
      </c>
      <c r="D20" s="82">
        <f>INDEX(Travel!M:M,MATCH(A20,Travel!F:F,0))</f>
        <v>824</v>
      </c>
      <c r="E20" s="82">
        <f t="shared" si="0"/>
        <v>700</v>
      </c>
      <c r="F20" s="82">
        <f t="shared" si="1"/>
        <v>1000</v>
      </c>
      <c r="G20" s="84"/>
      <c r="H20" s="81">
        <f>INDEX('Pivot - Sector'!D:D,MATCH(A20,'Pivot - Sector'!A:A,0))</f>
        <v>1</v>
      </c>
      <c r="I20" s="81">
        <f>INDEX('Pivot - Sector'!E:E,MATCH(A20,'Pivot - Sector'!A:A,0))</f>
        <v>4</v>
      </c>
      <c r="J20" s="81">
        <f>INDEX('Pivot - Sector'!F:F,MATCH(A20,'Pivot - Sector'!A:A,0))</f>
        <v>2</v>
      </c>
      <c r="K20" s="82">
        <f>INDEX('Pivot - Sector'!G:G,MATCH(A20,'Pivot - Sector'!A:A,0))</f>
        <v>268</v>
      </c>
      <c r="L20" s="82">
        <f>INDEX('Pivot - Sector'!H:H,MATCH(A20,'Pivot - Sector'!A:A,0))</f>
        <v>3296</v>
      </c>
      <c r="M20" s="82">
        <f>INDEX('Pivot - Sector'!I:I,MATCH(A20,'Pivot - Sector'!A:A,0))</f>
        <v>3009</v>
      </c>
      <c r="N20" s="82">
        <f>INDEX('Pivot - Sector'!J:J,MATCH(A20,'Pivot - Sector'!A:A,0))</f>
        <v>1009</v>
      </c>
    </row>
    <row r="21" spans="1:14" s="83" customFormat="1" x14ac:dyDescent="0.25">
      <c r="A21" s="80" t="s">
        <v>2144</v>
      </c>
      <c r="B21" s="81">
        <f>INDEX('Pivot - Sector'!B:B,MATCH(A21,'Pivot - Sector'!A:A,0))</f>
        <v>6</v>
      </c>
      <c r="C21" s="82">
        <f>INDEX('Pivot - Sector'!C:C,MATCH(A21,'Pivot - Sector'!A:A,0))</f>
        <v>46118</v>
      </c>
      <c r="D21" s="82">
        <f>INDEX(Travel!M:M,MATCH(A21,Travel!F:F,0))</f>
        <v>9066</v>
      </c>
      <c r="E21" s="82">
        <f t="shared" si="0"/>
        <v>8100</v>
      </c>
      <c r="F21" s="82">
        <f t="shared" si="1"/>
        <v>10000</v>
      </c>
      <c r="G21" s="84"/>
      <c r="H21" s="81">
        <f>INDEX('Pivot - Sector'!D:D,MATCH(A21,'Pivot - Sector'!A:A,0))</f>
        <v>2</v>
      </c>
      <c r="I21" s="81">
        <f>INDEX('Pivot - Sector'!E:E,MATCH(A21,'Pivot - Sector'!A:A,0))</f>
        <v>3</v>
      </c>
      <c r="J21" s="81">
        <f>INDEX('Pivot - Sector'!F:F,MATCH(A21,'Pivot - Sector'!A:A,0))</f>
        <v>1</v>
      </c>
      <c r="K21" s="82">
        <f>INDEX('Pivot - Sector'!G:G,MATCH(A21,'Pivot - Sector'!A:A,0))</f>
        <v>8826</v>
      </c>
      <c r="L21" s="82">
        <f>INDEX('Pivot - Sector'!H:H,MATCH(A21,'Pivot - Sector'!A:A,0))</f>
        <v>27712</v>
      </c>
      <c r="M21" s="82">
        <f>INDEX('Pivot - Sector'!I:I,MATCH(A21,'Pivot - Sector'!A:A,0))</f>
        <v>19160</v>
      </c>
      <c r="N21" s="82">
        <f>INDEX('Pivot - Sector'!J:J,MATCH(A21,'Pivot - Sector'!A:A,0))</f>
        <v>9160</v>
      </c>
    </row>
    <row r="22" spans="1:14" s="83" customFormat="1" x14ac:dyDescent="0.25">
      <c r="A22" s="80" t="s">
        <v>2240</v>
      </c>
      <c r="B22" s="81">
        <f>INDEX('Pivot - Sector'!B:B,MATCH(A22,'Pivot - Sector'!A:A,0))</f>
        <v>6</v>
      </c>
      <c r="C22" s="82">
        <f>INDEX('Pivot - Sector'!C:C,MATCH(A22,'Pivot - Sector'!A:A,0))</f>
        <v>4709</v>
      </c>
      <c r="D22" s="82">
        <f>INDEX(Travel!M:M,MATCH(A22,Travel!F:F,0))</f>
        <v>749</v>
      </c>
      <c r="E22" s="82">
        <f t="shared" si="0"/>
        <v>600</v>
      </c>
      <c r="F22" s="82">
        <f t="shared" si="1"/>
        <v>900</v>
      </c>
      <c r="G22" s="84"/>
      <c r="H22" s="81">
        <f>INDEX('Pivot - Sector'!D:D,MATCH(A22,'Pivot - Sector'!A:A,0))</f>
        <v>0</v>
      </c>
      <c r="I22" s="81">
        <f>INDEX('Pivot - Sector'!E:E,MATCH(A22,'Pivot - Sector'!A:A,0))</f>
        <v>5</v>
      </c>
      <c r="J22" s="81">
        <f>INDEX('Pivot - Sector'!F:F,MATCH(A22,'Pivot - Sector'!A:A,0))</f>
        <v>1</v>
      </c>
      <c r="K22" s="82">
        <f>INDEX('Pivot - Sector'!G:G,MATCH(A22,'Pivot - Sector'!A:A,0))</f>
        <v>0</v>
      </c>
      <c r="L22" s="82">
        <f>INDEX('Pivot - Sector'!H:H,MATCH(A22,'Pivot - Sector'!A:A,0))</f>
        <v>3755</v>
      </c>
      <c r="M22" s="82">
        <f>INDEX('Pivot - Sector'!I:I,MATCH(A22,'Pivot - Sector'!A:A,0))</f>
        <v>954</v>
      </c>
      <c r="N22" s="82">
        <f>INDEX('Pivot - Sector'!J:J,MATCH(A22,'Pivot - Sector'!A:A,0))</f>
        <v>54</v>
      </c>
    </row>
    <row r="23" spans="1:14" s="83" customFormat="1" x14ac:dyDescent="0.25">
      <c r="A23" s="80" t="s">
        <v>2192</v>
      </c>
      <c r="B23" s="81">
        <f>INDEX('Pivot - Sector'!B:B,MATCH(A23,'Pivot - Sector'!A:A,0))</f>
        <v>5</v>
      </c>
      <c r="C23" s="82">
        <f>INDEX('Pivot - Sector'!C:C,MATCH(A23,'Pivot - Sector'!A:A,0))</f>
        <v>18240</v>
      </c>
      <c r="D23" s="82">
        <f>INDEX(Travel!M:M,MATCH(A23,Travel!F:F,0))</f>
        <v>3186</v>
      </c>
      <c r="E23" s="82">
        <f t="shared" si="0"/>
        <v>2800</v>
      </c>
      <c r="F23" s="82">
        <f t="shared" si="1"/>
        <v>3600</v>
      </c>
      <c r="G23" s="84"/>
      <c r="H23" s="81">
        <f>INDEX('Pivot - Sector'!D:D,MATCH(A23,'Pivot - Sector'!A:A,0))</f>
        <v>2</v>
      </c>
      <c r="I23" s="81">
        <f>INDEX('Pivot - Sector'!E:E,MATCH(A23,'Pivot - Sector'!A:A,0))</f>
        <v>1</v>
      </c>
      <c r="J23" s="81">
        <f>INDEX('Pivot - Sector'!F:F,MATCH(A23,'Pivot - Sector'!A:A,0))</f>
        <v>2</v>
      </c>
      <c r="K23" s="82">
        <f>INDEX('Pivot - Sector'!G:G,MATCH(A23,'Pivot - Sector'!A:A,0))</f>
        <v>5095</v>
      </c>
      <c r="L23" s="82">
        <f>INDEX('Pivot - Sector'!H:H,MATCH(A23,'Pivot - Sector'!A:A,0))</f>
        <v>3186</v>
      </c>
      <c r="M23" s="82">
        <f>INDEX('Pivot - Sector'!I:I,MATCH(A23,'Pivot - Sector'!A:A,0))</f>
        <v>9959</v>
      </c>
      <c r="N23" s="82">
        <f>INDEX('Pivot - Sector'!J:J,MATCH(A23,'Pivot - Sector'!A:A,0))</f>
        <v>2759</v>
      </c>
    </row>
    <row r="24" spans="1:14" s="83" customFormat="1" x14ac:dyDescent="0.25">
      <c r="A24" s="80" t="s">
        <v>2171</v>
      </c>
      <c r="B24" s="81">
        <f>INDEX('Pivot - Sector'!B:B,MATCH(A24,'Pivot - Sector'!A:A,0))</f>
        <v>5</v>
      </c>
      <c r="C24" s="82">
        <f>INDEX('Pivot - Sector'!C:C,MATCH(A24,'Pivot - Sector'!A:A,0))</f>
        <v>25101</v>
      </c>
      <c r="D24" s="82">
        <f>INDEX(Travel!M:M,MATCH(A24,Travel!F:F,0))</f>
        <v>5042</v>
      </c>
      <c r="E24" s="82">
        <f t="shared" si="0"/>
        <v>4500</v>
      </c>
      <c r="F24" s="82">
        <f t="shared" si="1"/>
        <v>5600</v>
      </c>
      <c r="G24" s="84"/>
      <c r="H24" s="81">
        <f>INDEX('Pivot - Sector'!D:D,MATCH(A24,'Pivot - Sector'!A:A,0))</f>
        <v>0</v>
      </c>
      <c r="I24" s="81">
        <f>INDEX('Pivot - Sector'!E:E,MATCH(A24,'Pivot - Sector'!A:A,0))</f>
        <v>4</v>
      </c>
      <c r="J24" s="81">
        <f>INDEX('Pivot - Sector'!F:F,MATCH(A24,'Pivot - Sector'!A:A,0))</f>
        <v>1</v>
      </c>
      <c r="K24" s="82">
        <f>INDEX('Pivot - Sector'!G:G,MATCH(A24,'Pivot - Sector'!A:A,0))</f>
        <v>0</v>
      </c>
      <c r="L24" s="82">
        <f>INDEX('Pivot - Sector'!H:H,MATCH(A24,'Pivot - Sector'!A:A,0))</f>
        <v>20059</v>
      </c>
      <c r="M24" s="82">
        <f>INDEX('Pivot - Sector'!I:I,MATCH(A24,'Pivot - Sector'!A:A,0))</f>
        <v>19830</v>
      </c>
      <c r="N24" s="82">
        <f>INDEX('Pivot - Sector'!J:J,MATCH(A24,'Pivot - Sector'!A:A,0))</f>
        <v>14230</v>
      </c>
    </row>
    <row r="25" spans="1:14" s="83" customFormat="1" x14ac:dyDescent="0.25">
      <c r="A25" s="80" t="s">
        <v>2175</v>
      </c>
      <c r="B25" s="81">
        <f>INDEX('Pivot - Sector'!B:B,MATCH(A25,'Pivot - Sector'!A:A,0))</f>
        <v>4</v>
      </c>
      <c r="C25" s="82">
        <f>INDEX('Pivot - Sector'!C:C,MATCH(A25,'Pivot - Sector'!A:A,0))</f>
        <v>34966</v>
      </c>
      <c r="D25" s="82">
        <f>INDEX(Travel!M:M,MATCH(A25,Travel!F:F,0))</f>
        <v>5814</v>
      </c>
      <c r="E25" s="82">
        <f t="shared" si="0"/>
        <v>5200</v>
      </c>
      <c r="F25" s="82">
        <f t="shared" si="1"/>
        <v>6400</v>
      </c>
      <c r="G25" s="84"/>
      <c r="H25" s="81">
        <f>INDEX('Pivot - Sector'!D:D,MATCH(A25,'Pivot - Sector'!A:A,0))</f>
        <v>1</v>
      </c>
      <c r="I25" s="81">
        <f>INDEX('Pivot - Sector'!E:E,MATCH(A25,'Pivot - Sector'!A:A,0))</f>
        <v>2</v>
      </c>
      <c r="J25" s="81">
        <f>INDEX('Pivot - Sector'!F:F,MATCH(A25,'Pivot - Sector'!A:A,0))</f>
        <v>1</v>
      </c>
      <c r="K25" s="82">
        <f>INDEX('Pivot - Sector'!G:G,MATCH(A25,'Pivot - Sector'!A:A,0))</f>
        <v>5125</v>
      </c>
      <c r="L25" s="82">
        <f>INDEX('Pivot - Sector'!H:H,MATCH(A25,'Pivot - Sector'!A:A,0))</f>
        <v>11628</v>
      </c>
      <c r="M25" s="82">
        <f>INDEX('Pivot - Sector'!I:I,MATCH(A25,'Pivot - Sector'!A:A,0))</f>
        <v>18213</v>
      </c>
      <c r="N25" s="82">
        <f>INDEX('Pivot - Sector'!J:J,MATCH(A25,'Pivot - Sector'!A:A,0))</f>
        <v>11813</v>
      </c>
    </row>
    <row r="26" spans="1:14" s="83" customFormat="1" x14ac:dyDescent="0.25">
      <c r="A26" s="80" t="s">
        <v>2156</v>
      </c>
      <c r="B26" s="81">
        <f>INDEX('Pivot - Sector'!B:B,MATCH(A26,'Pivot - Sector'!A:A,0))</f>
        <v>4</v>
      </c>
      <c r="C26" s="82">
        <f>INDEX('Pivot - Sector'!C:C,MATCH(A26,'Pivot - Sector'!A:A,0))</f>
        <v>34070</v>
      </c>
      <c r="D26" s="82">
        <f>INDEX(Travel!M:M,MATCH(A26,Travel!F:F,0))</f>
        <v>9425</v>
      </c>
      <c r="E26" s="82">
        <f t="shared" si="0"/>
        <v>8400</v>
      </c>
      <c r="F26" s="82">
        <f t="shared" si="1"/>
        <v>10400</v>
      </c>
      <c r="G26" s="84"/>
      <c r="H26" s="81">
        <f>INDEX('Pivot - Sector'!D:D,MATCH(A26,'Pivot - Sector'!A:A,0))</f>
        <v>1</v>
      </c>
      <c r="I26" s="81">
        <f>INDEX('Pivot - Sector'!E:E,MATCH(A26,'Pivot - Sector'!A:A,0))</f>
        <v>3</v>
      </c>
      <c r="J26" s="81">
        <f>INDEX('Pivot - Sector'!F:F,MATCH(A26,'Pivot - Sector'!A:A,0))</f>
        <v>0</v>
      </c>
      <c r="K26" s="82">
        <f>INDEX('Pivot - Sector'!G:G,MATCH(A26,'Pivot - Sector'!A:A,0))</f>
        <v>5269</v>
      </c>
      <c r="L26" s="82">
        <f>INDEX('Pivot - Sector'!H:H,MATCH(A26,'Pivot - Sector'!A:A,0))</f>
        <v>28801</v>
      </c>
      <c r="M26" s="82">
        <f>INDEX('Pivot - Sector'!I:I,MATCH(A26,'Pivot - Sector'!A:A,0))</f>
        <v>0</v>
      </c>
      <c r="N26" s="82">
        <f>INDEX('Pivot - Sector'!J:J,MATCH(A26,'Pivot - Sector'!A:A,0))</f>
        <v>0</v>
      </c>
    </row>
    <row r="27" spans="1:14" s="83" customFormat="1" x14ac:dyDescent="0.25">
      <c r="A27" s="80" t="s">
        <v>2139</v>
      </c>
      <c r="B27" s="81">
        <f>INDEX('Pivot - Sector'!B:B,MATCH(A27,'Pivot - Sector'!A:A,0))</f>
        <v>4</v>
      </c>
      <c r="C27" s="82">
        <f>INDEX('Pivot - Sector'!C:C,MATCH(A27,'Pivot - Sector'!A:A,0))</f>
        <v>141635</v>
      </c>
      <c r="D27" s="82">
        <f>INDEX(Travel!M:M,MATCH(A27,Travel!F:F,0))</f>
        <v>45000</v>
      </c>
      <c r="E27" s="82">
        <f t="shared" si="0"/>
        <v>40500</v>
      </c>
      <c r="F27" s="82">
        <f t="shared" si="1"/>
        <v>49500</v>
      </c>
      <c r="G27" s="84"/>
      <c r="H27" s="81">
        <f>INDEX('Pivot - Sector'!D:D,MATCH(A27,'Pivot - Sector'!A:A,0))</f>
        <v>1</v>
      </c>
      <c r="I27" s="81">
        <f>INDEX('Pivot - Sector'!E:E,MATCH(A27,'Pivot - Sector'!A:A,0))</f>
        <v>3</v>
      </c>
      <c r="J27" s="81">
        <f>INDEX('Pivot - Sector'!F:F,MATCH(A27,'Pivot - Sector'!A:A,0))</f>
        <v>0</v>
      </c>
      <c r="K27" s="82">
        <f>INDEX('Pivot - Sector'!G:G,MATCH(A27,'Pivot - Sector'!A:A,0))</f>
        <v>3800</v>
      </c>
      <c r="L27" s="82">
        <f>INDEX('Pivot - Sector'!H:H,MATCH(A27,'Pivot - Sector'!A:A,0))</f>
        <v>137835</v>
      </c>
      <c r="M27" s="82">
        <f>INDEX('Pivot - Sector'!I:I,MATCH(A27,'Pivot - Sector'!A:A,0))</f>
        <v>0</v>
      </c>
      <c r="N27" s="82">
        <f>INDEX('Pivot - Sector'!J:J,MATCH(A27,'Pivot - Sector'!A:A,0))</f>
        <v>0</v>
      </c>
    </row>
    <row r="28" spans="1:14" s="83" customFormat="1" x14ac:dyDescent="0.25">
      <c r="A28" s="80" t="s">
        <v>2234</v>
      </c>
      <c r="B28" s="81">
        <f>INDEX('Pivot - Sector'!B:B,MATCH(A28,'Pivot - Sector'!A:A,0))</f>
        <v>4</v>
      </c>
      <c r="C28" s="82">
        <f>INDEX('Pivot - Sector'!C:C,MATCH(A28,'Pivot - Sector'!A:A,0))</f>
        <v>88242</v>
      </c>
      <c r="D28" s="82">
        <f>INDEX(Travel!M:M,MATCH(A28,Travel!F:F,0))</f>
        <v>20677</v>
      </c>
      <c r="E28" s="82">
        <f t="shared" si="0"/>
        <v>18600</v>
      </c>
      <c r="F28" s="82">
        <f t="shared" si="1"/>
        <v>22800</v>
      </c>
      <c r="G28" s="84"/>
      <c r="H28" s="81">
        <f>INDEX('Pivot - Sector'!D:D,MATCH(A28,'Pivot - Sector'!A:A,0))</f>
        <v>0</v>
      </c>
      <c r="I28" s="81">
        <f>INDEX('Pivot - Sector'!E:E,MATCH(A28,'Pivot - Sector'!A:A,0))</f>
        <v>2</v>
      </c>
      <c r="J28" s="81">
        <f>INDEX('Pivot - Sector'!F:F,MATCH(A28,'Pivot - Sector'!A:A,0))</f>
        <v>2</v>
      </c>
      <c r="K28" s="82">
        <f>INDEX('Pivot - Sector'!G:G,MATCH(A28,'Pivot - Sector'!A:A,0))</f>
        <v>0</v>
      </c>
      <c r="L28" s="82">
        <f>INDEX('Pivot - Sector'!H:H,MATCH(A28,'Pivot - Sector'!A:A,0))</f>
        <v>40970</v>
      </c>
      <c r="M28" s="82">
        <f>INDEX('Pivot - Sector'!I:I,MATCH(A28,'Pivot - Sector'!A:A,0))</f>
        <v>67949</v>
      </c>
      <c r="N28" s="82">
        <f>INDEX('Pivot - Sector'!J:J,MATCH(A28,'Pivot - Sector'!A:A,0))</f>
        <v>22349</v>
      </c>
    </row>
    <row r="29" spans="1:14" s="83" customFormat="1" x14ac:dyDescent="0.25">
      <c r="A29" s="80" t="s">
        <v>2155</v>
      </c>
      <c r="B29" s="81">
        <f>INDEX('Pivot - Sector'!B:B,MATCH(A29,'Pivot - Sector'!A:A,0))</f>
        <v>4</v>
      </c>
      <c r="C29" s="82">
        <f>INDEX('Pivot - Sector'!C:C,MATCH(A29,'Pivot - Sector'!A:A,0))</f>
        <v>131500</v>
      </c>
      <c r="D29" s="82">
        <f>INDEX(Travel!M:M,MATCH(A29,Travel!F:F,0))</f>
        <v>33500</v>
      </c>
      <c r="E29" s="82">
        <f t="shared" si="0"/>
        <v>30100</v>
      </c>
      <c r="F29" s="82">
        <f t="shared" si="1"/>
        <v>36900</v>
      </c>
      <c r="G29" s="84"/>
      <c r="H29" s="81">
        <f>INDEX('Pivot - Sector'!D:D,MATCH(A29,'Pivot - Sector'!A:A,0))</f>
        <v>1</v>
      </c>
      <c r="I29" s="81">
        <f>INDEX('Pivot - Sector'!E:E,MATCH(A29,'Pivot - Sector'!A:A,0))</f>
        <v>2</v>
      </c>
      <c r="J29" s="81">
        <f>INDEX('Pivot - Sector'!F:F,MATCH(A29,'Pivot - Sector'!A:A,0))</f>
        <v>1</v>
      </c>
      <c r="K29" s="82">
        <f>INDEX('Pivot - Sector'!G:G,MATCH(A29,'Pivot - Sector'!A:A,0))</f>
        <v>27500</v>
      </c>
      <c r="L29" s="82">
        <f>INDEX('Pivot - Sector'!H:H,MATCH(A29,'Pivot - Sector'!A:A,0))</f>
        <v>67000</v>
      </c>
      <c r="M29" s="82">
        <f>INDEX('Pivot - Sector'!I:I,MATCH(A29,'Pivot - Sector'!A:A,0))</f>
        <v>37000</v>
      </c>
      <c r="N29" s="82">
        <f>INDEX('Pivot - Sector'!J:J,MATCH(A29,'Pivot - Sector'!A:A,0))</f>
        <v>100</v>
      </c>
    </row>
    <row r="30" spans="1:14" s="83" customFormat="1" x14ac:dyDescent="0.25">
      <c r="A30" s="80" t="s">
        <v>1934</v>
      </c>
      <c r="B30" s="81">
        <f>INDEX('Pivot - Sector'!B:B,MATCH(A30,'Pivot - Sector'!A:A,0))</f>
        <v>3</v>
      </c>
      <c r="C30" s="82">
        <f>INDEX('Pivot - Sector'!C:C,MATCH(A30,'Pivot - Sector'!A:A,0))</f>
        <v>45000</v>
      </c>
      <c r="D30" s="82">
        <f>INDEX(Travel!M:M,MATCH(A30,Travel!F:F,0))</f>
        <v>15000</v>
      </c>
      <c r="E30" s="82">
        <f t="shared" si="0"/>
        <v>13500</v>
      </c>
      <c r="F30" s="82">
        <f t="shared" si="1"/>
        <v>16500</v>
      </c>
      <c r="G30" s="84"/>
      <c r="H30" s="81">
        <f>INDEX('Pivot - Sector'!D:D,MATCH(A30,'Pivot - Sector'!A:A,0))</f>
        <v>0</v>
      </c>
      <c r="I30" s="81">
        <f>INDEX('Pivot - Sector'!E:E,MATCH(A30,'Pivot - Sector'!A:A,0))</f>
        <v>3</v>
      </c>
      <c r="J30" s="81">
        <f>INDEX('Pivot - Sector'!F:F,MATCH(A30,'Pivot - Sector'!A:A,0))</f>
        <v>0</v>
      </c>
      <c r="K30" s="82">
        <f>INDEX('Pivot - Sector'!G:G,MATCH(A30,'Pivot - Sector'!A:A,0))</f>
        <v>0</v>
      </c>
      <c r="L30" s="82">
        <f>INDEX('Pivot - Sector'!H:H,MATCH(A30,'Pivot - Sector'!A:A,0))</f>
        <v>45000</v>
      </c>
      <c r="M30" s="82">
        <f>INDEX('Pivot - Sector'!I:I,MATCH(A30,'Pivot - Sector'!A:A,0))</f>
        <v>0</v>
      </c>
      <c r="N30" s="82">
        <f>INDEX('Pivot - Sector'!J:J,MATCH(A30,'Pivot - Sector'!A:A,0))</f>
        <v>0</v>
      </c>
    </row>
    <row r="31" spans="1:14" s="83" customFormat="1" x14ac:dyDescent="0.25">
      <c r="A31" s="80" t="s">
        <v>1531</v>
      </c>
      <c r="B31" s="81">
        <f>INDEX('Pivot - Sector'!B:B,MATCH(A31,'Pivot - Sector'!A:A,0))</f>
        <v>3</v>
      </c>
      <c r="C31" s="82">
        <f>INDEX('Pivot - Sector'!C:C,MATCH(A31,'Pivot - Sector'!A:A,0))</f>
        <v>16122</v>
      </c>
      <c r="D31" s="82">
        <f>INDEX(Travel!M:M,MATCH(A31,Travel!F:F,0))</f>
        <v>5380</v>
      </c>
      <c r="E31" s="82">
        <f t="shared" si="0"/>
        <v>4800</v>
      </c>
      <c r="F31" s="82">
        <f t="shared" si="1"/>
        <v>6000</v>
      </c>
      <c r="G31" s="84"/>
      <c r="H31" s="81">
        <f>INDEX('Pivot - Sector'!D:D,MATCH(A31,'Pivot - Sector'!A:A,0))</f>
        <v>0</v>
      </c>
      <c r="I31" s="81">
        <f>INDEX('Pivot - Sector'!E:E,MATCH(A31,'Pivot - Sector'!A:A,0))</f>
        <v>3</v>
      </c>
      <c r="J31" s="81">
        <f>INDEX('Pivot - Sector'!F:F,MATCH(A31,'Pivot - Sector'!A:A,0))</f>
        <v>0</v>
      </c>
      <c r="K31" s="82">
        <f>INDEX('Pivot - Sector'!G:G,MATCH(A31,'Pivot - Sector'!A:A,0))</f>
        <v>0</v>
      </c>
      <c r="L31" s="82">
        <f>INDEX('Pivot - Sector'!H:H,MATCH(A31,'Pivot - Sector'!A:A,0))</f>
        <v>16122</v>
      </c>
      <c r="M31" s="82">
        <f>INDEX('Pivot - Sector'!I:I,MATCH(A31,'Pivot - Sector'!A:A,0))</f>
        <v>0</v>
      </c>
      <c r="N31" s="82">
        <f>INDEX('Pivot - Sector'!J:J,MATCH(A31,'Pivot - Sector'!A:A,0))</f>
        <v>0</v>
      </c>
    </row>
    <row r="32" spans="1:14" s="83" customFormat="1" x14ac:dyDescent="0.25">
      <c r="A32" s="80" t="s">
        <v>2170</v>
      </c>
      <c r="B32" s="81">
        <f>INDEX('Pivot - Sector'!B:B,MATCH(A32,'Pivot - Sector'!A:A,0))</f>
        <v>3</v>
      </c>
      <c r="C32" s="82">
        <f>INDEX('Pivot - Sector'!C:C,MATCH(A32,'Pivot - Sector'!A:A,0))</f>
        <v>59466</v>
      </c>
      <c r="D32" s="82">
        <f>INDEX(Travel!M:M,MATCH(A32,Travel!F:F,0))</f>
        <v>19822</v>
      </c>
      <c r="E32" s="82">
        <f t="shared" si="0"/>
        <v>17800</v>
      </c>
      <c r="F32" s="82">
        <f t="shared" si="1"/>
        <v>21900</v>
      </c>
      <c r="G32" s="84"/>
      <c r="H32" s="81">
        <f>INDEX('Pivot - Sector'!D:D,MATCH(A32,'Pivot - Sector'!A:A,0))</f>
        <v>0</v>
      </c>
      <c r="I32" s="81">
        <f>INDEX('Pivot - Sector'!E:E,MATCH(A32,'Pivot - Sector'!A:A,0))</f>
        <v>3</v>
      </c>
      <c r="J32" s="81">
        <f>INDEX('Pivot - Sector'!F:F,MATCH(A32,'Pivot - Sector'!A:A,0))</f>
        <v>0</v>
      </c>
      <c r="K32" s="82">
        <f>INDEX('Pivot - Sector'!G:G,MATCH(A32,'Pivot - Sector'!A:A,0))</f>
        <v>0</v>
      </c>
      <c r="L32" s="82">
        <f>INDEX('Pivot - Sector'!H:H,MATCH(A32,'Pivot - Sector'!A:A,0))</f>
        <v>59466</v>
      </c>
      <c r="M32" s="82">
        <f>INDEX('Pivot - Sector'!I:I,MATCH(A32,'Pivot - Sector'!A:A,0))</f>
        <v>0</v>
      </c>
      <c r="N32" s="82">
        <f>INDEX('Pivot - Sector'!J:J,MATCH(A32,'Pivot - Sector'!A:A,0))</f>
        <v>0</v>
      </c>
    </row>
    <row r="33" spans="1:14" s="83" customFormat="1" x14ac:dyDescent="0.25">
      <c r="A33" s="80" t="s">
        <v>2214</v>
      </c>
      <c r="B33" s="81">
        <f>INDEX('Pivot - Sector'!B:B,MATCH(A33,'Pivot - Sector'!A:A,0))</f>
        <v>3</v>
      </c>
      <c r="C33" s="82">
        <f>INDEX('Pivot - Sector'!C:C,MATCH(A33,'Pivot - Sector'!A:A,0))</f>
        <v>14546</v>
      </c>
      <c r="D33" s="82">
        <f>INDEX(Travel!M:M,MATCH(A33,Travel!F:F,0))</f>
        <v>4873</v>
      </c>
      <c r="E33" s="82">
        <f t="shared" si="0"/>
        <v>4300</v>
      </c>
      <c r="F33" s="82">
        <f t="shared" si="1"/>
        <v>5400</v>
      </c>
      <c r="G33" s="84"/>
      <c r="H33" s="81">
        <f>INDEX('Pivot - Sector'!D:D,MATCH(A33,'Pivot - Sector'!A:A,0))</f>
        <v>0</v>
      </c>
      <c r="I33" s="81">
        <f>INDEX('Pivot - Sector'!E:E,MATCH(A33,'Pivot - Sector'!A:A,0))</f>
        <v>3</v>
      </c>
      <c r="J33" s="81">
        <f>INDEX('Pivot - Sector'!F:F,MATCH(A33,'Pivot - Sector'!A:A,0))</f>
        <v>0</v>
      </c>
      <c r="K33" s="82">
        <f>INDEX('Pivot - Sector'!G:G,MATCH(A33,'Pivot - Sector'!A:A,0))</f>
        <v>0</v>
      </c>
      <c r="L33" s="82">
        <f>INDEX('Pivot - Sector'!H:H,MATCH(A33,'Pivot - Sector'!A:A,0))</f>
        <v>14546</v>
      </c>
      <c r="M33" s="82">
        <f>INDEX('Pivot - Sector'!I:I,MATCH(A33,'Pivot - Sector'!A:A,0))</f>
        <v>0</v>
      </c>
      <c r="N33" s="82">
        <f>INDEX('Pivot - Sector'!J:J,MATCH(A33,'Pivot - Sector'!A:A,0))</f>
        <v>0</v>
      </c>
    </row>
    <row r="34" spans="1:14" s="83" customFormat="1" x14ac:dyDescent="0.25">
      <c r="A34" s="80" t="s">
        <v>2154</v>
      </c>
      <c r="B34" s="81">
        <f>INDEX('Pivot - Sector'!B:B,MATCH(A34,'Pivot - Sector'!A:A,0))</f>
        <v>3</v>
      </c>
      <c r="C34" s="82">
        <f>INDEX('Pivot - Sector'!C:C,MATCH(A34,'Pivot - Sector'!A:A,0))</f>
        <v>23920</v>
      </c>
      <c r="D34" s="82">
        <f>INDEX(Travel!M:M,MATCH(A34,Travel!F:F,0))</f>
        <v>9477</v>
      </c>
      <c r="E34" s="82">
        <f t="shared" si="0"/>
        <v>8500</v>
      </c>
      <c r="F34" s="82">
        <f t="shared" si="1"/>
        <v>10500</v>
      </c>
      <c r="G34" s="84"/>
      <c r="H34" s="81">
        <f>INDEX('Pivot - Sector'!D:D,MATCH(A34,'Pivot - Sector'!A:A,0))</f>
        <v>1</v>
      </c>
      <c r="I34" s="81">
        <f>INDEX('Pivot - Sector'!E:E,MATCH(A34,'Pivot - Sector'!A:A,0))</f>
        <v>2</v>
      </c>
      <c r="J34" s="81">
        <f>INDEX('Pivot - Sector'!F:F,MATCH(A34,'Pivot - Sector'!A:A,0))</f>
        <v>0</v>
      </c>
      <c r="K34" s="82">
        <f>INDEX('Pivot - Sector'!G:G,MATCH(A34,'Pivot - Sector'!A:A,0))</f>
        <v>4814</v>
      </c>
      <c r="L34" s="82">
        <f>INDEX('Pivot - Sector'!H:H,MATCH(A34,'Pivot - Sector'!A:A,0))</f>
        <v>19106</v>
      </c>
      <c r="M34" s="82">
        <f>INDEX('Pivot - Sector'!I:I,MATCH(A34,'Pivot - Sector'!A:A,0))</f>
        <v>0</v>
      </c>
      <c r="N34" s="82">
        <f>INDEX('Pivot - Sector'!J:J,MATCH(A34,'Pivot - Sector'!A:A,0))</f>
        <v>0</v>
      </c>
    </row>
    <row r="35" spans="1:14" s="83" customFormat="1" x14ac:dyDescent="0.25">
      <c r="A35" s="80" t="s">
        <v>2212</v>
      </c>
      <c r="B35" s="81">
        <f>INDEX('Pivot - Sector'!B:B,MATCH(A35,'Pivot - Sector'!A:A,0))</f>
        <v>3</v>
      </c>
      <c r="C35" s="82">
        <f>INDEX('Pivot - Sector'!C:C,MATCH(A35,'Pivot - Sector'!A:A,0))</f>
        <v>58763</v>
      </c>
      <c r="D35" s="82">
        <f>INDEX(Travel!M:M,MATCH(A35,Travel!F:F,0))</f>
        <v>19932</v>
      </c>
      <c r="E35" s="82">
        <f t="shared" si="0"/>
        <v>17900</v>
      </c>
      <c r="F35" s="82">
        <f t="shared" si="1"/>
        <v>22000</v>
      </c>
      <c r="G35" s="84"/>
      <c r="H35" s="81">
        <f>INDEX('Pivot - Sector'!D:D,MATCH(A35,'Pivot - Sector'!A:A,0))</f>
        <v>0</v>
      </c>
      <c r="I35" s="81">
        <f>INDEX('Pivot - Sector'!E:E,MATCH(A35,'Pivot - Sector'!A:A,0))</f>
        <v>3</v>
      </c>
      <c r="J35" s="81">
        <f>INDEX('Pivot - Sector'!F:F,MATCH(A35,'Pivot - Sector'!A:A,0))</f>
        <v>0</v>
      </c>
      <c r="K35" s="82">
        <f>INDEX('Pivot - Sector'!G:G,MATCH(A35,'Pivot - Sector'!A:A,0))</f>
        <v>0</v>
      </c>
      <c r="L35" s="82">
        <f>INDEX('Pivot - Sector'!H:H,MATCH(A35,'Pivot - Sector'!A:A,0))</f>
        <v>58763</v>
      </c>
      <c r="M35" s="82">
        <f>INDEX('Pivot - Sector'!I:I,MATCH(A35,'Pivot - Sector'!A:A,0))</f>
        <v>0</v>
      </c>
      <c r="N35" s="82">
        <f>INDEX('Pivot - Sector'!J:J,MATCH(A35,'Pivot - Sector'!A:A,0))</f>
        <v>0</v>
      </c>
    </row>
    <row r="36" spans="1:14" s="83" customFormat="1" x14ac:dyDescent="0.25">
      <c r="A36" s="80" t="s">
        <v>2199</v>
      </c>
      <c r="B36" s="81">
        <f>INDEX('Pivot - Sector'!B:B,MATCH(A36,'Pivot - Sector'!A:A,0))</f>
        <v>3</v>
      </c>
      <c r="C36" s="82">
        <f>INDEX('Pivot - Sector'!C:C,MATCH(A36,'Pivot - Sector'!A:A,0))</f>
        <v>28616</v>
      </c>
      <c r="D36" s="82">
        <f>INDEX(Travel!M:M,MATCH(A36,Travel!F:F,0))</f>
        <v>9855</v>
      </c>
      <c r="E36" s="82">
        <f t="shared" ref="E36:E67" si="2">ROUNDDOWN(D36*(100-$E$1)%,-2)</f>
        <v>8800</v>
      </c>
      <c r="F36" s="82">
        <f t="shared" ref="F36:F67" si="3">ROUNDUP(D36*(100+$F$1)%,-2)</f>
        <v>10900</v>
      </c>
      <c r="G36" s="84"/>
      <c r="H36" s="81">
        <f>INDEX('Pivot - Sector'!D:D,MATCH(A36,'Pivot - Sector'!A:A,0))</f>
        <v>1</v>
      </c>
      <c r="I36" s="81">
        <f>INDEX('Pivot - Sector'!E:E,MATCH(A36,'Pivot - Sector'!A:A,0))</f>
        <v>2</v>
      </c>
      <c r="J36" s="81">
        <f>INDEX('Pivot - Sector'!F:F,MATCH(A36,'Pivot - Sector'!A:A,0))</f>
        <v>0</v>
      </c>
      <c r="K36" s="82">
        <f>INDEX('Pivot - Sector'!G:G,MATCH(A36,'Pivot - Sector'!A:A,0))</f>
        <v>8729</v>
      </c>
      <c r="L36" s="82">
        <f>INDEX('Pivot - Sector'!H:H,MATCH(A36,'Pivot - Sector'!A:A,0))</f>
        <v>19887</v>
      </c>
      <c r="M36" s="82">
        <f>INDEX('Pivot - Sector'!I:I,MATCH(A36,'Pivot - Sector'!A:A,0))</f>
        <v>0</v>
      </c>
      <c r="N36" s="82">
        <f>INDEX('Pivot - Sector'!J:J,MATCH(A36,'Pivot - Sector'!A:A,0))</f>
        <v>0</v>
      </c>
    </row>
    <row r="37" spans="1:14" s="83" customFormat="1" x14ac:dyDescent="0.25">
      <c r="A37" s="80" t="s">
        <v>2238</v>
      </c>
      <c r="B37" s="81">
        <f>INDEX('Pivot - Sector'!B:B,MATCH(A37,'Pivot - Sector'!A:A,0))</f>
        <v>3</v>
      </c>
      <c r="C37" s="82">
        <f>INDEX('Pivot - Sector'!C:C,MATCH(A37,'Pivot - Sector'!A:A,0))</f>
        <v>29817</v>
      </c>
      <c r="D37" s="82">
        <f>INDEX(Travel!M:M,MATCH(A37,Travel!F:F,0))</f>
        <v>9939</v>
      </c>
      <c r="E37" s="82">
        <f t="shared" si="2"/>
        <v>8900</v>
      </c>
      <c r="F37" s="82">
        <f t="shared" si="3"/>
        <v>11000</v>
      </c>
      <c r="G37" s="84"/>
      <c r="H37" s="81">
        <f>INDEX('Pivot - Sector'!D:D,MATCH(A37,'Pivot - Sector'!A:A,0))</f>
        <v>0</v>
      </c>
      <c r="I37" s="81">
        <f>INDEX('Pivot - Sector'!E:E,MATCH(A37,'Pivot - Sector'!A:A,0))</f>
        <v>2</v>
      </c>
      <c r="J37" s="81">
        <f>INDEX('Pivot - Sector'!F:F,MATCH(A37,'Pivot - Sector'!A:A,0))</f>
        <v>1</v>
      </c>
      <c r="K37" s="82">
        <f>INDEX('Pivot - Sector'!G:G,MATCH(A37,'Pivot - Sector'!A:A,0))</f>
        <v>0</v>
      </c>
      <c r="L37" s="82">
        <f>INDEX('Pivot - Sector'!H:H,MATCH(A37,'Pivot - Sector'!A:A,0))</f>
        <v>19878</v>
      </c>
      <c r="M37" s="82">
        <f>INDEX('Pivot - Sector'!I:I,MATCH(A37,'Pivot - Sector'!A:A,0))</f>
        <v>35294</v>
      </c>
      <c r="N37" s="82">
        <f>INDEX('Pivot - Sector'!J:J,MATCH(A37,'Pivot - Sector'!A:A,0))</f>
        <v>24294</v>
      </c>
    </row>
    <row r="38" spans="1:14" s="83" customFormat="1" x14ac:dyDescent="0.25">
      <c r="A38" s="80" t="s">
        <v>1722</v>
      </c>
      <c r="B38" s="81">
        <f>INDEX('Pivot - Sector'!B:B,MATCH(A38,'Pivot - Sector'!A:A,0))</f>
        <v>2</v>
      </c>
      <c r="C38" s="82">
        <f>INDEX('Pivot - Sector'!C:C,MATCH(A38,'Pivot - Sector'!A:A,0))</f>
        <v>13161</v>
      </c>
      <c r="D38" s="82">
        <f>INDEX(Travel!M:M,MATCH(A38,Travel!F:F,0))</f>
        <v>6580.5</v>
      </c>
      <c r="E38" s="82">
        <f t="shared" si="2"/>
        <v>5900</v>
      </c>
      <c r="F38" s="82">
        <f t="shared" si="3"/>
        <v>7300</v>
      </c>
      <c r="G38" s="84"/>
      <c r="H38" s="81">
        <f>INDEX('Pivot - Sector'!D:D,MATCH(A38,'Pivot - Sector'!A:A,0))</f>
        <v>1</v>
      </c>
      <c r="I38" s="81">
        <f>INDEX('Pivot - Sector'!E:E,MATCH(A38,'Pivot - Sector'!A:A,0))</f>
        <v>0</v>
      </c>
      <c r="J38" s="81">
        <f>INDEX('Pivot - Sector'!F:F,MATCH(A38,'Pivot - Sector'!A:A,0))</f>
        <v>1</v>
      </c>
      <c r="K38" s="82">
        <f>INDEX('Pivot - Sector'!G:G,MATCH(A38,'Pivot - Sector'!A:A,0))</f>
        <v>5614</v>
      </c>
      <c r="L38" s="82">
        <f>INDEX('Pivot - Sector'!H:H,MATCH(A38,'Pivot - Sector'!A:A,0))</f>
        <v>0</v>
      </c>
      <c r="M38" s="82">
        <f>INDEX('Pivot - Sector'!I:I,MATCH(A38,'Pivot - Sector'!A:A,0))</f>
        <v>7547</v>
      </c>
      <c r="N38" s="82">
        <f>INDEX('Pivot - Sector'!J:J,MATCH(A38,'Pivot - Sector'!A:A,0))</f>
        <v>247</v>
      </c>
    </row>
    <row r="39" spans="1:14" s="83" customFormat="1" x14ac:dyDescent="0.25">
      <c r="A39" s="80" t="s">
        <v>2196</v>
      </c>
      <c r="B39" s="81">
        <f>INDEX('Pivot - Sector'!B:B,MATCH(A39,'Pivot - Sector'!A:A,0))</f>
        <v>2</v>
      </c>
      <c r="C39" s="82">
        <f>INDEX('Pivot - Sector'!C:C,MATCH(A39,'Pivot - Sector'!A:A,0))</f>
        <v>17537</v>
      </c>
      <c r="D39" s="82">
        <f>INDEX(Travel!M:M,MATCH(A39,Travel!F:F,0))</f>
        <v>8768.5</v>
      </c>
      <c r="E39" s="82">
        <f t="shared" si="2"/>
        <v>7800</v>
      </c>
      <c r="F39" s="82">
        <f t="shared" si="3"/>
        <v>9700</v>
      </c>
      <c r="G39" s="84"/>
      <c r="H39" s="81">
        <f>INDEX('Pivot - Sector'!D:D,MATCH(A39,'Pivot - Sector'!A:A,0))</f>
        <v>1</v>
      </c>
      <c r="I39" s="81">
        <f>INDEX('Pivot - Sector'!E:E,MATCH(A39,'Pivot - Sector'!A:A,0))</f>
        <v>0</v>
      </c>
      <c r="J39" s="81">
        <f>INDEX('Pivot - Sector'!F:F,MATCH(A39,'Pivot - Sector'!A:A,0))</f>
        <v>1</v>
      </c>
      <c r="K39" s="82">
        <f>INDEX('Pivot - Sector'!G:G,MATCH(A39,'Pivot - Sector'!A:A,0))</f>
        <v>4180</v>
      </c>
      <c r="L39" s="82">
        <f>INDEX('Pivot - Sector'!H:H,MATCH(A39,'Pivot - Sector'!A:A,0))</f>
        <v>0</v>
      </c>
      <c r="M39" s="82">
        <f>INDEX('Pivot - Sector'!I:I,MATCH(A39,'Pivot - Sector'!A:A,0))</f>
        <v>13357</v>
      </c>
      <c r="N39" s="82">
        <f>INDEX('Pivot - Sector'!J:J,MATCH(A39,'Pivot - Sector'!A:A,0))</f>
        <v>3657</v>
      </c>
    </row>
    <row r="40" spans="1:14" s="83" customFormat="1" x14ac:dyDescent="0.25">
      <c r="A40" s="80" t="s">
        <v>2176</v>
      </c>
      <c r="B40" s="81">
        <f>INDEX('Pivot - Sector'!B:B,MATCH(A40,'Pivot - Sector'!A:A,0))</f>
        <v>2</v>
      </c>
      <c r="C40" s="82">
        <f>INDEX('Pivot - Sector'!C:C,MATCH(A40,'Pivot - Sector'!A:A,0))</f>
        <v>19507</v>
      </c>
      <c r="D40" s="82">
        <f>INDEX(Travel!M:M,MATCH(A40,Travel!F:F,0))</f>
        <v>9753.5</v>
      </c>
      <c r="E40" s="82">
        <f t="shared" si="2"/>
        <v>8700</v>
      </c>
      <c r="F40" s="82">
        <f t="shared" si="3"/>
        <v>10800</v>
      </c>
      <c r="G40" s="84"/>
      <c r="H40" s="81">
        <f>INDEX('Pivot - Sector'!D:D,MATCH(A40,'Pivot - Sector'!A:A,0))</f>
        <v>0</v>
      </c>
      <c r="I40" s="81">
        <f>INDEX('Pivot - Sector'!E:E,MATCH(A40,'Pivot - Sector'!A:A,0))</f>
        <v>2</v>
      </c>
      <c r="J40" s="81">
        <f>INDEX('Pivot - Sector'!F:F,MATCH(A40,'Pivot - Sector'!A:A,0))</f>
        <v>0</v>
      </c>
      <c r="K40" s="82">
        <f>INDEX('Pivot - Sector'!G:G,MATCH(A40,'Pivot - Sector'!A:A,0))</f>
        <v>0</v>
      </c>
      <c r="L40" s="82">
        <f>INDEX('Pivot - Sector'!H:H,MATCH(A40,'Pivot - Sector'!A:A,0))</f>
        <v>19507</v>
      </c>
      <c r="M40" s="82">
        <f>INDEX('Pivot - Sector'!I:I,MATCH(A40,'Pivot - Sector'!A:A,0))</f>
        <v>0</v>
      </c>
      <c r="N40" s="82">
        <f>INDEX('Pivot - Sector'!J:J,MATCH(A40,'Pivot - Sector'!A:A,0))</f>
        <v>0</v>
      </c>
    </row>
    <row r="41" spans="1:14" s="83" customFormat="1" x14ac:dyDescent="0.25">
      <c r="A41" s="80" t="s">
        <v>2164</v>
      </c>
      <c r="B41" s="81">
        <f>INDEX('Pivot - Sector'!B:B,MATCH(A41,'Pivot - Sector'!A:A,0))</f>
        <v>2</v>
      </c>
      <c r="C41" s="82">
        <f>INDEX('Pivot - Sector'!C:C,MATCH(A41,'Pivot - Sector'!A:A,0))</f>
        <v>21310</v>
      </c>
      <c r="D41" s="82">
        <f>INDEX(Travel!M:M,MATCH(A41,Travel!F:F,0))</f>
        <v>10655</v>
      </c>
      <c r="E41" s="82">
        <f t="shared" si="2"/>
        <v>9500</v>
      </c>
      <c r="F41" s="82">
        <f t="shared" si="3"/>
        <v>11800</v>
      </c>
      <c r="G41" s="84"/>
      <c r="H41" s="81">
        <f>INDEX('Pivot - Sector'!D:D,MATCH(A41,'Pivot - Sector'!A:A,0))</f>
        <v>1</v>
      </c>
      <c r="I41" s="81">
        <f>INDEX('Pivot - Sector'!E:E,MATCH(A41,'Pivot - Sector'!A:A,0))</f>
        <v>0</v>
      </c>
      <c r="J41" s="81">
        <f>INDEX('Pivot - Sector'!F:F,MATCH(A41,'Pivot - Sector'!A:A,0))</f>
        <v>1</v>
      </c>
      <c r="K41" s="82">
        <f>INDEX('Pivot - Sector'!G:G,MATCH(A41,'Pivot - Sector'!A:A,0))</f>
        <v>4810</v>
      </c>
      <c r="L41" s="82">
        <f>INDEX('Pivot - Sector'!H:H,MATCH(A41,'Pivot - Sector'!A:A,0))</f>
        <v>0</v>
      </c>
      <c r="M41" s="82">
        <f>INDEX('Pivot - Sector'!I:I,MATCH(A41,'Pivot - Sector'!A:A,0))</f>
        <v>16500</v>
      </c>
      <c r="N41" s="82">
        <f>INDEX('Pivot - Sector'!J:J,MATCH(A41,'Pivot - Sector'!A:A,0))</f>
        <v>4700</v>
      </c>
    </row>
    <row r="42" spans="1:14" s="83" customFormat="1" x14ac:dyDescent="0.25">
      <c r="A42" s="80" t="s">
        <v>2137</v>
      </c>
      <c r="B42" s="81">
        <f>INDEX('Pivot - Sector'!B:B,MATCH(A42,'Pivot - Sector'!A:A,0))</f>
        <v>2</v>
      </c>
      <c r="C42" s="82">
        <f>INDEX('Pivot - Sector'!C:C,MATCH(A42,'Pivot - Sector'!A:A,0))</f>
        <v>16459</v>
      </c>
      <c r="D42" s="82">
        <f>INDEX(Travel!M:M,MATCH(A42,Travel!F:F,0))</f>
        <v>8229.5</v>
      </c>
      <c r="E42" s="82">
        <f t="shared" si="2"/>
        <v>7400</v>
      </c>
      <c r="F42" s="82">
        <f t="shared" si="3"/>
        <v>9100</v>
      </c>
      <c r="G42" s="84"/>
      <c r="H42" s="81">
        <f>INDEX('Pivot - Sector'!D:D,MATCH(A42,'Pivot - Sector'!A:A,0))</f>
        <v>1</v>
      </c>
      <c r="I42" s="81">
        <f>INDEX('Pivot - Sector'!E:E,MATCH(A42,'Pivot - Sector'!A:A,0))</f>
        <v>0</v>
      </c>
      <c r="J42" s="81">
        <f>INDEX('Pivot - Sector'!F:F,MATCH(A42,'Pivot - Sector'!A:A,0))</f>
        <v>1</v>
      </c>
      <c r="K42" s="82">
        <f>INDEX('Pivot - Sector'!G:G,MATCH(A42,'Pivot - Sector'!A:A,0))</f>
        <v>6122</v>
      </c>
      <c r="L42" s="82">
        <f>INDEX('Pivot - Sector'!H:H,MATCH(A42,'Pivot - Sector'!A:A,0))</f>
        <v>0</v>
      </c>
      <c r="M42" s="82">
        <f>INDEX('Pivot - Sector'!I:I,MATCH(A42,'Pivot - Sector'!A:A,0))</f>
        <v>10337</v>
      </c>
      <c r="N42" s="82">
        <f>INDEX('Pivot - Sector'!J:J,MATCH(A42,'Pivot - Sector'!A:A,0))</f>
        <v>1237</v>
      </c>
    </row>
    <row r="43" spans="1:14" s="83" customFormat="1" x14ac:dyDescent="0.25">
      <c r="A43" s="80" t="s">
        <v>2195</v>
      </c>
      <c r="B43" s="81">
        <f>INDEX('Pivot - Sector'!B:B,MATCH(A43,'Pivot - Sector'!A:A,0))</f>
        <v>2</v>
      </c>
      <c r="C43" s="82">
        <f>INDEX('Pivot - Sector'!C:C,MATCH(A43,'Pivot - Sector'!A:A,0))</f>
        <v>15822</v>
      </c>
      <c r="D43" s="82">
        <f>INDEX(Travel!M:M,MATCH(A43,Travel!F:F,0))</f>
        <v>7911</v>
      </c>
      <c r="E43" s="82">
        <f t="shared" si="2"/>
        <v>7100</v>
      </c>
      <c r="F43" s="82">
        <f t="shared" si="3"/>
        <v>8800</v>
      </c>
      <c r="G43" s="84"/>
      <c r="H43" s="81">
        <f>INDEX('Pivot - Sector'!D:D,MATCH(A43,'Pivot - Sector'!A:A,0))</f>
        <v>1</v>
      </c>
      <c r="I43" s="81">
        <f>INDEX('Pivot - Sector'!E:E,MATCH(A43,'Pivot - Sector'!A:A,0))</f>
        <v>0</v>
      </c>
      <c r="J43" s="81">
        <f>INDEX('Pivot - Sector'!F:F,MATCH(A43,'Pivot - Sector'!A:A,0))</f>
        <v>1</v>
      </c>
      <c r="K43" s="82">
        <f>INDEX('Pivot - Sector'!G:G,MATCH(A43,'Pivot - Sector'!A:A,0))</f>
        <v>5425</v>
      </c>
      <c r="L43" s="82">
        <f>INDEX('Pivot - Sector'!H:H,MATCH(A43,'Pivot - Sector'!A:A,0))</f>
        <v>0</v>
      </c>
      <c r="M43" s="82">
        <f>INDEX('Pivot - Sector'!I:I,MATCH(A43,'Pivot - Sector'!A:A,0))</f>
        <v>10397</v>
      </c>
      <c r="N43" s="82">
        <f>INDEX('Pivot - Sector'!J:J,MATCH(A43,'Pivot - Sector'!A:A,0))</f>
        <v>1597</v>
      </c>
    </row>
    <row r="44" spans="1:14" s="83" customFormat="1" x14ac:dyDescent="0.25">
      <c r="A44" s="80" t="s">
        <v>2220</v>
      </c>
      <c r="B44" s="81">
        <f>INDEX('Pivot - Sector'!B:B,MATCH(A44,'Pivot - Sector'!A:A,0))</f>
        <v>2</v>
      </c>
      <c r="C44" s="82">
        <f>INDEX('Pivot - Sector'!C:C,MATCH(A44,'Pivot - Sector'!A:A,0))</f>
        <v>13888</v>
      </c>
      <c r="D44" s="82">
        <f>INDEX(Travel!M:M,MATCH(A44,Travel!F:F,0))</f>
        <v>6944</v>
      </c>
      <c r="E44" s="82">
        <f t="shared" si="2"/>
        <v>6200</v>
      </c>
      <c r="F44" s="82">
        <f t="shared" si="3"/>
        <v>7700</v>
      </c>
      <c r="G44" s="84"/>
      <c r="H44" s="81">
        <f>INDEX('Pivot - Sector'!D:D,MATCH(A44,'Pivot - Sector'!A:A,0))</f>
        <v>1</v>
      </c>
      <c r="I44" s="81">
        <f>INDEX('Pivot - Sector'!E:E,MATCH(A44,'Pivot - Sector'!A:A,0))</f>
        <v>0</v>
      </c>
      <c r="J44" s="81">
        <f>INDEX('Pivot - Sector'!F:F,MATCH(A44,'Pivot - Sector'!A:A,0))</f>
        <v>1</v>
      </c>
      <c r="K44" s="82">
        <f>INDEX('Pivot - Sector'!G:G,MATCH(A44,'Pivot - Sector'!A:A,0))</f>
        <v>5216</v>
      </c>
      <c r="L44" s="82">
        <f>INDEX('Pivot - Sector'!H:H,MATCH(A44,'Pivot - Sector'!A:A,0))</f>
        <v>0</v>
      </c>
      <c r="M44" s="82">
        <f>INDEX('Pivot - Sector'!I:I,MATCH(A44,'Pivot - Sector'!A:A,0))</f>
        <v>8672</v>
      </c>
      <c r="N44" s="82">
        <f>INDEX('Pivot - Sector'!J:J,MATCH(A44,'Pivot - Sector'!A:A,0))</f>
        <v>972</v>
      </c>
    </row>
    <row r="45" spans="1:14" s="83" customFormat="1" x14ac:dyDescent="0.25">
      <c r="A45" s="80" t="s">
        <v>2194</v>
      </c>
      <c r="B45" s="81">
        <f>INDEX('Pivot - Sector'!B:B,MATCH(A45,'Pivot - Sector'!A:A,0))</f>
        <v>2</v>
      </c>
      <c r="C45" s="82">
        <f>INDEX('Pivot - Sector'!C:C,MATCH(A45,'Pivot - Sector'!A:A,0))</f>
        <v>6500</v>
      </c>
      <c r="D45" s="82">
        <f>INDEX(Travel!M:M,MATCH(A45,Travel!F:F,0))</f>
        <v>3250</v>
      </c>
      <c r="E45" s="82">
        <f t="shared" si="2"/>
        <v>2900</v>
      </c>
      <c r="F45" s="82">
        <f t="shared" si="3"/>
        <v>3600</v>
      </c>
      <c r="G45" s="84"/>
      <c r="H45" s="81">
        <f>INDEX('Pivot - Sector'!D:D,MATCH(A45,'Pivot - Sector'!A:A,0))</f>
        <v>1</v>
      </c>
      <c r="I45" s="81">
        <f>INDEX('Pivot - Sector'!E:E,MATCH(A45,'Pivot - Sector'!A:A,0))</f>
        <v>0</v>
      </c>
      <c r="J45" s="81">
        <f>INDEX('Pivot - Sector'!F:F,MATCH(A45,'Pivot - Sector'!A:A,0))</f>
        <v>1</v>
      </c>
      <c r="K45" s="82">
        <f>INDEX('Pivot - Sector'!G:G,MATCH(A45,'Pivot - Sector'!A:A,0))</f>
        <v>0</v>
      </c>
      <c r="L45" s="82">
        <f>INDEX('Pivot - Sector'!H:H,MATCH(A45,'Pivot - Sector'!A:A,0))</f>
        <v>0</v>
      </c>
      <c r="M45" s="82">
        <f>INDEX('Pivot - Sector'!I:I,MATCH(A45,'Pivot - Sector'!A:A,0))</f>
        <v>6500</v>
      </c>
      <c r="N45" s="82">
        <f>INDEX('Pivot - Sector'!J:J,MATCH(A45,'Pivot - Sector'!A:A,0))</f>
        <v>2900</v>
      </c>
    </row>
    <row r="46" spans="1:14" s="83" customFormat="1" x14ac:dyDescent="0.25">
      <c r="A46" s="80" t="s">
        <v>2157</v>
      </c>
      <c r="B46" s="81">
        <f>INDEX('Pivot - Sector'!B:B,MATCH(A46,'Pivot - Sector'!A:A,0))</f>
        <v>2</v>
      </c>
      <c r="C46" s="82">
        <f>INDEX('Pivot - Sector'!C:C,MATCH(A46,'Pivot - Sector'!A:A,0))</f>
        <v>166000</v>
      </c>
      <c r="D46" s="82">
        <f>INDEX(Travel!M:M,MATCH(A46,Travel!F:F,0))</f>
        <v>83000</v>
      </c>
      <c r="E46" s="82">
        <f t="shared" si="2"/>
        <v>74700</v>
      </c>
      <c r="F46" s="82">
        <f t="shared" si="3"/>
        <v>91300</v>
      </c>
      <c r="G46" s="84"/>
      <c r="H46" s="81">
        <f>INDEX('Pivot - Sector'!D:D,MATCH(A46,'Pivot - Sector'!A:A,0))</f>
        <v>1</v>
      </c>
      <c r="I46" s="81">
        <f>INDEX('Pivot - Sector'!E:E,MATCH(A46,'Pivot - Sector'!A:A,0))</f>
        <v>0</v>
      </c>
      <c r="J46" s="81">
        <f>INDEX('Pivot - Sector'!F:F,MATCH(A46,'Pivot - Sector'!A:A,0))</f>
        <v>1</v>
      </c>
      <c r="K46" s="82">
        <f>INDEX('Pivot - Sector'!G:G,MATCH(A46,'Pivot - Sector'!A:A,0))</f>
        <v>72000</v>
      </c>
      <c r="L46" s="82">
        <f>INDEX('Pivot - Sector'!H:H,MATCH(A46,'Pivot - Sector'!A:A,0))</f>
        <v>0</v>
      </c>
      <c r="M46" s="82">
        <f>INDEX('Pivot - Sector'!I:I,MATCH(A46,'Pivot - Sector'!A:A,0))</f>
        <v>94000</v>
      </c>
      <c r="N46" s="82">
        <f>INDEX('Pivot - Sector'!J:J,MATCH(A46,'Pivot - Sector'!A:A,0))</f>
        <v>2700</v>
      </c>
    </row>
    <row r="47" spans="1:14" s="83" customFormat="1" x14ac:dyDescent="0.25">
      <c r="A47" s="80" t="s">
        <v>2165</v>
      </c>
      <c r="B47" s="81">
        <f>INDEX('Pivot - Sector'!B:B,MATCH(A47,'Pivot - Sector'!A:A,0))</f>
        <v>2</v>
      </c>
      <c r="C47" s="82">
        <f>INDEX('Pivot - Sector'!C:C,MATCH(A47,'Pivot - Sector'!A:A,0))</f>
        <v>15416</v>
      </c>
      <c r="D47" s="82">
        <f>INDEX(Travel!M:M,MATCH(A47,Travel!F:F,0))</f>
        <v>7708</v>
      </c>
      <c r="E47" s="82">
        <f t="shared" si="2"/>
        <v>6900</v>
      </c>
      <c r="F47" s="82">
        <f t="shared" si="3"/>
        <v>8500</v>
      </c>
      <c r="G47" s="84"/>
      <c r="H47" s="81">
        <f>INDEX('Pivot - Sector'!D:D,MATCH(A47,'Pivot - Sector'!A:A,0))</f>
        <v>0</v>
      </c>
      <c r="I47" s="81">
        <f>INDEX('Pivot - Sector'!E:E,MATCH(A47,'Pivot - Sector'!A:A,0))</f>
        <v>2</v>
      </c>
      <c r="J47" s="81">
        <f>INDEX('Pivot - Sector'!F:F,MATCH(A47,'Pivot - Sector'!A:A,0))</f>
        <v>0</v>
      </c>
      <c r="K47" s="82">
        <f>INDEX('Pivot - Sector'!G:G,MATCH(A47,'Pivot - Sector'!A:A,0))</f>
        <v>0</v>
      </c>
      <c r="L47" s="82">
        <f>INDEX('Pivot - Sector'!H:H,MATCH(A47,'Pivot - Sector'!A:A,0))</f>
        <v>15416</v>
      </c>
      <c r="M47" s="82">
        <f>INDEX('Pivot - Sector'!I:I,MATCH(A47,'Pivot - Sector'!A:A,0))</f>
        <v>0</v>
      </c>
      <c r="N47" s="82">
        <f>INDEX('Pivot - Sector'!J:J,MATCH(A47,'Pivot - Sector'!A:A,0))</f>
        <v>0</v>
      </c>
    </row>
    <row r="48" spans="1:14" s="83" customFormat="1" x14ac:dyDescent="0.25">
      <c r="A48" s="80" t="s">
        <v>2188</v>
      </c>
      <c r="B48" s="81">
        <f>INDEX('Pivot - Sector'!B:B,MATCH(A48,'Pivot - Sector'!A:A,0))</f>
        <v>2</v>
      </c>
      <c r="C48" s="82">
        <f>INDEX('Pivot - Sector'!C:C,MATCH(A48,'Pivot - Sector'!A:A,0))</f>
        <v>238000</v>
      </c>
      <c r="D48" s="82">
        <f>INDEX(Travel!M:M,MATCH(A48,Travel!F:F,0))</f>
        <v>119000</v>
      </c>
      <c r="E48" s="82">
        <f t="shared" si="2"/>
        <v>107100</v>
      </c>
      <c r="F48" s="82">
        <f t="shared" si="3"/>
        <v>130900</v>
      </c>
      <c r="G48" s="84"/>
      <c r="H48" s="81">
        <f>INDEX('Pivot - Sector'!D:D,MATCH(A48,'Pivot - Sector'!A:A,0))</f>
        <v>0</v>
      </c>
      <c r="I48" s="81">
        <f>INDEX('Pivot - Sector'!E:E,MATCH(A48,'Pivot - Sector'!A:A,0))</f>
        <v>2</v>
      </c>
      <c r="J48" s="81">
        <f>INDEX('Pivot - Sector'!F:F,MATCH(A48,'Pivot - Sector'!A:A,0))</f>
        <v>0</v>
      </c>
      <c r="K48" s="82">
        <f>INDEX('Pivot - Sector'!G:G,MATCH(A48,'Pivot - Sector'!A:A,0))</f>
        <v>0</v>
      </c>
      <c r="L48" s="82">
        <f>INDEX('Pivot - Sector'!H:H,MATCH(A48,'Pivot - Sector'!A:A,0))</f>
        <v>238000</v>
      </c>
      <c r="M48" s="82">
        <f>INDEX('Pivot - Sector'!I:I,MATCH(A48,'Pivot - Sector'!A:A,0))</f>
        <v>0</v>
      </c>
      <c r="N48" s="82">
        <f>INDEX('Pivot - Sector'!J:J,MATCH(A48,'Pivot - Sector'!A:A,0))</f>
        <v>0</v>
      </c>
    </row>
    <row r="49" spans="1:14" s="83" customFormat="1" x14ac:dyDescent="0.25">
      <c r="A49" s="80" t="s">
        <v>2160</v>
      </c>
      <c r="B49" s="81">
        <f>INDEX('Pivot - Sector'!B:B,MATCH(A49,'Pivot - Sector'!A:A,0))</f>
        <v>2</v>
      </c>
      <c r="C49" s="82">
        <f>INDEX('Pivot - Sector'!C:C,MATCH(A49,'Pivot - Sector'!A:A,0))</f>
        <v>37764</v>
      </c>
      <c r="D49" s="82">
        <f>INDEX(Travel!M:M,MATCH(A49,Travel!F:F,0))</f>
        <v>18882</v>
      </c>
      <c r="E49" s="82">
        <f t="shared" si="2"/>
        <v>16900</v>
      </c>
      <c r="F49" s="82">
        <f t="shared" si="3"/>
        <v>20800</v>
      </c>
      <c r="G49" s="84"/>
      <c r="H49" s="81">
        <f>INDEX('Pivot - Sector'!D:D,MATCH(A49,'Pivot - Sector'!A:A,0))</f>
        <v>0</v>
      </c>
      <c r="I49" s="81">
        <f>INDEX('Pivot - Sector'!E:E,MATCH(A49,'Pivot - Sector'!A:A,0))</f>
        <v>2</v>
      </c>
      <c r="J49" s="81">
        <f>INDEX('Pivot - Sector'!F:F,MATCH(A49,'Pivot - Sector'!A:A,0))</f>
        <v>0</v>
      </c>
      <c r="K49" s="82">
        <f>INDEX('Pivot - Sector'!G:G,MATCH(A49,'Pivot - Sector'!A:A,0))</f>
        <v>0</v>
      </c>
      <c r="L49" s="82">
        <f>INDEX('Pivot - Sector'!H:H,MATCH(A49,'Pivot - Sector'!A:A,0))</f>
        <v>37764</v>
      </c>
      <c r="M49" s="82">
        <f>INDEX('Pivot - Sector'!I:I,MATCH(A49,'Pivot - Sector'!A:A,0))</f>
        <v>0</v>
      </c>
      <c r="N49" s="82">
        <f>INDEX('Pivot - Sector'!J:J,MATCH(A49,'Pivot - Sector'!A:A,0))</f>
        <v>0</v>
      </c>
    </row>
    <row r="50" spans="1:14" s="83" customFormat="1" x14ac:dyDescent="0.25">
      <c r="A50" s="80" t="s">
        <v>2138</v>
      </c>
      <c r="B50" s="81">
        <f>INDEX('Pivot - Sector'!B:B,MATCH(A50,'Pivot - Sector'!A:A,0))</f>
        <v>2</v>
      </c>
      <c r="C50" s="82">
        <f>INDEX('Pivot - Sector'!C:C,MATCH(A50,'Pivot - Sector'!A:A,0))</f>
        <v>42600</v>
      </c>
      <c r="D50" s="82">
        <f>INDEX(Travel!M:M,MATCH(A50,Travel!F:F,0))</f>
        <v>21300</v>
      </c>
      <c r="E50" s="82">
        <f t="shared" si="2"/>
        <v>19100</v>
      </c>
      <c r="F50" s="82">
        <f t="shared" si="3"/>
        <v>23500</v>
      </c>
      <c r="G50" s="84"/>
      <c r="H50" s="81">
        <f>INDEX('Pivot - Sector'!D:D,MATCH(A50,'Pivot - Sector'!A:A,0))</f>
        <v>1</v>
      </c>
      <c r="I50" s="81">
        <f>INDEX('Pivot - Sector'!E:E,MATCH(A50,'Pivot - Sector'!A:A,0))</f>
        <v>0</v>
      </c>
      <c r="J50" s="81">
        <f>INDEX('Pivot - Sector'!F:F,MATCH(A50,'Pivot - Sector'!A:A,0))</f>
        <v>1</v>
      </c>
      <c r="K50" s="82">
        <f>INDEX('Pivot - Sector'!G:G,MATCH(A50,'Pivot - Sector'!A:A,0))</f>
        <v>8300</v>
      </c>
      <c r="L50" s="82">
        <f>INDEX('Pivot - Sector'!H:H,MATCH(A50,'Pivot - Sector'!A:A,0))</f>
        <v>0</v>
      </c>
      <c r="M50" s="82">
        <f>INDEX('Pivot - Sector'!I:I,MATCH(A50,'Pivot - Sector'!A:A,0))</f>
        <v>34300</v>
      </c>
      <c r="N50" s="82">
        <f>INDEX('Pivot - Sector'!J:J,MATCH(A50,'Pivot - Sector'!A:A,0))</f>
        <v>10800</v>
      </c>
    </row>
    <row r="51" spans="1:14" s="83" customFormat="1" x14ac:dyDescent="0.25">
      <c r="A51" s="80" t="s">
        <v>2232</v>
      </c>
      <c r="B51" s="81">
        <f>INDEX('Pivot - Sector'!B:B,MATCH(A51,'Pivot - Sector'!A:A,0))</f>
        <v>2</v>
      </c>
      <c r="C51" s="82">
        <f>INDEX('Pivot - Sector'!C:C,MATCH(A51,'Pivot - Sector'!A:A,0))</f>
        <v>10910</v>
      </c>
      <c r="D51" s="82">
        <f>INDEX(Travel!M:M,MATCH(A51,Travel!F:F,0))</f>
        <v>5455</v>
      </c>
      <c r="E51" s="82">
        <f t="shared" si="2"/>
        <v>4900</v>
      </c>
      <c r="F51" s="82">
        <f t="shared" si="3"/>
        <v>6100</v>
      </c>
      <c r="G51" s="84"/>
      <c r="H51" s="81">
        <f>INDEX('Pivot - Sector'!D:D,MATCH(A51,'Pivot - Sector'!A:A,0))</f>
        <v>0</v>
      </c>
      <c r="I51" s="81">
        <f>INDEX('Pivot - Sector'!E:E,MATCH(A51,'Pivot - Sector'!A:A,0))</f>
        <v>2</v>
      </c>
      <c r="J51" s="81">
        <f>INDEX('Pivot - Sector'!F:F,MATCH(A51,'Pivot - Sector'!A:A,0))</f>
        <v>0</v>
      </c>
      <c r="K51" s="82">
        <f>INDEX('Pivot - Sector'!G:G,MATCH(A51,'Pivot - Sector'!A:A,0))</f>
        <v>0</v>
      </c>
      <c r="L51" s="82">
        <f>INDEX('Pivot - Sector'!H:H,MATCH(A51,'Pivot - Sector'!A:A,0))</f>
        <v>10910</v>
      </c>
      <c r="M51" s="82">
        <f>INDEX('Pivot - Sector'!I:I,MATCH(A51,'Pivot - Sector'!A:A,0))</f>
        <v>0</v>
      </c>
      <c r="N51" s="82">
        <f>INDEX('Pivot - Sector'!J:J,MATCH(A51,'Pivot - Sector'!A:A,0))</f>
        <v>0</v>
      </c>
    </row>
    <row r="52" spans="1:14" s="83" customFormat="1" x14ac:dyDescent="0.25">
      <c r="A52" s="80" t="s">
        <v>2205</v>
      </c>
      <c r="B52" s="81">
        <f>INDEX('Pivot - Sector'!B:B,MATCH(A52,'Pivot - Sector'!A:A,0))</f>
        <v>2</v>
      </c>
      <c r="C52" s="82">
        <f>INDEX('Pivot - Sector'!C:C,MATCH(A52,'Pivot - Sector'!A:A,0))</f>
        <v>42000</v>
      </c>
      <c r="D52" s="82">
        <f>INDEX(Travel!M:M,MATCH(A52,Travel!F:F,0))</f>
        <v>21000</v>
      </c>
      <c r="E52" s="82">
        <f t="shared" si="2"/>
        <v>18900</v>
      </c>
      <c r="F52" s="82">
        <f t="shared" si="3"/>
        <v>23100</v>
      </c>
      <c r="G52" s="84"/>
      <c r="H52" s="81">
        <f>INDEX('Pivot - Sector'!D:D,MATCH(A52,'Pivot - Sector'!A:A,0))</f>
        <v>0</v>
      </c>
      <c r="I52" s="81">
        <f>INDEX('Pivot - Sector'!E:E,MATCH(A52,'Pivot - Sector'!A:A,0))</f>
        <v>2</v>
      </c>
      <c r="J52" s="81">
        <f>INDEX('Pivot - Sector'!F:F,MATCH(A52,'Pivot - Sector'!A:A,0))</f>
        <v>0</v>
      </c>
      <c r="K52" s="82">
        <f>INDEX('Pivot - Sector'!G:G,MATCH(A52,'Pivot - Sector'!A:A,0))</f>
        <v>0</v>
      </c>
      <c r="L52" s="82">
        <f>INDEX('Pivot - Sector'!H:H,MATCH(A52,'Pivot - Sector'!A:A,0))</f>
        <v>42000</v>
      </c>
      <c r="M52" s="82">
        <f>INDEX('Pivot - Sector'!I:I,MATCH(A52,'Pivot - Sector'!A:A,0))</f>
        <v>0</v>
      </c>
      <c r="N52" s="82">
        <f>INDEX('Pivot - Sector'!J:J,MATCH(A52,'Pivot - Sector'!A:A,0))</f>
        <v>0</v>
      </c>
    </row>
    <row r="53" spans="1:14" s="83" customFormat="1" x14ac:dyDescent="0.25">
      <c r="A53" s="80" t="s">
        <v>714</v>
      </c>
      <c r="B53" s="81">
        <f>INDEX('Pivot - Sector'!B:B,MATCH(A53,'Pivot - Sector'!A:A,0))</f>
        <v>1</v>
      </c>
      <c r="C53" s="82">
        <f>INDEX('Pivot - Sector'!C:C,MATCH(A53,'Pivot - Sector'!A:A,0))</f>
        <v>8000</v>
      </c>
      <c r="D53" s="82">
        <f>INDEX(Travel!M:M,MATCH(A53,Travel!F:F,0))</f>
        <v>8000</v>
      </c>
      <c r="E53" s="82">
        <f t="shared" si="2"/>
        <v>7200</v>
      </c>
      <c r="F53" s="82">
        <f t="shared" si="3"/>
        <v>8800</v>
      </c>
      <c r="G53" s="84"/>
      <c r="H53" s="81">
        <f>INDEX('Pivot - Sector'!D:D,MATCH(A53,'Pivot - Sector'!A:A,0))</f>
        <v>0</v>
      </c>
      <c r="I53" s="81">
        <f>INDEX('Pivot - Sector'!E:E,MATCH(A53,'Pivot - Sector'!A:A,0))</f>
        <v>1</v>
      </c>
      <c r="J53" s="81">
        <f>INDEX('Pivot - Sector'!F:F,MATCH(A53,'Pivot - Sector'!A:A,0))</f>
        <v>0</v>
      </c>
      <c r="K53" s="82">
        <f>INDEX('Pivot - Sector'!G:G,MATCH(A53,'Pivot - Sector'!A:A,0))</f>
        <v>0</v>
      </c>
      <c r="L53" s="82">
        <f>INDEX('Pivot - Sector'!H:H,MATCH(A53,'Pivot - Sector'!A:A,0))</f>
        <v>8000</v>
      </c>
      <c r="M53" s="82">
        <f>INDEX('Pivot - Sector'!I:I,MATCH(A53,'Pivot - Sector'!A:A,0))</f>
        <v>0</v>
      </c>
      <c r="N53" s="82">
        <f>INDEX('Pivot - Sector'!J:J,MATCH(A53,'Pivot - Sector'!A:A,0))</f>
        <v>0</v>
      </c>
    </row>
    <row r="54" spans="1:14" s="83" customFormat="1" x14ac:dyDescent="0.25">
      <c r="A54" s="80" t="s">
        <v>1577</v>
      </c>
      <c r="B54" s="81">
        <f>INDEX('Pivot - Sector'!B:B,MATCH(A54,'Pivot - Sector'!A:A,0))</f>
        <v>1</v>
      </c>
      <c r="C54" s="82">
        <f>INDEX('Pivot - Sector'!C:C,MATCH(A54,'Pivot - Sector'!A:A,0))</f>
        <v>10500</v>
      </c>
      <c r="D54" s="82">
        <f>INDEX(Travel!M:M,MATCH(A54,Travel!F:F,0))</f>
        <v>10500</v>
      </c>
      <c r="E54" s="82">
        <f t="shared" si="2"/>
        <v>9400</v>
      </c>
      <c r="F54" s="82">
        <f t="shared" si="3"/>
        <v>11600</v>
      </c>
      <c r="G54" s="84"/>
      <c r="H54" s="81">
        <f>INDEX('Pivot - Sector'!D:D,MATCH(A54,'Pivot - Sector'!A:A,0))</f>
        <v>0</v>
      </c>
      <c r="I54" s="81">
        <f>INDEX('Pivot - Sector'!E:E,MATCH(A54,'Pivot - Sector'!A:A,0))</f>
        <v>1</v>
      </c>
      <c r="J54" s="81">
        <f>INDEX('Pivot - Sector'!F:F,MATCH(A54,'Pivot - Sector'!A:A,0))</f>
        <v>0</v>
      </c>
      <c r="K54" s="82">
        <f>INDEX('Pivot - Sector'!G:G,MATCH(A54,'Pivot - Sector'!A:A,0))</f>
        <v>0</v>
      </c>
      <c r="L54" s="82">
        <f>INDEX('Pivot - Sector'!H:H,MATCH(A54,'Pivot - Sector'!A:A,0))</f>
        <v>10500</v>
      </c>
      <c r="M54" s="82">
        <f>INDEX('Pivot - Sector'!I:I,MATCH(A54,'Pivot - Sector'!A:A,0))</f>
        <v>0</v>
      </c>
      <c r="N54" s="82">
        <f>INDEX('Pivot - Sector'!J:J,MATCH(A54,'Pivot - Sector'!A:A,0))</f>
        <v>0</v>
      </c>
    </row>
    <row r="55" spans="1:14" s="83" customFormat="1" x14ac:dyDescent="0.25">
      <c r="A55" s="80" t="s">
        <v>1919</v>
      </c>
      <c r="B55" s="81">
        <f>INDEX('Pivot - Sector'!B:B,MATCH(A55,'Pivot - Sector'!A:A,0))</f>
        <v>1</v>
      </c>
      <c r="C55" s="82">
        <f>INDEX('Pivot - Sector'!C:C,MATCH(A55,'Pivot - Sector'!A:A,0))</f>
        <v>4000</v>
      </c>
      <c r="D55" s="82">
        <f>INDEX(Travel!M:M,MATCH(A55,Travel!F:F,0))</f>
        <v>4000</v>
      </c>
      <c r="E55" s="82">
        <f t="shared" si="2"/>
        <v>3600</v>
      </c>
      <c r="F55" s="82">
        <f t="shared" si="3"/>
        <v>4400</v>
      </c>
      <c r="G55" s="84"/>
      <c r="H55" s="81">
        <f>INDEX('Pivot - Sector'!D:D,MATCH(A55,'Pivot - Sector'!A:A,0))</f>
        <v>0</v>
      </c>
      <c r="I55" s="81">
        <f>INDEX('Pivot - Sector'!E:E,MATCH(A55,'Pivot - Sector'!A:A,0))</f>
        <v>1</v>
      </c>
      <c r="J55" s="81">
        <f>INDEX('Pivot - Sector'!F:F,MATCH(A55,'Pivot - Sector'!A:A,0))</f>
        <v>0</v>
      </c>
      <c r="K55" s="82">
        <f>INDEX('Pivot - Sector'!G:G,MATCH(A55,'Pivot - Sector'!A:A,0))</f>
        <v>0</v>
      </c>
      <c r="L55" s="82">
        <f>INDEX('Pivot - Sector'!H:H,MATCH(A55,'Pivot - Sector'!A:A,0))</f>
        <v>4000</v>
      </c>
      <c r="M55" s="82">
        <f>INDEX('Pivot - Sector'!I:I,MATCH(A55,'Pivot - Sector'!A:A,0))</f>
        <v>0</v>
      </c>
      <c r="N55" s="82">
        <f>INDEX('Pivot - Sector'!J:J,MATCH(A55,'Pivot - Sector'!A:A,0))</f>
        <v>0</v>
      </c>
    </row>
    <row r="56" spans="1:14" s="83" customFormat="1" x14ac:dyDescent="0.25">
      <c r="A56" s="80" t="s">
        <v>1580</v>
      </c>
      <c r="B56" s="81">
        <f>INDEX('Pivot - Sector'!B:B,MATCH(A56,'Pivot - Sector'!A:A,0))</f>
        <v>1</v>
      </c>
      <c r="C56" s="82">
        <f>INDEX('Pivot - Sector'!C:C,MATCH(A56,'Pivot - Sector'!A:A,0))</f>
        <v>1900</v>
      </c>
      <c r="D56" s="82">
        <f>INDEX(Travel!M:M,MATCH(A56,Travel!F:F,0))</f>
        <v>1900</v>
      </c>
      <c r="E56" s="82">
        <f t="shared" si="2"/>
        <v>1700</v>
      </c>
      <c r="F56" s="82">
        <f t="shared" si="3"/>
        <v>2100</v>
      </c>
      <c r="G56" s="84"/>
      <c r="H56" s="81">
        <f>INDEX('Pivot - Sector'!D:D,MATCH(A56,'Pivot - Sector'!A:A,0))</f>
        <v>0</v>
      </c>
      <c r="I56" s="81">
        <f>INDEX('Pivot - Sector'!E:E,MATCH(A56,'Pivot - Sector'!A:A,0))</f>
        <v>1</v>
      </c>
      <c r="J56" s="81">
        <f>INDEX('Pivot - Sector'!F:F,MATCH(A56,'Pivot - Sector'!A:A,0))</f>
        <v>0</v>
      </c>
      <c r="K56" s="82">
        <f>INDEX('Pivot - Sector'!G:G,MATCH(A56,'Pivot - Sector'!A:A,0))</f>
        <v>0</v>
      </c>
      <c r="L56" s="82">
        <f>INDEX('Pivot - Sector'!H:H,MATCH(A56,'Pivot - Sector'!A:A,0))</f>
        <v>1900</v>
      </c>
      <c r="M56" s="82">
        <f>INDEX('Pivot - Sector'!I:I,MATCH(A56,'Pivot - Sector'!A:A,0))</f>
        <v>0</v>
      </c>
      <c r="N56" s="82">
        <f>INDEX('Pivot - Sector'!J:J,MATCH(A56,'Pivot - Sector'!A:A,0))</f>
        <v>0</v>
      </c>
    </row>
    <row r="57" spans="1:14" s="83" customFormat="1" x14ac:dyDescent="0.25">
      <c r="A57" s="80" t="s">
        <v>1867</v>
      </c>
      <c r="B57" s="81">
        <f>INDEX('Pivot - Sector'!B:B,MATCH(A57,'Pivot - Sector'!A:A,0))</f>
        <v>1</v>
      </c>
      <c r="C57" s="82">
        <f>INDEX('Pivot - Sector'!C:C,MATCH(A57,'Pivot - Sector'!A:A,0))</f>
        <v>7500</v>
      </c>
      <c r="D57" s="82">
        <f>INDEX(Travel!M:M,MATCH(A57,Travel!F:F,0))</f>
        <v>7500</v>
      </c>
      <c r="E57" s="82">
        <f t="shared" si="2"/>
        <v>6700</v>
      </c>
      <c r="F57" s="82">
        <f t="shared" si="3"/>
        <v>8300</v>
      </c>
      <c r="G57" s="84"/>
      <c r="H57" s="81">
        <f>INDEX('Pivot - Sector'!D:D,MATCH(A57,'Pivot - Sector'!A:A,0))</f>
        <v>0</v>
      </c>
      <c r="I57" s="81">
        <f>INDEX('Pivot - Sector'!E:E,MATCH(A57,'Pivot - Sector'!A:A,0))</f>
        <v>1</v>
      </c>
      <c r="J57" s="81">
        <f>INDEX('Pivot - Sector'!F:F,MATCH(A57,'Pivot - Sector'!A:A,0))</f>
        <v>0</v>
      </c>
      <c r="K57" s="82">
        <f>INDEX('Pivot - Sector'!G:G,MATCH(A57,'Pivot - Sector'!A:A,0))</f>
        <v>0</v>
      </c>
      <c r="L57" s="82">
        <f>INDEX('Pivot - Sector'!H:H,MATCH(A57,'Pivot - Sector'!A:A,0))</f>
        <v>7500</v>
      </c>
      <c r="M57" s="82">
        <f>INDEX('Pivot - Sector'!I:I,MATCH(A57,'Pivot - Sector'!A:A,0))</f>
        <v>0</v>
      </c>
      <c r="N57" s="82">
        <f>INDEX('Pivot - Sector'!J:J,MATCH(A57,'Pivot - Sector'!A:A,0))</f>
        <v>0</v>
      </c>
    </row>
    <row r="58" spans="1:14" s="83" customFormat="1" x14ac:dyDescent="0.25">
      <c r="A58" s="80" t="s">
        <v>1725</v>
      </c>
      <c r="B58" s="81">
        <f>INDEX('Pivot - Sector'!B:B,MATCH(A58,'Pivot - Sector'!A:A,0))</f>
        <v>1</v>
      </c>
      <c r="C58" s="82">
        <f>INDEX('Pivot - Sector'!C:C,MATCH(A58,'Pivot - Sector'!A:A,0))</f>
        <v>7000</v>
      </c>
      <c r="D58" s="82">
        <f>INDEX(Travel!M:M,MATCH(A58,Travel!F:F,0))</f>
        <v>7000</v>
      </c>
      <c r="E58" s="82">
        <f t="shared" si="2"/>
        <v>6300</v>
      </c>
      <c r="F58" s="82">
        <f t="shared" si="3"/>
        <v>7700</v>
      </c>
      <c r="G58" s="84"/>
      <c r="H58" s="81">
        <f>INDEX('Pivot - Sector'!D:D,MATCH(A58,'Pivot - Sector'!A:A,0))</f>
        <v>0</v>
      </c>
      <c r="I58" s="81">
        <f>INDEX('Pivot - Sector'!E:E,MATCH(A58,'Pivot - Sector'!A:A,0))</f>
        <v>1</v>
      </c>
      <c r="J58" s="81">
        <f>INDEX('Pivot - Sector'!F:F,MATCH(A58,'Pivot - Sector'!A:A,0))</f>
        <v>0</v>
      </c>
      <c r="K58" s="82">
        <f>INDEX('Pivot - Sector'!G:G,MATCH(A58,'Pivot - Sector'!A:A,0))</f>
        <v>0</v>
      </c>
      <c r="L58" s="82">
        <f>INDEX('Pivot - Sector'!H:H,MATCH(A58,'Pivot - Sector'!A:A,0))</f>
        <v>7000</v>
      </c>
      <c r="M58" s="82">
        <f>INDEX('Pivot - Sector'!I:I,MATCH(A58,'Pivot - Sector'!A:A,0))</f>
        <v>0</v>
      </c>
      <c r="N58" s="82">
        <f>INDEX('Pivot - Sector'!J:J,MATCH(A58,'Pivot - Sector'!A:A,0))</f>
        <v>0</v>
      </c>
    </row>
    <row r="59" spans="1:14" s="83" customFormat="1" x14ac:dyDescent="0.25">
      <c r="A59" s="80" t="s">
        <v>2145</v>
      </c>
      <c r="B59" s="81">
        <f>INDEX('Pivot - Sector'!B:B,MATCH(A59,'Pivot - Sector'!A:A,0))</f>
        <v>1</v>
      </c>
      <c r="C59" s="82">
        <f>INDEX('Pivot - Sector'!C:C,MATCH(A59,'Pivot - Sector'!A:A,0))</f>
        <v>4732</v>
      </c>
      <c r="D59" s="82">
        <f>INDEX(Travel!M:M,MATCH(A59,Travel!F:F,0))</f>
        <v>4732</v>
      </c>
      <c r="E59" s="82">
        <f t="shared" si="2"/>
        <v>4200</v>
      </c>
      <c r="F59" s="82">
        <f t="shared" si="3"/>
        <v>5300</v>
      </c>
      <c r="G59" s="84"/>
      <c r="H59" s="81">
        <f>INDEX('Pivot - Sector'!D:D,MATCH(A59,'Pivot - Sector'!A:A,0))</f>
        <v>0</v>
      </c>
      <c r="I59" s="81">
        <f>INDEX('Pivot - Sector'!E:E,MATCH(A59,'Pivot - Sector'!A:A,0))</f>
        <v>1</v>
      </c>
      <c r="J59" s="81">
        <f>INDEX('Pivot - Sector'!F:F,MATCH(A59,'Pivot - Sector'!A:A,0))</f>
        <v>0</v>
      </c>
      <c r="K59" s="82">
        <f>INDEX('Pivot - Sector'!G:G,MATCH(A59,'Pivot - Sector'!A:A,0))</f>
        <v>0</v>
      </c>
      <c r="L59" s="82">
        <f>INDEX('Pivot - Sector'!H:H,MATCH(A59,'Pivot - Sector'!A:A,0))</f>
        <v>4732</v>
      </c>
      <c r="M59" s="82">
        <f>INDEX('Pivot - Sector'!I:I,MATCH(A59,'Pivot - Sector'!A:A,0))</f>
        <v>0</v>
      </c>
      <c r="N59" s="82">
        <f>INDEX('Pivot - Sector'!J:J,MATCH(A59,'Pivot - Sector'!A:A,0))</f>
        <v>0</v>
      </c>
    </row>
    <row r="60" spans="1:14" s="83" customFormat="1" x14ac:dyDescent="0.25">
      <c r="A60" s="80" t="s">
        <v>2146</v>
      </c>
      <c r="B60" s="81">
        <f>INDEX('Pivot - Sector'!B:B,MATCH(A60,'Pivot - Sector'!A:A,0))</f>
        <v>1</v>
      </c>
      <c r="C60" s="82">
        <f>INDEX('Pivot - Sector'!C:C,MATCH(A60,'Pivot - Sector'!A:A,0))</f>
        <v>4702</v>
      </c>
      <c r="D60" s="82">
        <f>INDEX(Travel!M:M,MATCH(A60,Travel!F:F,0))</f>
        <v>4702</v>
      </c>
      <c r="E60" s="82">
        <f t="shared" si="2"/>
        <v>4200</v>
      </c>
      <c r="F60" s="82">
        <f t="shared" si="3"/>
        <v>5200</v>
      </c>
      <c r="G60" s="84"/>
      <c r="H60" s="81">
        <f>INDEX('Pivot - Sector'!D:D,MATCH(A60,'Pivot - Sector'!A:A,0))</f>
        <v>0</v>
      </c>
      <c r="I60" s="81">
        <f>INDEX('Pivot - Sector'!E:E,MATCH(A60,'Pivot - Sector'!A:A,0))</f>
        <v>1</v>
      </c>
      <c r="J60" s="81">
        <f>INDEX('Pivot - Sector'!F:F,MATCH(A60,'Pivot - Sector'!A:A,0))</f>
        <v>0</v>
      </c>
      <c r="K60" s="82">
        <f>INDEX('Pivot - Sector'!G:G,MATCH(A60,'Pivot - Sector'!A:A,0))</f>
        <v>0</v>
      </c>
      <c r="L60" s="82">
        <f>INDEX('Pivot - Sector'!H:H,MATCH(A60,'Pivot - Sector'!A:A,0))</f>
        <v>4702</v>
      </c>
      <c r="M60" s="82">
        <f>INDEX('Pivot - Sector'!I:I,MATCH(A60,'Pivot - Sector'!A:A,0))</f>
        <v>0</v>
      </c>
      <c r="N60" s="82">
        <f>INDEX('Pivot - Sector'!J:J,MATCH(A60,'Pivot - Sector'!A:A,0))</f>
        <v>0</v>
      </c>
    </row>
    <row r="61" spans="1:14" s="83" customFormat="1" x14ac:dyDescent="0.25">
      <c r="A61" s="80" t="s">
        <v>2148</v>
      </c>
      <c r="B61" s="81">
        <f>INDEX('Pivot - Sector'!B:B,MATCH(A61,'Pivot - Sector'!A:A,0))</f>
        <v>1</v>
      </c>
      <c r="C61" s="82">
        <f>INDEX('Pivot - Sector'!C:C,MATCH(A61,'Pivot - Sector'!A:A,0))</f>
        <v>8229</v>
      </c>
      <c r="D61" s="82">
        <f>INDEX(Travel!M:M,MATCH(A61,Travel!F:F,0))</f>
        <v>8229</v>
      </c>
      <c r="E61" s="82">
        <f t="shared" si="2"/>
        <v>7400</v>
      </c>
      <c r="F61" s="82">
        <f t="shared" si="3"/>
        <v>9100</v>
      </c>
      <c r="G61" s="84"/>
      <c r="H61" s="81">
        <f>INDEX('Pivot - Sector'!D:D,MATCH(A61,'Pivot - Sector'!A:A,0))</f>
        <v>0</v>
      </c>
      <c r="I61" s="81">
        <f>INDEX('Pivot - Sector'!E:E,MATCH(A61,'Pivot - Sector'!A:A,0))</f>
        <v>1</v>
      </c>
      <c r="J61" s="81">
        <f>INDEX('Pivot - Sector'!F:F,MATCH(A61,'Pivot - Sector'!A:A,0))</f>
        <v>0</v>
      </c>
      <c r="K61" s="82">
        <f>INDEX('Pivot - Sector'!G:G,MATCH(A61,'Pivot - Sector'!A:A,0))</f>
        <v>0</v>
      </c>
      <c r="L61" s="82">
        <f>INDEX('Pivot - Sector'!H:H,MATCH(A61,'Pivot - Sector'!A:A,0))</f>
        <v>8229</v>
      </c>
      <c r="M61" s="82">
        <f>INDEX('Pivot - Sector'!I:I,MATCH(A61,'Pivot - Sector'!A:A,0))</f>
        <v>0</v>
      </c>
      <c r="N61" s="82">
        <f>INDEX('Pivot - Sector'!J:J,MATCH(A61,'Pivot - Sector'!A:A,0))</f>
        <v>0</v>
      </c>
    </row>
    <row r="62" spans="1:14" s="83" customFormat="1" x14ac:dyDescent="0.25">
      <c r="A62" s="80" t="s">
        <v>2143</v>
      </c>
      <c r="B62" s="81">
        <f>INDEX('Pivot - Sector'!B:B,MATCH(A62,'Pivot - Sector'!A:A,0))</f>
        <v>1</v>
      </c>
      <c r="C62" s="82">
        <f>INDEX('Pivot - Sector'!C:C,MATCH(A62,'Pivot - Sector'!A:A,0))</f>
        <v>4854</v>
      </c>
      <c r="D62" s="82">
        <f>INDEX(Travel!M:M,MATCH(A62,Travel!F:F,0))</f>
        <v>4854</v>
      </c>
      <c r="E62" s="82">
        <f t="shared" si="2"/>
        <v>4300</v>
      </c>
      <c r="F62" s="82">
        <f t="shared" si="3"/>
        <v>5400</v>
      </c>
      <c r="G62" s="84"/>
      <c r="H62" s="81">
        <f>INDEX('Pivot - Sector'!D:D,MATCH(A62,'Pivot - Sector'!A:A,0))</f>
        <v>0</v>
      </c>
      <c r="I62" s="81">
        <f>INDEX('Pivot - Sector'!E:E,MATCH(A62,'Pivot - Sector'!A:A,0))</f>
        <v>1</v>
      </c>
      <c r="J62" s="81">
        <f>INDEX('Pivot - Sector'!F:F,MATCH(A62,'Pivot - Sector'!A:A,0))</f>
        <v>0</v>
      </c>
      <c r="K62" s="82">
        <f>INDEX('Pivot - Sector'!G:G,MATCH(A62,'Pivot - Sector'!A:A,0))</f>
        <v>0</v>
      </c>
      <c r="L62" s="82">
        <f>INDEX('Pivot - Sector'!H:H,MATCH(A62,'Pivot - Sector'!A:A,0))</f>
        <v>4854</v>
      </c>
      <c r="M62" s="82">
        <f>INDEX('Pivot - Sector'!I:I,MATCH(A62,'Pivot - Sector'!A:A,0))</f>
        <v>0</v>
      </c>
      <c r="N62" s="82">
        <f>INDEX('Pivot - Sector'!J:J,MATCH(A62,'Pivot - Sector'!A:A,0))</f>
        <v>0</v>
      </c>
    </row>
    <row r="63" spans="1:14" s="83" customFormat="1" x14ac:dyDescent="0.25">
      <c r="A63" s="80" t="s">
        <v>2174</v>
      </c>
      <c r="B63" s="81">
        <f>INDEX('Pivot - Sector'!B:B,MATCH(A63,'Pivot - Sector'!A:A,0))</f>
        <v>1</v>
      </c>
      <c r="C63" s="82">
        <f>INDEX('Pivot - Sector'!C:C,MATCH(A63,'Pivot - Sector'!A:A,0))</f>
        <v>9704</v>
      </c>
      <c r="D63" s="82">
        <f>INDEX(Travel!M:M,MATCH(A63,Travel!F:F,0))</f>
        <v>9704</v>
      </c>
      <c r="E63" s="82">
        <f t="shared" si="2"/>
        <v>8700</v>
      </c>
      <c r="F63" s="82">
        <f t="shared" si="3"/>
        <v>10700</v>
      </c>
      <c r="G63" s="84"/>
      <c r="H63" s="81">
        <f>INDEX('Pivot - Sector'!D:D,MATCH(A63,'Pivot - Sector'!A:A,0))</f>
        <v>0</v>
      </c>
      <c r="I63" s="81">
        <f>INDEX('Pivot - Sector'!E:E,MATCH(A63,'Pivot - Sector'!A:A,0))</f>
        <v>1</v>
      </c>
      <c r="J63" s="81">
        <f>INDEX('Pivot - Sector'!F:F,MATCH(A63,'Pivot - Sector'!A:A,0))</f>
        <v>0</v>
      </c>
      <c r="K63" s="82">
        <f>INDEX('Pivot - Sector'!G:G,MATCH(A63,'Pivot - Sector'!A:A,0))</f>
        <v>0</v>
      </c>
      <c r="L63" s="82">
        <f>INDEX('Pivot - Sector'!H:H,MATCH(A63,'Pivot - Sector'!A:A,0))</f>
        <v>9704</v>
      </c>
      <c r="M63" s="82">
        <f>INDEX('Pivot - Sector'!I:I,MATCH(A63,'Pivot - Sector'!A:A,0))</f>
        <v>0</v>
      </c>
      <c r="N63" s="82">
        <f>INDEX('Pivot - Sector'!J:J,MATCH(A63,'Pivot - Sector'!A:A,0))</f>
        <v>0</v>
      </c>
    </row>
    <row r="64" spans="1:14" s="83" customFormat="1" x14ac:dyDescent="0.25">
      <c r="A64" s="80" t="s">
        <v>2185</v>
      </c>
      <c r="B64" s="81">
        <f>INDEX('Pivot - Sector'!B:B,MATCH(A64,'Pivot - Sector'!A:A,0))</f>
        <v>1</v>
      </c>
      <c r="C64" s="82">
        <f>INDEX('Pivot - Sector'!C:C,MATCH(A64,'Pivot - Sector'!A:A,0))</f>
        <v>9450</v>
      </c>
      <c r="D64" s="82">
        <f>INDEX(Travel!M:M,MATCH(A64,Travel!F:F,0))</f>
        <v>9450</v>
      </c>
      <c r="E64" s="82">
        <f t="shared" si="2"/>
        <v>8500</v>
      </c>
      <c r="F64" s="82">
        <f t="shared" si="3"/>
        <v>10400</v>
      </c>
      <c r="G64" s="84"/>
      <c r="H64" s="81">
        <f>INDEX('Pivot - Sector'!D:D,MATCH(A64,'Pivot - Sector'!A:A,0))</f>
        <v>0</v>
      </c>
      <c r="I64" s="81">
        <f>INDEX('Pivot - Sector'!E:E,MATCH(A64,'Pivot - Sector'!A:A,0))</f>
        <v>1</v>
      </c>
      <c r="J64" s="81">
        <f>INDEX('Pivot - Sector'!F:F,MATCH(A64,'Pivot - Sector'!A:A,0))</f>
        <v>0</v>
      </c>
      <c r="K64" s="82">
        <f>INDEX('Pivot - Sector'!G:G,MATCH(A64,'Pivot - Sector'!A:A,0))</f>
        <v>0</v>
      </c>
      <c r="L64" s="82">
        <f>INDEX('Pivot - Sector'!H:H,MATCH(A64,'Pivot - Sector'!A:A,0))</f>
        <v>9450</v>
      </c>
      <c r="M64" s="82">
        <f>INDEX('Pivot - Sector'!I:I,MATCH(A64,'Pivot - Sector'!A:A,0))</f>
        <v>0</v>
      </c>
      <c r="N64" s="82">
        <f>INDEX('Pivot - Sector'!J:J,MATCH(A64,'Pivot - Sector'!A:A,0))</f>
        <v>0</v>
      </c>
    </row>
    <row r="65" spans="1:14" s="83" customFormat="1" x14ac:dyDescent="0.25">
      <c r="A65" s="80" t="s">
        <v>2186</v>
      </c>
      <c r="B65" s="81">
        <f>INDEX('Pivot - Sector'!B:B,MATCH(A65,'Pivot - Sector'!A:A,0))</f>
        <v>1</v>
      </c>
      <c r="C65" s="82">
        <f>INDEX('Pivot - Sector'!C:C,MATCH(A65,'Pivot - Sector'!A:A,0))</f>
        <v>222207</v>
      </c>
      <c r="D65" s="82">
        <f>INDEX(Travel!M:M,MATCH(A65,Travel!F:F,0))</f>
        <v>222207</v>
      </c>
      <c r="E65" s="82">
        <f t="shared" si="2"/>
        <v>199900</v>
      </c>
      <c r="F65" s="82">
        <f t="shared" si="3"/>
        <v>244500</v>
      </c>
      <c r="G65" s="84"/>
      <c r="H65" s="81">
        <f>INDEX('Pivot - Sector'!D:D,MATCH(A65,'Pivot - Sector'!A:A,0))</f>
        <v>0</v>
      </c>
      <c r="I65" s="81">
        <f>INDEX('Pivot - Sector'!E:E,MATCH(A65,'Pivot - Sector'!A:A,0))</f>
        <v>1</v>
      </c>
      <c r="J65" s="81">
        <f>INDEX('Pivot - Sector'!F:F,MATCH(A65,'Pivot - Sector'!A:A,0))</f>
        <v>0</v>
      </c>
      <c r="K65" s="82">
        <f>INDEX('Pivot - Sector'!G:G,MATCH(A65,'Pivot - Sector'!A:A,0))</f>
        <v>0</v>
      </c>
      <c r="L65" s="82">
        <f>INDEX('Pivot - Sector'!H:H,MATCH(A65,'Pivot - Sector'!A:A,0))</f>
        <v>222207</v>
      </c>
      <c r="M65" s="82">
        <f>INDEX('Pivot - Sector'!I:I,MATCH(A65,'Pivot - Sector'!A:A,0))</f>
        <v>0</v>
      </c>
      <c r="N65" s="82">
        <f>INDEX('Pivot - Sector'!J:J,MATCH(A65,'Pivot - Sector'!A:A,0))</f>
        <v>0</v>
      </c>
    </row>
    <row r="66" spans="1:14" s="83" customFormat="1" x14ac:dyDescent="0.25">
      <c r="A66" s="80" t="s">
        <v>2150</v>
      </c>
      <c r="B66" s="81">
        <f>INDEX('Pivot - Sector'!B:B,MATCH(A66,'Pivot - Sector'!A:A,0))</f>
        <v>1</v>
      </c>
      <c r="C66" s="82">
        <f>INDEX('Pivot - Sector'!C:C,MATCH(A66,'Pivot - Sector'!A:A,0))</f>
        <v>0</v>
      </c>
      <c r="D66" s="82">
        <f>INDEX(Travel!M:M,MATCH(A66,Travel!F:F,0))</f>
        <v>0</v>
      </c>
      <c r="E66" s="82">
        <f t="shared" si="2"/>
        <v>0</v>
      </c>
      <c r="F66" s="82">
        <f t="shared" si="3"/>
        <v>0</v>
      </c>
      <c r="G66" s="84"/>
      <c r="H66" s="81">
        <f>INDEX('Pivot - Sector'!D:D,MATCH(A66,'Pivot - Sector'!A:A,0))</f>
        <v>0</v>
      </c>
      <c r="I66" s="81">
        <f>INDEX('Pivot - Sector'!E:E,MATCH(A66,'Pivot - Sector'!A:A,0))</f>
        <v>1</v>
      </c>
      <c r="J66" s="81">
        <f>INDEX('Pivot - Sector'!F:F,MATCH(A66,'Pivot - Sector'!A:A,0))</f>
        <v>0</v>
      </c>
      <c r="K66" s="82">
        <f>INDEX('Pivot - Sector'!G:G,MATCH(A66,'Pivot - Sector'!A:A,0))</f>
        <v>0</v>
      </c>
      <c r="L66" s="82">
        <f>INDEX('Pivot - Sector'!H:H,MATCH(A66,'Pivot - Sector'!A:A,0))</f>
        <v>0</v>
      </c>
      <c r="M66" s="82">
        <f>INDEX('Pivot - Sector'!I:I,MATCH(A66,'Pivot - Sector'!A:A,0))</f>
        <v>0</v>
      </c>
      <c r="N66" s="82">
        <f>INDEX('Pivot - Sector'!J:J,MATCH(A66,'Pivot - Sector'!A:A,0))</f>
        <v>0</v>
      </c>
    </row>
    <row r="67" spans="1:14" s="83" customFormat="1" x14ac:dyDescent="0.25">
      <c r="A67" s="80" t="s">
        <v>2222</v>
      </c>
      <c r="B67" s="81">
        <f>INDEX('Pivot - Sector'!B:B,MATCH(A67,'Pivot - Sector'!A:A,0))</f>
        <v>1</v>
      </c>
      <c r="C67" s="82">
        <f>INDEX('Pivot - Sector'!C:C,MATCH(A67,'Pivot - Sector'!A:A,0))</f>
        <v>7479</v>
      </c>
      <c r="D67" s="82">
        <f>INDEX(Travel!M:M,MATCH(A67,Travel!F:F,0))</f>
        <v>7479</v>
      </c>
      <c r="E67" s="82">
        <f t="shared" si="2"/>
        <v>6700</v>
      </c>
      <c r="F67" s="82">
        <f t="shared" si="3"/>
        <v>8300</v>
      </c>
      <c r="G67" s="84"/>
      <c r="H67" s="81">
        <f>INDEX('Pivot - Sector'!D:D,MATCH(A67,'Pivot - Sector'!A:A,0))</f>
        <v>0</v>
      </c>
      <c r="I67" s="81">
        <f>INDEX('Pivot - Sector'!E:E,MATCH(A67,'Pivot - Sector'!A:A,0))</f>
        <v>1</v>
      </c>
      <c r="J67" s="81">
        <f>INDEX('Pivot - Sector'!F:F,MATCH(A67,'Pivot - Sector'!A:A,0))</f>
        <v>0</v>
      </c>
      <c r="K67" s="82">
        <f>INDEX('Pivot - Sector'!G:G,MATCH(A67,'Pivot - Sector'!A:A,0))</f>
        <v>0</v>
      </c>
      <c r="L67" s="82">
        <f>INDEX('Pivot - Sector'!H:H,MATCH(A67,'Pivot - Sector'!A:A,0))</f>
        <v>7479</v>
      </c>
      <c r="M67" s="82">
        <f>INDEX('Pivot - Sector'!I:I,MATCH(A67,'Pivot - Sector'!A:A,0))</f>
        <v>0</v>
      </c>
      <c r="N67" s="82">
        <f>INDEX('Pivot - Sector'!J:J,MATCH(A67,'Pivot - Sector'!A:A,0))</f>
        <v>0</v>
      </c>
    </row>
    <row r="68" spans="1:14" s="83" customFormat="1" x14ac:dyDescent="0.25">
      <c r="A68" s="80" t="s">
        <v>2213</v>
      </c>
      <c r="B68" s="81">
        <f>INDEX('Pivot - Sector'!B:B,MATCH(A68,'Pivot - Sector'!A:A,0))</f>
        <v>1</v>
      </c>
      <c r="C68" s="82">
        <f>INDEX('Pivot - Sector'!C:C,MATCH(A68,'Pivot - Sector'!A:A,0))</f>
        <v>7715</v>
      </c>
      <c r="D68" s="82">
        <f>INDEX(Travel!M:M,MATCH(A68,Travel!F:F,0))</f>
        <v>7715</v>
      </c>
      <c r="E68" s="82">
        <f t="shared" ref="E68:E99" si="4">ROUNDDOWN(D68*(100-$E$1)%,-2)</f>
        <v>6900</v>
      </c>
      <c r="F68" s="82">
        <f t="shared" ref="F68:F99" si="5">ROUNDUP(D68*(100+$F$1)%,-2)</f>
        <v>8500</v>
      </c>
      <c r="G68" s="84"/>
      <c r="H68" s="81">
        <f>INDEX('Pivot - Sector'!D:D,MATCH(A68,'Pivot - Sector'!A:A,0))</f>
        <v>0</v>
      </c>
      <c r="I68" s="81">
        <f>INDEX('Pivot - Sector'!E:E,MATCH(A68,'Pivot - Sector'!A:A,0))</f>
        <v>1</v>
      </c>
      <c r="J68" s="81">
        <f>INDEX('Pivot - Sector'!F:F,MATCH(A68,'Pivot - Sector'!A:A,0))</f>
        <v>0</v>
      </c>
      <c r="K68" s="82">
        <f>INDEX('Pivot - Sector'!G:G,MATCH(A68,'Pivot - Sector'!A:A,0))</f>
        <v>0</v>
      </c>
      <c r="L68" s="82">
        <f>INDEX('Pivot - Sector'!H:H,MATCH(A68,'Pivot - Sector'!A:A,0))</f>
        <v>7715</v>
      </c>
      <c r="M68" s="82">
        <f>INDEX('Pivot - Sector'!I:I,MATCH(A68,'Pivot - Sector'!A:A,0))</f>
        <v>0</v>
      </c>
      <c r="N68" s="82">
        <f>INDEX('Pivot - Sector'!J:J,MATCH(A68,'Pivot - Sector'!A:A,0))</f>
        <v>0</v>
      </c>
    </row>
    <row r="69" spans="1:14" s="83" customFormat="1" x14ac:dyDescent="0.25">
      <c r="A69" s="80" t="s">
        <v>2215</v>
      </c>
      <c r="B69" s="81">
        <f>INDEX('Pivot - Sector'!B:B,MATCH(A69,'Pivot - Sector'!A:A,0))</f>
        <v>1</v>
      </c>
      <c r="C69" s="82">
        <f>INDEX('Pivot - Sector'!C:C,MATCH(A69,'Pivot - Sector'!A:A,0))</f>
        <v>70500</v>
      </c>
      <c r="D69" s="82">
        <f>INDEX(Travel!M:M,MATCH(A69,Travel!F:F,0))</f>
        <v>70500</v>
      </c>
      <c r="E69" s="82">
        <f t="shared" si="4"/>
        <v>63400</v>
      </c>
      <c r="F69" s="82">
        <f t="shared" si="5"/>
        <v>77600</v>
      </c>
      <c r="G69" s="84"/>
      <c r="H69" s="81">
        <f>INDEX('Pivot - Sector'!D:D,MATCH(A69,'Pivot - Sector'!A:A,0))</f>
        <v>0</v>
      </c>
      <c r="I69" s="81">
        <f>INDEX('Pivot - Sector'!E:E,MATCH(A69,'Pivot - Sector'!A:A,0))</f>
        <v>1</v>
      </c>
      <c r="J69" s="81">
        <f>INDEX('Pivot - Sector'!F:F,MATCH(A69,'Pivot - Sector'!A:A,0))</f>
        <v>0</v>
      </c>
      <c r="K69" s="82">
        <f>INDEX('Pivot - Sector'!G:G,MATCH(A69,'Pivot - Sector'!A:A,0))</f>
        <v>0</v>
      </c>
      <c r="L69" s="82">
        <f>INDEX('Pivot - Sector'!H:H,MATCH(A69,'Pivot - Sector'!A:A,0))</f>
        <v>70500</v>
      </c>
      <c r="M69" s="82">
        <f>INDEX('Pivot - Sector'!I:I,MATCH(A69,'Pivot - Sector'!A:A,0))</f>
        <v>0</v>
      </c>
      <c r="N69" s="82">
        <f>INDEX('Pivot - Sector'!J:J,MATCH(A69,'Pivot - Sector'!A:A,0))</f>
        <v>0</v>
      </c>
    </row>
    <row r="70" spans="1:14" s="83" customFormat="1" x14ac:dyDescent="0.25">
      <c r="A70" s="80" t="s">
        <v>2229</v>
      </c>
      <c r="B70" s="81">
        <f>INDEX('Pivot - Sector'!B:B,MATCH(A70,'Pivot - Sector'!A:A,0))</f>
        <v>1</v>
      </c>
      <c r="C70" s="82">
        <f>INDEX('Pivot - Sector'!C:C,MATCH(A70,'Pivot - Sector'!A:A,0))</f>
        <v>8157</v>
      </c>
      <c r="D70" s="82">
        <f>INDEX(Travel!M:M,MATCH(A70,Travel!F:F,0))</f>
        <v>8157</v>
      </c>
      <c r="E70" s="82">
        <f t="shared" si="4"/>
        <v>7300</v>
      </c>
      <c r="F70" s="82">
        <f t="shared" si="5"/>
        <v>9000</v>
      </c>
      <c r="G70" s="84"/>
      <c r="H70" s="81">
        <f>INDEX('Pivot - Sector'!D:D,MATCH(A70,'Pivot - Sector'!A:A,0))</f>
        <v>0</v>
      </c>
      <c r="I70" s="81">
        <f>INDEX('Pivot - Sector'!E:E,MATCH(A70,'Pivot - Sector'!A:A,0))</f>
        <v>1</v>
      </c>
      <c r="J70" s="81">
        <f>INDEX('Pivot - Sector'!F:F,MATCH(A70,'Pivot - Sector'!A:A,0))</f>
        <v>0</v>
      </c>
      <c r="K70" s="82">
        <f>INDEX('Pivot - Sector'!G:G,MATCH(A70,'Pivot - Sector'!A:A,0))</f>
        <v>0</v>
      </c>
      <c r="L70" s="82">
        <f>INDEX('Pivot - Sector'!H:H,MATCH(A70,'Pivot - Sector'!A:A,0))</f>
        <v>8157</v>
      </c>
      <c r="M70" s="82">
        <f>INDEX('Pivot - Sector'!I:I,MATCH(A70,'Pivot - Sector'!A:A,0))</f>
        <v>0</v>
      </c>
      <c r="N70" s="82">
        <f>INDEX('Pivot - Sector'!J:J,MATCH(A70,'Pivot - Sector'!A:A,0))</f>
        <v>0</v>
      </c>
    </row>
    <row r="71" spans="1:14" s="83" customFormat="1" x14ac:dyDescent="0.25">
      <c r="A71" s="80" t="s">
        <v>2201</v>
      </c>
      <c r="B71" s="81">
        <f>INDEX('Pivot - Sector'!B:B,MATCH(A71,'Pivot - Sector'!A:A,0))</f>
        <v>1</v>
      </c>
      <c r="C71" s="82">
        <f>INDEX('Pivot - Sector'!C:C,MATCH(A71,'Pivot - Sector'!A:A,0))</f>
        <v>0</v>
      </c>
      <c r="D71" s="82">
        <f>INDEX(Travel!M:M,MATCH(A71,Travel!F:F,0))</f>
        <v>0</v>
      </c>
      <c r="E71" s="82">
        <f t="shared" si="4"/>
        <v>0</v>
      </c>
      <c r="F71" s="82">
        <f t="shared" si="5"/>
        <v>0</v>
      </c>
      <c r="G71" s="84"/>
      <c r="H71" s="81">
        <f>INDEX('Pivot - Sector'!D:D,MATCH(A71,'Pivot - Sector'!A:A,0))</f>
        <v>0</v>
      </c>
      <c r="I71" s="81">
        <f>INDEX('Pivot - Sector'!E:E,MATCH(A71,'Pivot - Sector'!A:A,0))</f>
        <v>1</v>
      </c>
      <c r="J71" s="81">
        <f>INDEX('Pivot - Sector'!F:F,MATCH(A71,'Pivot - Sector'!A:A,0))</f>
        <v>0</v>
      </c>
      <c r="K71" s="82">
        <f>INDEX('Pivot - Sector'!G:G,MATCH(A71,'Pivot - Sector'!A:A,0))</f>
        <v>0</v>
      </c>
      <c r="L71" s="82">
        <f>INDEX('Pivot - Sector'!H:H,MATCH(A71,'Pivot - Sector'!A:A,0))</f>
        <v>0</v>
      </c>
      <c r="M71" s="82">
        <f>INDEX('Pivot - Sector'!I:I,MATCH(A71,'Pivot - Sector'!A:A,0))</f>
        <v>0</v>
      </c>
      <c r="N71" s="82">
        <f>INDEX('Pivot - Sector'!J:J,MATCH(A71,'Pivot - Sector'!A:A,0))</f>
        <v>0</v>
      </c>
    </row>
    <row r="72" spans="1:14" s="83" customFormat="1" x14ac:dyDescent="0.25">
      <c r="A72" s="80" t="s">
        <v>2187</v>
      </c>
      <c r="B72" s="81">
        <f>INDEX('Pivot - Sector'!B:B,MATCH(A72,'Pivot - Sector'!A:A,0))</f>
        <v>1</v>
      </c>
      <c r="C72" s="82">
        <f>INDEX('Pivot - Sector'!C:C,MATCH(A72,'Pivot - Sector'!A:A,0))</f>
        <v>87500</v>
      </c>
      <c r="D72" s="82">
        <f>INDEX(Travel!M:M,MATCH(A72,Travel!F:F,0))</f>
        <v>87500</v>
      </c>
      <c r="E72" s="82">
        <f t="shared" si="4"/>
        <v>78700</v>
      </c>
      <c r="F72" s="82">
        <f t="shared" si="5"/>
        <v>96300</v>
      </c>
      <c r="G72" s="84"/>
      <c r="H72" s="81">
        <f>INDEX('Pivot - Sector'!D:D,MATCH(A72,'Pivot - Sector'!A:A,0))</f>
        <v>0</v>
      </c>
      <c r="I72" s="81">
        <f>INDEX('Pivot - Sector'!E:E,MATCH(A72,'Pivot - Sector'!A:A,0))</f>
        <v>1</v>
      </c>
      <c r="J72" s="81">
        <f>INDEX('Pivot - Sector'!F:F,MATCH(A72,'Pivot - Sector'!A:A,0))</f>
        <v>0</v>
      </c>
      <c r="K72" s="82">
        <f>INDEX('Pivot - Sector'!G:G,MATCH(A72,'Pivot - Sector'!A:A,0))</f>
        <v>0</v>
      </c>
      <c r="L72" s="82">
        <f>INDEX('Pivot - Sector'!H:H,MATCH(A72,'Pivot - Sector'!A:A,0))</f>
        <v>87500</v>
      </c>
      <c r="M72" s="82">
        <f>INDEX('Pivot - Sector'!I:I,MATCH(A72,'Pivot - Sector'!A:A,0))</f>
        <v>0</v>
      </c>
      <c r="N72" s="82">
        <f>INDEX('Pivot - Sector'!J:J,MATCH(A72,'Pivot - Sector'!A:A,0))</f>
        <v>0</v>
      </c>
    </row>
    <row r="73" spans="1:14" s="83" customFormat="1" x14ac:dyDescent="0.25">
      <c r="A73" s="80" t="s">
        <v>2206</v>
      </c>
      <c r="B73" s="81">
        <f>INDEX('Pivot - Sector'!B:B,MATCH(A73,'Pivot - Sector'!A:A,0))</f>
        <v>1</v>
      </c>
      <c r="C73" s="82">
        <f>INDEX('Pivot - Sector'!C:C,MATCH(A73,'Pivot - Sector'!A:A,0))</f>
        <v>143000</v>
      </c>
      <c r="D73" s="82">
        <f>INDEX(Travel!M:M,MATCH(A73,Travel!F:F,0))</f>
        <v>143000</v>
      </c>
      <c r="E73" s="82">
        <f t="shared" si="4"/>
        <v>128700</v>
      </c>
      <c r="F73" s="82">
        <f t="shared" si="5"/>
        <v>157300</v>
      </c>
      <c r="G73" s="84"/>
      <c r="H73" s="81">
        <f>INDEX('Pivot - Sector'!D:D,MATCH(A73,'Pivot - Sector'!A:A,0))</f>
        <v>0</v>
      </c>
      <c r="I73" s="81">
        <f>INDEX('Pivot - Sector'!E:E,MATCH(A73,'Pivot - Sector'!A:A,0))</f>
        <v>1</v>
      </c>
      <c r="J73" s="81">
        <f>INDEX('Pivot - Sector'!F:F,MATCH(A73,'Pivot - Sector'!A:A,0))</f>
        <v>0</v>
      </c>
      <c r="K73" s="82">
        <f>INDEX('Pivot - Sector'!G:G,MATCH(A73,'Pivot - Sector'!A:A,0))</f>
        <v>0</v>
      </c>
      <c r="L73" s="82">
        <f>INDEX('Pivot - Sector'!H:H,MATCH(A73,'Pivot - Sector'!A:A,0))</f>
        <v>143000</v>
      </c>
      <c r="M73" s="82">
        <f>INDEX('Pivot - Sector'!I:I,MATCH(A73,'Pivot - Sector'!A:A,0))</f>
        <v>0</v>
      </c>
      <c r="N73" s="82">
        <f>INDEX('Pivot - Sector'!J:J,MATCH(A73,'Pivot - Sector'!A:A,0))</f>
        <v>0</v>
      </c>
    </row>
    <row r="74" spans="1:14" s="83" customFormat="1" x14ac:dyDescent="0.25">
      <c r="A74" s="80" t="s">
        <v>2218</v>
      </c>
      <c r="B74" s="81">
        <f>INDEX('Pivot - Sector'!B:B,MATCH(A74,'Pivot - Sector'!A:A,0))</f>
        <v>1</v>
      </c>
      <c r="C74" s="82">
        <f>INDEX('Pivot - Sector'!C:C,MATCH(A74,'Pivot - Sector'!A:A,0))</f>
        <v>0</v>
      </c>
      <c r="D74" s="82">
        <f>INDEX(Travel!M:M,MATCH(A74,Travel!F:F,0))</f>
        <v>0</v>
      </c>
      <c r="E74" s="82">
        <f t="shared" si="4"/>
        <v>0</v>
      </c>
      <c r="F74" s="82">
        <f t="shared" si="5"/>
        <v>0</v>
      </c>
      <c r="G74" s="84"/>
      <c r="H74" s="81">
        <f>INDEX('Pivot - Sector'!D:D,MATCH(A74,'Pivot - Sector'!A:A,0))</f>
        <v>0</v>
      </c>
      <c r="I74" s="81">
        <f>INDEX('Pivot - Sector'!E:E,MATCH(A74,'Pivot - Sector'!A:A,0))</f>
        <v>1</v>
      </c>
      <c r="J74" s="81">
        <f>INDEX('Pivot - Sector'!F:F,MATCH(A74,'Pivot - Sector'!A:A,0))</f>
        <v>0</v>
      </c>
      <c r="K74" s="82">
        <f>INDEX('Pivot - Sector'!G:G,MATCH(A74,'Pivot - Sector'!A:A,0))</f>
        <v>0</v>
      </c>
      <c r="L74" s="82">
        <f>INDEX('Pivot - Sector'!H:H,MATCH(A74,'Pivot - Sector'!A:A,0))</f>
        <v>0</v>
      </c>
      <c r="M74" s="82">
        <f>INDEX('Pivot - Sector'!I:I,MATCH(A74,'Pivot - Sector'!A:A,0))</f>
        <v>0</v>
      </c>
      <c r="N74" s="82">
        <f>INDEX('Pivot - Sector'!J:J,MATCH(A74,'Pivot - Sector'!A:A,0))</f>
        <v>0</v>
      </c>
    </row>
    <row r="75" spans="1:14" s="83" customFormat="1" x14ac:dyDescent="0.25">
      <c r="A75" s="80" t="s">
        <v>2193</v>
      </c>
      <c r="B75" s="81">
        <f>INDEX('Pivot - Sector'!B:B,MATCH(A75,'Pivot - Sector'!A:A,0))</f>
        <v>1</v>
      </c>
      <c r="C75" s="82">
        <f>INDEX('Pivot - Sector'!C:C,MATCH(A75,'Pivot - Sector'!A:A,0))</f>
        <v>13000</v>
      </c>
      <c r="D75" s="82">
        <f>INDEX(Travel!M:M,MATCH(A75,Travel!F:F,0))</f>
        <v>13000</v>
      </c>
      <c r="E75" s="82">
        <f t="shared" si="4"/>
        <v>11700</v>
      </c>
      <c r="F75" s="82">
        <f t="shared" si="5"/>
        <v>14300</v>
      </c>
      <c r="G75" s="84"/>
      <c r="H75" s="81">
        <f>INDEX('Pivot - Sector'!D:D,MATCH(A75,'Pivot - Sector'!A:A,0))</f>
        <v>0</v>
      </c>
      <c r="I75" s="81">
        <f>INDEX('Pivot - Sector'!E:E,MATCH(A75,'Pivot - Sector'!A:A,0))</f>
        <v>1</v>
      </c>
      <c r="J75" s="81">
        <f>INDEX('Pivot - Sector'!F:F,MATCH(A75,'Pivot - Sector'!A:A,0))</f>
        <v>0</v>
      </c>
      <c r="K75" s="82">
        <f>INDEX('Pivot - Sector'!G:G,MATCH(A75,'Pivot - Sector'!A:A,0))</f>
        <v>0</v>
      </c>
      <c r="L75" s="82">
        <f>INDEX('Pivot - Sector'!H:H,MATCH(A75,'Pivot - Sector'!A:A,0))</f>
        <v>13000</v>
      </c>
      <c r="M75" s="82">
        <f>INDEX('Pivot - Sector'!I:I,MATCH(A75,'Pivot - Sector'!A:A,0))</f>
        <v>0</v>
      </c>
      <c r="N75" s="82">
        <f>INDEX('Pivot - Sector'!J:J,MATCH(A75,'Pivot - Sector'!A:A,0))</f>
        <v>0</v>
      </c>
    </row>
    <row r="76" spans="1:14" s="83" customFormat="1" x14ac:dyDescent="0.25">
      <c r="A76" s="80" t="s">
        <v>2217</v>
      </c>
      <c r="B76" s="81">
        <f>INDEX('Pivot - Sector'!B:B,MATCH(A76,'Pivot - Sector'!A:A,0))</f>
        <v>1</v>
      </c>
      <c r="C76" s="82">
        <f>INDEX('Pivot - Sector'!C:C,MATCH(A76,'Pivot - Sector'!A:A,0))</f>
        <v>8800</v>
      </c>
      <c r="D76" s="82">
        <f>INDEX(Travel!M:M,MATCH(A76,Travel!F:F,0))</f>
        <v>8800</v>
      </c>
      <c r="E76" s="82">
        <f t="shared" si="4"/>
        <v>7900</v>
      </c>
      <c r="F76" s="82">
        <f t="shared" si="5"/>
        <v>9700</v>
      </c>
      <c r="G76" s="84"/>
      <c r="H76" s="81">
        <f>INDEX('Pivot - Sector'!D:D,MATCH(A76,'Pivot - Sector'!A:A,0))</f>
        <v>0</v>
      </c>
      <c r="I76" s="81">
        <f>INDEX('Pivot - Sector'!E:E,MATCH(A76,'Pivot - Sector'!A:A,0))</f>
        <v>1</v>
      </c>
      <c r="J76" s="81">
        <f>INDEX('Pivot - Sector'!F:F,MATCH(A76,'Pivot - Sector'!A:A,0))</f>
        <v>0</v>
      </c>
      <c r="K76" s="82">
        <f>INDEX('Pivot - Sector'!G:G,MATCH(A76,'Pivot - Sector'!A:A,0))</f>
        <v>0</v>
      </c>
      <c r="L76" s="82">
        <f>INDEX('Pivot - Sector'!H:H,MATCH(A76,'Pivot - Sector'!A:A,0))</f>
        <v>8800</v>
      </c>
      <c r="M76" s="82">
        <f>INDEX('Pivot - Sector'!I:I,MATCH(A76,'Pivot - Sector'!A:A,0))</f>
        <v>0</v>
      </c>
      <c r="N76" s="82">
        <f>INDEX('Pivot - Sector'!J:J,MATCH(A76,'Pivot - Sector'!A:A,0))</f>
        <v>0</v>
      </c>
    </row>
    <row r="77" spans="1:14" s="83" customFormat="1" x14ac:dyDescent="0.25">
      <c r="A77" s="80" t="s">
        <v>2183</v>
      </c>
      <c r="B77" s="81">
        <f>INDEX('Pivot - Sector'!B:B,MATCH(A77,'Pivot - Sector'!A:A,0))</f>
        <v>1</v>
      </c>
      <c r="C77" s="82">
        <f>INDEX('Pivot - Sector'!C:C,MATCH(A77,'Pivot - Sector'!A:A,0))</f>
        <v>78000</v>
      </c>
      <c r="D77" s="82">
        <f>INDEX(Travel!M:M,MATCH(A77,Travel!F:F,0))</f>
        <v>78000</v>
      </c>
      <c r="E77" s="82">
        <f t="shared" si="4"/>
        <v>70200</v>
      </c>
      <c r="F77" s="82">
        <f t="shared" si="5"/>
        <v>85800</v>
      </c>
      <c r="G77" s="84"/>
      <c r="H77" s="81">
        <f>INDEX('Pivot - Sector'!D:D,MATCH(A77,'Pivot - Sector'!A:A,0))</f>
        <v>0</v>
      </c>
      <c r="I77" s="81">
        <f>INDEX('Pivot - Sector'!E:E,MATCH(A77,'Pivot - Sector'!A:A,0))</f>
        <v>1</v>
      </c>
      <c r="J77" s="81">
        <f>INDEX('Pivot - Sector'!F:F,MATCH(A77,'Pivot - Sector'!A:A,0))</f>
        <v>0</v>
      </c>
      <c r="K77" s="82">
        <f>INDEX('Pivot - Sector'!G:G,MATCH(A77,'Pivot - Sector'!A:A,0))</f>
        <v>0</v>
      </c>
      <c r="L77" s="82">
        <f>INDEX('Pivot - Sector'!H:H,MATCH(A77,'Pivot - Sector'!A:A,0))</f>
        <v>78000</v>
      </c>
      <c r="M77" s="82">
        <f>INDEX('Pivot - Sector'!I:I,MATCH(A77,'Pivot - Sector'!A:A,0))</f>
        <v>0</v>
      </c>
      <c r="N77" s="82">
        <f>INDEX('Pivot - Sector'!J:J,MATCH(A77,'Pivot - Sector'!A:A,0))</f>
        <v>0</v>
      </c>
    </row>
    <row r="78" spans="1:14" s="83" customFormat="1" x14ac:dyDescent="0.25">
      <c r="A78" s="80" t="s">
        <v>2182</v>
      </c>
      <c r="B78" s="81">
        <f>INDEX('Pivot - Sector'!B:B,MATCH(A78,'Pivot - Sector'!A:A,0))</f>
        <v>1</v>
      </c>
      <c r="C78" s="82">
        <f>INDEX('Pivot - Sector'!C:C,MATCH(A78,'Pivot - Sector'!A:A,0))</f>
        <v>23835</v>
      </c>
      <c r="D78" s="82">
        <f>INDEX(Travel!M:M,MATCH(A78,Travel!F:F,0))</f>
        <v>23835</v>
      </c>
      <c r="E78" s="82">
        <f t="shared" si="4"/>
        <v>21400</v>
      </c>
      <c r="F78" s="82">
        <f t="shared" si="5"/>
        <v>26300</v>
      </c>
      <c r="G78" s="84"/>
      <c r="H78" s="81">
        <f>INDEX('Pivot - Sector'!D:D,MATCH(A78,'Pivot - Sector'!A:A,0))</f>
        <v>0</v>
      </c>
      <c r="I78" s="81">
        <f>INDEX('Pivot - Sector'!E:E,MATCH(A78,'Pivot - Sector'!A:A,0))</f>
        <v>1</v>
      </c>
      <c r="J78" s="81">
        <f>INDEX('Pivot - Sector'!F:F,MATCH(A78,'Pivot - Sector'!A:A,0))</f>
        <v>0</v>
      </c>
      <c r="K78" s="82">
        <f>INDEX('Pivot - Sector'!G:G,MATCH(A78,'Pivot - Sector'!A:A,0))</f>
        <v>0</v>
      </c>
      <c r="L78" s="82">
        <f>INDEX('Pivot - Sector'!H:H,MATCH(A78,'Pivot - Sector'!A:A,0))</f>
        <v>23835</v>
      </c>
      <c r="M78" s="82">
        <f>INDEX('Pivot - Sector'!I:I,MATCH(A78,'Pivot - Sector'!A:A,0))</f>
        <v>0</v>
      </c>
      <c r="N78" s="82">
        <f>INDEX('Pivot - Sector'!J:J,MATCH(A78,'Pivot - Sector'!A:A,0))</f>
        <v>0</v>
      </c>
    </row>
    <row r="79" spans="1:14" s="83" customFormat="1" x14ac:dyDescent="0.25">
      <c r="A79" s="80" t="s">
        <v>2202</v>
      </c>
      <c r="B79" s="81">
        <f>INDEX('Pivot - Sector'!B:B,MATCH(A79,'Pivot - Sector'!A:A,0))</f>
        <v>1</v>
      </c>
      <c r="C79" s="82">
        <f>INDEX('Pivot - Sector'!C:C,MATCH(A79,'Pivot - Sector'!A:A,0))</f>
        <v>15000</v>
      </c>
      <c r="D79" s="82">
        <f>INDEX(Travel!M:M,MATCH(A79,Travel!F:F,0))</f>
        <v>15000</v>
      </c>
      <c r="E79" s="82">
        <f t="shared" si="4"/>
        <v>13500</v>
      </c>
      <c r="F79" s="82">
        <f t="shared" si="5"/>
        <v>16500</v>
      </c>
      <c r="G79" s="84"/>
      <c r="H79" s="81">
        <f>INDEX('Pivot - Sector'!D:D,MATCH(A79,'Pivot - Sector'!A:A,0))</f>
        <v>0</v>
      </c>
      <c r="I79" s="81">
        <f>INDEX('Pivot - Sector'!E:E,MATCH(A79,'Pivot - Sector'!A:A,0))</f>
        <v>1</v>
      </c>
      <c r="J79" s="81">
        <f>INDEX('Pivot - Sector'!F:F,MATCH(A79,'Pivot - Sector'!A:A,0))</f>
        <v>0</v>
      </c>
      <c r="K79" s="82">
        <f>INDEX('Pivot - Sector'!G:G,MATCH(A79,'Pivot - Sector'!A:A,0))</f>
        <v>0</v>
      </c>
      <c r="L79" s="82">
        <f>INDEX('Pivot - Sector'!H:H,MATCH(A79,'Pivot - Sector'!A:A,0))</f>
        <v>15000</v>
      </c>
      <c r="M79" s="82">
        <f>INDEX('Pivot - Sector'!I:I,MATCH(A79,'Pivot - Sector'!A:A,0))</f>
        <v>0</v>
      </c>
      <c r="N79" s="82">
        <f>INDEX('Pivot - Sector'!J:J,MATCH(A79,'Pivot - Sector'!A:A,0))</f>
        <v>0</v>
      </c>
    </row>
    <row r="80" spans="1:14" s="83" customFormat="1" x14ac:dyDescent="0.25">
      <c r="A80" s="80" t="s">
        <v>2166</v>
      </c>
      <c r="B80" s="81">
        <f>INDEX('Pivot - Sector'!B:B,MATCH(A80,'Pivot - Sector'!A:A,0))</f>
        <v>1</v>
      </c>
      <c r="C80" s="82">
        <f>INDEX('Pivot - Sector'!C:C,MATCH(A80,'Pivot - Sector'!A:A,0))</f>
        <v>5775</v>
      </c>
      <c r="D80" s="82">
        <f>INDEX(Travel!M:M,MATCH(A80,Travel!F:F,0))</f>
        <v>5775</v>
      </c>
      <c r="E80" s="82">
        <f t="shared" si="4"/>
        <v>5100</v>
      </c>
      <c r="F80" s="82">
        <f t="shared" si="5"/>
        <v>6400</v>
      </c>
      <c r="G80" s="84"/>
      <c r="H80" s="81">
        <f>INDEX('Pivot - Sector'!D:D,MATCH(A80,'Pivot - Sector'!A:A,0))</f>
        <v>0</v>
      </c>
      <c r="I80" s="81">
        <f>INDEX('Pivot - Sector'!E:E,MATCH(A80,'Pivot - Sector'!A:A,0))</f>
        <v>1</v>
      </c>
      <c r="J80" s="81">
        <f>INDEX('Pivot - Sector'!F:F,MATCH(A80,'Pivot - Sector'!A:A,0))</f>
        <v>0</v>
      </c>
      <c r="K80" s="82">
        <f>INDEX('Pivot - Sector'!G:G,MATCH(A80,'Pivot - Sector'!A:A,0))</f>
        <v>0</v>
      </c>
      <c r="L80" s="82">
        <f>INDEX('Pivot - Sector'!H:H,MATCH(A80,'Pivot - Sector'!A:A,0))</f>
        <v>5775</v>
      </c>
      <c r="M80" s="82">
        <f>INDEX('Pivot - Sector'!I:I,MATCH(A80,'Pivot - Sector'!A:A,0))</f>
        <v>0</v>
      </c>
      <c r="N80" s="82">
        <f>INDEX('Pivot - Sector'!J:J,MATCH(A80,'Pivot - Sector'!A:A,0))</f>
        <v>0</v>
      </c>
    </row>
    <row r="81" spans="1:14" s="83" customFormat="1" x14ac:dyDescent="0.25">
      <c r="A81" s="80" t="s">
        <v>2162</v>
      </c>
      <c r="B81" s="81">
        <f>INDEX('Pivot - Sector'!B:B,MATCH(A81,'Pivot - Sector'!A:A,0))</f>
        <v>1</v>
      </c>
      <c r="C81" s="82">
        <f>INDEX('Pivot - Sector'!C:C,MATCH(A81,'Pivot - Sector'!A:A,0))</f>
        <v>50405</v>
      </c>
      <c r="D81" s="82">
        <f>INDEX(Travel!M:M,MATCH(A81,Travel!F:F,0))</f>
        <v>50405</v>
      </c>
      <c r="E81" s="82">
        <f t="shared" si="4"/>
        <v>45300</v>
      </c>
      <c r="F81" s="82">
        <f t="shared" si="5"/>
        <v>55500</v>
      </c>
      <c r="G81" s="84"/>
      <c r="H81" s="81">
        <f>INDEX('Pivot - Sector'!D:D,MATCH(A81,'Pivot - Sector'!A:A,0))</f>
        <v>0</v>
      </c>
      <c r="I81" s="81">
        <f>INDEX('Pivot - Sector'!E:E,MATCH(A81,'Pivot - Sector'!A:A,0))</f>
        <v>1</v>
      </c>
      <c r="J81" s="81">
        <f>INDEX('Pivot - Sector'!F:F,MATCH(A81,'Pivot - Sector'!A:A,0))</f>
        <v>0</v>
      </c>
      <c r="K81" s="82">
        <f>INDEX('Pivot - Sector'!G:G,MATCH(A81,'Pivot - Sector'!A:A,0))</f>
        <v>0</v>
      </c>
      <c r="L81" s="82">
        <f>INDEX('Pivot - Sector'!H:H,MATCH(A81,'Pivot - Sector'!A:A,0))</f>
        <v>50405</v>
      </c>
      <c r="M81" s="82">
        <f>INDEX('Pivot - Sector'!I:I,MATCH(A81,'Pivot - Sector'!A:A,0))</f>
        <v>0</v>
      </c>
      <c r="N81" s="82">
        <f>INDEX('Pivot - Sector'!J:J,MATCH(A81,'Pivot - Sector'!A:A,0))</f>
        <v>0</v>
      </c>
    </row>
    <row r="82" spans="1:14" s="83" customFormat="1" x14ac:dyDescent="0.25">
      <c r="A82" s="80" t="s">
        <v>2203</v>
      </c>
      <c r="B82" s="81">
        <f>INDEX('Pivot - Sector'!B:B,MATCH(A82,'Pivot - Sector'!A:A,0))</f>
        <v>1</v>
      </c>
      <c r="C82" s="82">
        <f>INDEX('Pivot - Sector'!C:C,MATCH(A82,'Pivot - Sector'!A:A,0))</f>
        <v>9000</v>
      </c>
      <c r="D82" s="82">
        <f>INDEX(Travel!M:M,MATCH(A82,Travel!F:F,0))</f>
        <v>9000</v>
      </c>
      <c r="E82" s="82">
        <f t="shared" si="4"/>
        <v>8100</v>
      </c>
      <c r="F82" s="82">
        <f t="shared" si="5"/>
        <v>9900</v>
      </c>
      <c r="G82" s="84"/>
      <c r="H82" s="81">
        <f>INDEX('Pivot - Sector'!D:D,MATCH(A82,'Pivot - Sector'!A:A,0))</f>
        <v>0</v>
      </c>
      <c r="I82" s="81">
        <f>INDEX('Pivot - Sector'!E:E,MATCH(A82,'Pivot - Sector'!A:A,0))</f>
        <v>1</v>
      </c>
      <c r="J82" s="81">
        <f>INDEX('Pivot - Sector'!F:F,MATCH(A82,'Pivot - Sector'!A:A,0))</f>
        <v>0</v>
      </c>
      <c r="K82" s="82">
        <f>INDEX('Pivot - Sector'!G:G,MATCH(A82,'Pivot - Sector'!A:A,0))</f>
        <v>0</v>
      </c>
      <c r="L82" s="82">
        <f>INDEX('Pivot - Sector'!H:H,MATCH(A82,'Pivot - Sector'!A:A,0))</f>
        <v>9000</v>
      </c>
      <c r="M82" s="82">
        <f>INDEX('Pivot - Sector'!I:I,MATCH(A82,'Pivot - Sector'!A:A,0))</f>
        <v>0</v>
      </c>
      <c r="N82" s="82">
        <f>INDEX('Pivot - Sector'!J:J,MATCH(A82,'Pivot - Sector'!A:A,0))</f>
        <v>0</v>
      </c>
    </row>
    <row r="83" spans="1:14" s="83" customFormat="1" x14ac:dyDescent="0.25">
      <c r="A83" s="80" t="s">
        <v>2181</v>
      </c>
      <c r="B83" s="81">
        <f>INDEX('Pivot - Sector'!B:B,MATCH(A83,'Pivot - Sector'!A:A,0))</f>
        <v>1</v>
      </c>
      <c r="C83" s="82">
        <f>INDEX('Pivot - Sector'!C:C,MATCH(A83,'Pivot - Sector'!A:A,0))</f>
        <v>74830</v>
      </c>
      <c r="D83" s="82">
        <f>INDEX(Travel!M:M,MATCH(A83,Travel!F:F,0))</f>
        <v>74830</v>
      </c>
      <c r="E83" s="82">
        <f t="shared" si="4"/>
        <v>67300</v>
      </c>
      <c r="F83" s="82">
        <f t="shared" si="5"/>
        <v>82400</v>
      </c>
      <c r="G83" s="84"/>
      <c r="H83" s="81">
        <f>INDEX('Pivot - Sector'!D:D,MATCH(A83,'Pivot - Sector'!A:A,0))</f>
        <v>0</v>
      </c>
      <c r="I83" s="81">
        <f>INDEX('Pivot - Sector'!E:E,MATCH(A83,'Pivot - Sector'!A:A,0))</f>
        <v>1</v>
      </c>
      <c r="J83" s="81">
        <f>INDEX('Pivot - Sector'!F:F,MATCH(A83,'Pivot - Sector'!A:A,0))</f>
        <v>0</v>
      </c>
      <c r="K83" s="82">
        <f>INDEX('Pivot - Sector'!G:G,MATCH(A83,'Pivot - Sector'!A:A,0))</f>
        <v>0</v>
      </c>
      <c r="L83" s="82">
        <f>INDEX('Pivot - Sector'!H:H,MATCH(A83,'Pivot - Sector'!A:A,0))</f>
        <v>74830</v>
      </c>
      <c r="M83" s="82">
        <f>INDEX('Pivot - Sector'!I:I,MATCH(A83,'Pivot - Sector'!A:A,0))</f>
        <v>0</v>
      </c>
      <c r="N83" s="82">
        <f>INDEX('Pivot - Sector'!J:J,MATCH(A83,'Pivot - Sector'!A:A,0))</f>
        <v>0</v>
      </c>
    </row>
    <row r="84" spans="1:14" s="83" customFormat="1" x14ac:dyDescent="0.25">
      <c r="A84" s="80" t="s">
        <v>2204</v>
      </c>
      <c r="B84" s="81">
        <f>INDEX('Pivot - Sector'!B:B,MATCH(A84,'Pivot - Sector'!A:A,0))</f>
        <v>1</v>
      </c>
      <c r="C84" s="82">
        <f>INDEX('Pivot - Sector'!C:C,MATCH(A84,'Pivot - Sector'!A:A,0))</f>
        <v>68017</v>
      </c>
      <c r="D84" s="82">
        <f>INDEX(Travel!M:M,MATCH(A84,Travel!F:F,0))</f>
        <v>68017</v>
      </c>
      <c r="E84" s="82">
        <f t="shared" si="4"/>
        <v>61200</v>
      </c>
      <c r="F84" s="82">
        <f t="shared" si="5"/>
        <v>74900</v>
      </c>
      <c r="G84" s="84"/>
      <c r="H84" s="81">
        <f>INDEX('Pivot - Sector'!D:D,MATCH(A84,'Pivot - Sector'!A:A,0))</f>
        <v>0</v>
      </c>
      <c r="I84" s="81">
        <f>INDEX('Pivot - Sector'!E:E,MATCH(A84,'Pivot - Sector'!A:A,0))</f>
        <v>1</v>
      </c>
      <c r="J84" s="81">
        <f>INDEX('Pivot - Sector'!F:F,MATCH(A84,'Pivot - Sector'!A:A,0))</f>
        <v>0</v>
      </c>
      <c r="K84" s="82">
        <f>INDEX('Pivot - Sector'!G:G,MATCH(A84,'Pivot - Sector'!A:A,0))</f>
        <v>0</v>
      </c>
      <c r="L84" s="82">
        <f>INDEX('Pivot - Sector'!H:H,MATCH(A84,'Pivot - Sector'!A:A,0))</f>
        <v>68017</v>
      </c>
      <c r="M84" s="82">
        <f>INDEX('Pivot - Sector'!I:I,MATCH(A84,'Pivot - Sector'!A:A,0))</f>
        <v>0</v>
      </c>
      <c r="N84" s="82">
        <f>INDEX('Pivot - Sector'!J:J,MATCH(A84,'Pivot - Sector'!A:A,0))</f>
        <v>0</v>
      </c>
    </row>
    <row r="85" spans="1:14" s="83" customFormat="1" x14ac:dyDescent="0.25">
      <c r="A85" s="80" t="s">
        <v>2226</v>
      </c>
      <c r="B85" s="81">
        <f>INDEX('Pivot - Sector'!B:B,MATCH(A85,'Pivot - Sector'!A:A,0))</f>
        <v>1</v>
      </c>
      <c r="C85" s="82">
        <f>INDEX('Pivot - Sector'!C:C,MATCH(A85,'Pivot - Sector'!A:A,0))</f>
        <v>21870</v>
      </c>
      <c r="D85" s="82">
        <f>INDEX(Travel!M:M,MATCH(A85,Travel!F:F,0))</f>
        <v>21870</v>
      </c>
      <c r="E85" s="82">
        <f t="shared" si="4"/>
        <v>19600</v>
      </c>
      <c r="F85" s="82">
        <f t="shared" si="5"/>
        <v>24100</v>
      </c>
      <c r="G85" s="84"/>
      <c r="H85" s="81">
        <f>INDEX('Pivot - Sector'!D:D,MATCH(A85,'Pivot - Sector'!A:A,0))</f>
        <v>0</v>
      </c>
      <c r="I85" s="81">
        <f>INDEX('Pivot - Sector'!E:E,MATCH(A85,'Pivot - Sector'!A:A,0))</f>
        <v>1</v>
      </c>
      <c r="J85" s="81">
        <f>INDEX('Pivot - Sector'!F:F,MATCH(A85,'Pivot - Sector'!A:A,0))</f>
        <v>0</v>
      </c>
      <c r="K85" s="82">
        <f>INDEX('Pivot - Sector'!G:G,MATCH(A85,'Pivot - Sector'!A:A,0))</f>
        <v>0</v>
      </c>
      <c r="L85" s="82">
        <f>INDEX('Pivot - Sector'!H:H,MATCH(A85,'Pivot - Sector'!A:A,0))</f>
        <v>21870</v>
      </c>
      <c r="M85" s="82">
        <f>INDEX('Pivot - Sector'!I:I,MATCH(A85,'Pivot - Sector'!A:A,0))</f>
        <v>0</v>
      </c>
      <c r="N85" s="82">
        <f>INDEX('Pivot - Sector'!J:J,MATCH(A85,'Pivot - Sector'!A:A,0))</f>
        <v>0</v>
      </c>
    </row>
    <row r="86" spans="1:14" s="83" customFormat="1" x14ac:dyDescent="0.25">
      <c r="A86" s="80" t="s">
        <v>2219</v>
      </c>
      <c r="B86" s="81">
        <f>INDEX('Pivot - Sector'!B:B,MATCH(A86,'Pivot - Sector'!A:A,0))</f>
        <v>1</v>
      </c>
      <c r="C86" s="82">
        <f>INDEX('Pivot - Sector'!C:C,MATCH(A86,'Pivot - Sector'!A:A,0))</f>
        <v>86200</v>
      </c>
      <c r="D86" s="82">
        <f>INDEX(Travel!M:M,MATCH(A86,Travel!F:F,0))</f>
        <v>86200</v>
      </c>
      <c r="E86" s="82">
        <f t="shared" si="4"/>
        <v>77500</v>
      </c>
      <c r="F86" s="82">
        <f t="shared" si="5"/>
        <v>94900</v>
      </c>
      <c r="G86" s="84"/>
      <c r="H86" s="81">
        <f>INDEX('Pivot - Sector'!D:D,MATCH(A86,'Pivot - Sector'!A:A,0))</f>
        <v>0</v>
      </c>
      <c r="I86" s="81">
        <f>INDEX('Pivot - Sector'!E:E,MATCH(A86,'Pivot - Sector'!A:A,0))</f>
        <v>1</v>
      </c>
      <c r="J86" s="81">
        <f>INDEX('Pivot - Sector'!F:F,MATCH(A86,'Pivot - Sector'!A:A,0))</f>
        <v>0</v>
      </c>
      <c r="K86" s="82">
        <f>INDEX('Pivot - Sector'!G:G,MATCH(A86,'Pivot - Sector'!A:A,0))</f>
        <v>0</v>
      </c>
      <c r="L86" s="82">
        <f>INDEX('Pivot - Sector'!H:H,MATCH(A86,'Pivot - Sector'!A:A,0))</f>
        <v>86200</v>
      </c>
      <c r="M86" s="82">
        <f>INDEX('Pivot - Sector'!I:I,MATCH(A86,'Pivot - Sector'!A:A,0))</f>
        <v>0</v>
      </c>
      <c r="N86" s="82">
        <f>INDEX('Pivot - Sector'!J:J,MATCH(A86,'Pivot - Sector'!A:A,0))</f>
        <v>0</v>
      </c>
    </row>
    <row r="87" spans="1:14" s="83" customFormat="1" x14ac:dyDescent="0.25">
      <c r="A87" s="80" t="s">
        <v>2221</v>
      </c>
      <c r="B87" s="81">
        <f>INDEX('Pivot - Sector'!B:B,MATCH(A87,'Pivot - Sector'!A:A,0))</f>
        <v>1</v>
      </c>
      <c r="C87" s="82">
        <f>INDEX('Pivot - Sector'!C:C,MATCH(A87,'Pivot - Sector'!A:A,0))</f>
        <v>41000</v>
      </c>
      <c r="D87" s="82">
        <f>INDEX(Travel!M:M,MATCH(A87,Travel!F:F,0))</f>
        <v>41000</v>
      </c>
      <c r="E87" s="82">
        <f t="shared" si="4"/>
        <v>36900</v>
      </c>
      <c r="F87" s="82">
        <f t="shared" si="5"/>
        <v>45100</v>
      </c>
      <c r="G87" s="84"/>
      <c r="H87" s="81">
        <f>INDEX('Pivot - Sector'!D:D,MATCH(A87,'Pivot - Sector'!A:A,0))</f>
        <v>0</v>
      </c>
      <c r="I87" s="81">
        <f>INDEX('Pivot - Sector'!E:E,MATCH(A87,'Pivot - Sector'!A:A,0))</f>
        <v>1</v>
      </c>
      <c r="J87" s="81">
        <f>INDEX('Pivot - Sector'!F:F,MATCH(A87,'Pivot - Sector'!A:A,0))</f>
        <v>0</v>
      </c>
      <c r="K87" s="82">
        <f>INDEX('Pivot - Sector'!G:G,MATCH(A87,'Pivot - Sector'!A:A,0))</f>
        <v>0</v>
      </c>
      <c r="L87" s="82">
        <f>INDEX('Pivot - Sector'!H:H,MATCH(A87,'Pivot - Sector'!A:A,0))</f>
        <v>41000</v>
      </c>
      <c r="M87" s="82">
        <f>INDEX('Pivot - Sector'!I:I,MATCH(A87,'Pivot - Sector'!A:A,0))</f>
        <v>0</v>
      </c>
      <c r="N87" s="82">
        <f>INDEX('Pivot - Sector'!J:J,MATCH(A87,'Pivot - Sector'!A:A,0))</f>
        <v>0</v>
      </c>
    </row>
    <row r="88" spans="1:14" s="83" customFormat="1" x14ac:dyDescent="0.25">
      <c r="A88" s="80" t="s">
        <v>2172</v>
      </c>
      <c r="B88" s="81">
        <f>INDEX('Pivot - Sector'!B:B,MATCH(A88,'Pivot - Sector'!A:A,0))</f>
        <v>1</v>
      </c>
      <c r="C88" s="82">
        <f>INDEX('Pivot - Sector'!C:C,MATCH(A88,'Pivot - Sector'!A:A,0))</f>
        <v>10097</v>
      </c>
      <c r="D88" s="82">
        <f>INDEX(Travel!M:M,MATCH(A88,Travel!F:F,0))</f>
        <v>10097</v>
      </c>
      <c r="E88" s="82">
        <f t="shared" si="4"/>
        <v>9000</v>
      </c>
      <c r="F88" s="82">
        <f t="shared" si="5"/>
        <v>11200</v>
      </c>
      <c r="G88" s="84"/>
      <c r="H88" s="81">
        <f>INDEX('Pivot - Sector'!D:D,MATCH(A88,'Pivot - Sector'!A:A,0))</f>
        <v>0</v>
      </c>
      <c r="I88" s="81">
        <f>INDEX('Pivot - Sector'!E:E,MATCH(A88,'Pivot - Sector'!A:A,0))</f>
        <v>1</v>
      </c>
      <c r="J88" s="81">
        <f>INDEX('Pivot - Sector'!F:F,MATCH(A88,'Pivot - Sector'!A:A,0))</f>
        <v>0</v>
      </c>
      <c r="K88" s="82">
        <f>INDEX('Pivot - Sector'!G:G,MATCH(A88,'Pivot - Sector'!A:A,0))</f>
        <v>0</v>
      </c>
      <c r="L88" s="82">
        <f>INDEX('Pivot - Sector'!H:H,MATCH(A88,'Pivot - Sector'!A:A,0))</f>
        <v>10097</v>
      </c>
      <c r="M88" s="82">
        <f>INDEX('Pivot - Sector'!I:I,MATCH(A88,'Pivot - Sector'!A:A,0))</f>
        <v>0</v>
      </c>
      <c r="N88" s="82">
        <f>INDEX('Pivot - Sector'!J:J,MATCH(A88,'Pivot - Sector'!A:A,0))</f>
        <v>0</v>
      </c>
    </row>
    <row r="89" spans="1:14" s="83" customFormat="1" x14ac:dyDescent="0.25">
      <c r="A89" s="80" t="s">
        <v>2231</v>
      </c>
      <c r="B89" s="81">
        <f>INDEX('Pivot - Sector'!B:B,MATCH(A89,'Pivot - Sector'!A:A,0))</f>
        <v>1</v>
      </c>
      <c r="C89" s="82">
        <f>INDEX('Pivot - Sector'!C:C,MATCH(A89,'Pivot - Sector'!A:A,0))</f>
        <v>14860</v>
      </c>
      <c r="D89" s="82">
        <f>INDEX(Travel!M:M,MATCH(A89,Travel!F:F,0))</f>
        <v>14860</v>
      </c>
      <c r="E89" s="82">
        <f t="shared" si="4"/>
        <v>13300</v>
      </c>
      <c r="F89" s="82">
        <f t="shared" si="5"/>
        <v>16400</v>
      </c>
      <c r="G89" s="84"/>
      <c r="H89" s="81">
        <f>INDEX('Pivot - Sector'!D:D,MATCH(A89,'Pivot - Sector'!A:A,0))</f>
        <v>0</v>
      </c>
      <c r="I89" s="81">
        <f>INDEX('Pivot - Sector'!E:E,MATCH(A89,'Pivot - Sector'!A:A,0))</f>
        <v>1</v>
      </c>
      <c r="J89" s="81">
        <f>INDEX('Pivot - Sector'!F:F,MATCH(A89,'Pivot - Sector'!A:A,0))</f>
        <v>0</v>
      </c>
      <c r="K89" s="82">
        <f>INDEX('Pivot - Sector'!G:G,MATCH(A89,'Pivot - Sector'!A:A,0))</f>
        <v>0</v>
      </c>
      <c r="L89" s="82">
        <f>INDEX('Pivot - Sector'!H:H,MATCH(A89,'Pivot - Sector'!A:A,0))</f>
        <v>14860</v>
      </c>
      <c r="M89" s="82">
        <f>INDEX('Pivot - Sector'!I:I,MATCH(A89,'Pivot - Sector'!A:A,0))</f>
        <v>0</v>
      </c>
      <c r="N89" s="82">
        <f>INDEX('Pivot - Sector'!J:J,MATCH(A89,'Pivot - Sector'!A:A,0))</f>
        <v>0</v>
      </c>
    </row>
    <row r="90" spans="1:14" s="83" customFormat="1" x14ac:dyDescent="0.25">
      <c r="A90" s="80" t="s">
        <v>2223</v>
      </c>
      <c r="B90" s="81">
        <f>INDEX('Pivot - Sector'!B:B,MATCH(A90,'Pivot - Sector'!A:A,0))</f>
        <v>1</v>
      </c>
      <c r="C90" s="82">
        <f>INDEX('Pivot - Sector'!C:C,MATCH(A90,'Pivot - Sector'!A:A,0))</f>
        <v>86500</v>
      </c>
      <c r="D90" s="82">
        <f>INDEX(Travel!M:M,MATCH(A90,Travel!F:F,0))</f>
        <v>86500</v>
      </c>
      <c r="E90" s="82">
        <f t="shared" si="4"/>
        <v>77800</v>
      </c>
      <c r="F90" s="82">
        <f t="shared" si="5"/>
        <v>95200</v>
      </c>
      <c r="G90" s="84"/>
      <c r="H90" s="81">
        <f>INDEX('Pivot - Sector'!D:D,MATCH(A90,'Pivot - Sector'!A:A,0))</f>
        <v>0</v>
      </c>
      <c r="I90" s="81">
        <f>INDEX('Pivot - Sector'!E:E,MATCH(A90,'Pivot - Sector'!A:A,0))</f>
        <v>1</v>
      </c>
      <c r="J90" s="81">
        <f>INDEX('Pivot - Sector'!F:F,MATCH(A90,'Pivot - Sector'!A:A,0))</f>
        <v>0</v>
      </c>
      <c r="K90" s="82">
        <f>INDEX('Pivot - Sector'!G:G,MATCH(A90,'Pivot - Sector'!A:A,0))</f>
        <v>0</v>
      </c>
      <c r="L90" s="82">
        <f>INDEX('Pivot - Sector'!H:H,MATCH(A90,'Pivot - Sector'!A:A,0))</f>
        <v>86500</v>
      </c>
      <c r="M90" s="82">
        <f>INDEX('Pivot - Sector'!I:I,MATCH(A90,'Pivot - Sector'!A:A,0))</f>
        <v>0</v>
      </c>
      <c r="N90" s="82">
        <f>INDEX('Pivot - Sector'!J:J,MATCH(A90,'Pivot - Sector'!A:A,0))</f>
        <v>0</v>
      </c>
    </row>
    <row r="91" spans="1:14" s="83" customFormat="1" x14ac:dyDescent="0.25">
      <c r="A91" s="80" t="s">
        <v>2180</v>
      </c>
      <c r="B91" s="81">
        <f>INDEX('Pivot - Sector'!B:B,MATCH(A91,'Pivot - Sector'!A:A,0))</f>
        <v>1</v>
      </c>
      <c r="C91" s="82">
        <f>INDEX('Pivot - Sector'!C:C,MATCH(A91,'Pivot - Sector'!A:A,0))</f>
        <v>75000</v>
      </c>
      <c r="D91" s="82">
        <f>INDEX(Travel!M:M,MATCH(A91,Travel!F:F,0))</f>
        <v>75000</v>
      </c>
      <c r="E91" s="82">
        <f t="shared" si="4"/>
        <v>67500</v>
      </c>
      <c r="F91" s="82">
        <f t="shared" si="5"/>
        <v>82500</v>
      </c>
      <c r="G91" s="84"/>
      <c r="H91" s="81">
        <f>INDEX('Pivot - Sector'!D:D,MATCH(A91,'Pivot - Sector'!A:A,0))</f>
        <v>0</v>
      </c>
      <c r="I91" s="81">
        <f>INDEX('Pivot - Sector'!E:E,MATCH(A91,'Pivot - Sector'!A:A,0))</f>
        <v>1</v>
      </c>
      <c r="J91" s="81">
        <f>INDEX('Pivot - Sector'!F:F,MATCH(A91,'Pivot - Sector'!A:A,0))</f>
        <v>0</v>
      </c>
      <c r="K91" s="82">
        <f>INDEX('Pivot - Sector'!G:G,MATCH(A91,'Pivot - Sector'!A:A,0))</f>
        <v>0</v>
      </c>
      <c r="L91" s="82">
        <f>INDEX('Pivot - Sector'!H:H,MATCH(A91,'Pivot - Sector'!A:A,0))</f>
        <v>75000</v>
      </c>
      <c r="M91" s="82">
        <f>INDEX('Pivot - Sector'!I:I,MATCH(A91,'Pivot - Sector'!A:A,0))</f>
        <v>0</v>
      </c>
      <c r="N91" s="82">
        <f>INDEX('Pivot - Sector'!J:J,MATCH(A91,'Pivot - Sector'!A:A,0))</f>
        <v>0</v>
      </c>
    </row>
    <row r="92" spans="1:14" s="83" customFormat="1" x14ac:dyDescent="0.25">
      <c r="A92" s="80" t="s">
        <v>2161</v>
      </c>
      <c r="B92" s="81">
        <f>INDEX('Pivot - Sector'!B:B,MATCH(A92,'Pivot - Sector'!A:A,0))</f>
        <v>1</v>
      </c>
      <c r="C92" s="82">
        <f>INDEX('Pivot - Sector'!C:C,MATCH(A92,'Pivot - Sector'!A:A,0))</f>
        <v>115000</v>
      </c>
      <c r="D92" s="82">
        <f>INDEX(Travel!M:M,MATCH(A92,Travel!F:F,0))</f>
        <v>115000</v>
      </c>
      <c r="E92" s="82">
        <f t="shared" si="4"/>
        <v>103500</v>
      </c>
      <c r="F92" s="82">
        <f t="shared" si="5"/>
        <v>126500</v>
      </c>
      <c r="G92" s="84"/>
      <c r="H92" s="81">
        <f>INDEX('Pivot - Sector'!D:D,MATCH(A92,'Pivot - Sector'!A:A,0))</f>
        <v>0</v>
      </c>
      <c r="I92" s="81">
        <f>INDEX('Pivot - Sector'!E:E,MATCH(A92,'Pivot - Sector'!A:A,0))</f>
        <v>1</v>
      </c>
      <c r="J92" s="81">
        <f>INDEX('Pivot - Sector'!F:F,MATCH(A92,'Pivot - Sector'!A:A,0))</f>
        <v>0</v>
      </c>
      <c r="K92" s="82">
        <f>INDEX('Pivot - Sector'!G:G,MATCH(A92,'Pivot - Sector'!A:A,0))</f>
        <v>0</v>
      </c>
      <c r="L92" s="82">
        <f>INDEX('Pivot - Sector'!H:H,MATCH(A92,'Pivot - Sector'!A:A,0))</f>
        <v>115000</v>
      </c>
      <c r="M92" s="82">
        <f>INDEX('Pivot - Sector'!I:I,MATCH(A92,'Pivot - Sector'!A:A,0))</f>
        <v>0</v>
      </c>
      <c r="N92" s="82">
        <f>INDEX('Pivot - Sector'!J:J,MATCH(A92,'Pivot - Sector'!A:A,0))</f>
        <v>0</v>
      </c>
    </row>
    <row r="93" spans="1:14" s="83" customFormat="1" x14ac:dyDescent="0.25">
      <c r="A93" s="80" t="s">
        <v>2216</v>
      </c>
      <c r="B93" s="81">
        <f>INDEX('Pivot - Sector'!B:B,MATCH(A93,'Pivot - Sector'!A:A,0))</f>
        <v>1</v>
      </c>
      <c r="C93" s="82">
        <f>INDEX('Pivot - Sector'!C:C,MATCH(A93,'Pivot - Sector'!A:A,0))</f>
        <v>23546</v>
      </c>
      <c r="D93" s="82">
        <f>INDEX(Travel!M:M,MATCH(A93,Travel!F:F,0))</f>
        <v>23546</v>
      </c>
      <c r="E93" s="82">
        <f t="shared" si="4"/>
        <v>21100</v>
      </c>
      <c r="F93" s="82">
        <f t="shared" si="5"/>
        <v>26000</v>
      </c>
      <c r="G93" s="84"/>
      <c r="H93" s="81">
        <f>INDEX('Pivot - Sector'!D:D,MATCH(A93,'Pivot - Sector'!A:A,0))</f>
        <v>0</v>
      </c>
      <c r="I93" s="81">
        <f>INDEX('Pivot - Sector'!E:E,MATCH(A93,'Pivot - Sector'!A:A,0))</f>
        <v>0</v>
      </c>
      <c r="J93" s="81">
        <f>INDEX('Pivot - Sector'!F:F,MATCH(A93,'Pivot - Sector'!A:A,0))</f>
        <v>1</v>
      </c>
      <c r="K93" s="82">
        <f>INDEX('Pivot - Sector'!G:G,MATCH(A93,'Pivot - Sector'!A:A,0))</f>
        <v>0</v>
      </c>
      <c r="L93" s="82">
        <f>INDEX('Pivot - Sector'!H:H,MATCH(A93,'Pivot - Sector'!A:A,0))</f>
        <v>0</v>
      </c>
      <c r="M93" s="82">
        <f>INDEX('Pivot - Sector'!I:I,MATCH(A93,'Pivot - Sector'!A:A,0))</f>
        <v>134680</v>
      </c>
      <c r="N93" s="82">
        <f>INDEX('Pivot - Sector'!J:J,MATCH(A93,'Pivot - Sector'!A:A,0))</f>
        <v>108680</v>
      </c>
    </row>
    <row r="94" spans="1:14" s="83" customFormat="1" x14ac:dyDescent="0.25">
      <c r="A94" s="80" t="s">
        <v>2230</v>
      </c>
      <c r="B94" s="81">
        <f>INDEX('Pivot - Sector'!B:B,MATCH(A94,'Pivot - Sector'!A:A,0))</f>
        <v>1</v>
      </c>
      <c r="C94" s="82">
        <f>INDEX('Pivot - Sector'!C:C,MATCH(A94,'Pivot - Sector'!A:A,0))</f>
        <v>11792</v>
      </c>
      <c r="D94" s="82">
        <f>INDEX(Travel!M:M,MATCH(A94,Travel!F:F,0))</f>
        <v>11792</v>
      </c>
      <c r="E94" s="82">
        <f t="shared" si="4"/>
        <v>10600</v>
      </c>
      <c r="F94" s="82">
        <f t="shared" si="5"/>
        <v>13000</v>
      </c>
      <c r="G94" s="84"/>
      <c r="H94" s="81">
        <f>INDEX('Pivot - Sector'!D:D,MATCH(A94,'Pivot - Sector'!A:A,0))</f>
        <v>0</v>
      </c>
      <c r="I94" s="81">
        <f>INDEX('Pivot - Sector'!E:E,MATCH(A94,'Pivot - Sector'!A:A,0))</f>
        <v>1</v>
      </c>
      <c r="J94" s="81">
        <f>INDEX('Pivot - Sector'!F:F,MATCH(A94,'Pivot - Sector'!A:A,0))</f>
        <v>0</v>
      </c>
      <c r="K94" s="82">
        <f>INDEX('Pivot - Sector'!G:G,MATCH(A94,'Pivot - Sector'!A:A,0))</f>
        <v>0</v>
      </c>
      <c r="L94" s="82">
        <f>INDEX('Pivot - Sector'!H:H,MATCH(A94,'Pivot - Sector'!A:A,0))</f>
        <v>11792</v>
      </c>
      <c r="M94" s="82">
        <f>INDEX('Pivot - Sector'!I:I,MATCH(A94,'Pivot - Sector'!A:A,0))</f>
        <v>0</v>
      </c>
      <c r="N94" s="82">
        <f>INDEX('Pivot - Sector'!J:J,MATCH(A94,'Pivot - Sector'!A:A,0))</f>
        <v>0</v>
      </c>
    </row>
    <row r="95" spans="1:14" s="83" customFormat="1" x14ac:dyDescent="0.25">
      <c r="A95" s="80" t="s">
        <v>2200</v>
      </c>
      <c r="B95" s="81">
        <f>INDEX('Pivot - Sector'!B:B,MATCH(A95,'Pivot - Sector'!A:A,0))</f>
        <v>1</v>
      </c>
      <c r="C95" s="82">
        <f>INDEX('Pivot - Sector'!C:C,MATCH(A95,'Pivot - Sector'!A:A,0))</f>
        <v>99342</v>
      </c>
      <c r="D95" s="82">
        <f>INDEX(Travel!M:M,MATCH(A95,Travel!F:F,0))</f>
        <v>99342</v>
      </c>
      <c r="E95" s="82">
        <f t="shared" si="4"/>
        <v>89400</v>
      </c>
      <c r="F95" s="82">
        <f t="shared" si="5"/>
        <v>109300</v>
      </c>
      <c r="G95" s="84"/>
      <c r="H95" s="81">
        <f>INDEX('Pivot - Sector'!D:D,MATCH(A95,'Pivot - Sector'!A:A,0))</f>
        <v>0</v>
      </c>
      <c r="I95" s="81">
        <f>INDEX('Pivot - Sector'!E:E,MATCH(A95,'Pivot - Sector'!A:A,0))</f>
        <v>1</v>
      </c>
      <c r="J95" s="81">
        <f>INDEX('Pivot - Sector'!F:F,MATCH(A95,'Pivot - Sector'!A:A,0))</f>
        <v>0</v>
      </c>
      <c r="K95" s="82">
        <f>INDEX('Pivot - Sector'!G:G,MATCH(A95,'Pivot - Sector'!A:A,0))</f>
        <v>0</v>
      </c>
      <c r="L95" s="82">
        <f>INDEX('Pivot - Sector'!H:H,MATCH(A95,'Pivot - Sector'!A:A,0))</f>
        <v>99342</v>
      </c>
      <c r="M95" s="82">
        <f>INDEX('Pivot - Sector'!I:I,MATCH(A95,'Pivot - Sector'!A:A,0))</f>
        <v>0</v>
      </c>
      <c r="N95" s="82">
        <f>INDEX('Pivot - Sector'!J:J,MATCH(A95,'Pivot - Sector'!A:A,0))</f>
        <v>0</v>
      </c>
    </row>
    <row r="96" spans="1:14" s="83" customFormat="1" x14ac:dyDescent="0.25">
      <c r="A96" s="80" t="s">
        <v>2211</v>
      </c>
      <c r="B96" s="81">
        <f>INDEX('Pivot - Sector'!B:B,MATCH(A96,'Pivot - Sector'!A:A,0))</f>
        <v>1</v>
      </c>
      <c r="C96" s="82">
        <f>INDEX('Pivot - Sector'!C:C,MATCH(A96,'Pivot - Sector'!A:A,0))</f>
        <v>27800</v>
      </c>
      <c r="D96" s="82">
        <f>INDEX(Travel!M:M,MATCH(A96,Travel!F:F,0))</f>
        <v>27800</v>
      </c>
      <c r="E96" s="82">
        <f t="shared" si="4"/>
        <v>25000</v>
      </c>
      <c r="F96" s="82">
        <f t="shared" si="5"/>
        <v>30600</v>
      </c>
      <c r="G96" s="84"/>
      <c r="H96" s="81">
        <f>INDEX('Pivot - Sector'!D:D,MATCH(A96,'Pivot - Sector'!A:A,0))</f>
        <v>0</v>
      </c>
      <c r="I96" s="81">
        <f>INDEX('Pivot - Sector'!E:E,MATCH(A96,'Pivot - Sector'!A:A,0))</f>
        <v>1</v>
      </c>
      <c r="J96" s="81">
        <f>INDEX('Pivot - Sector'!F:F,MATCH(A96,'Pivot - Sector'!A:A,0))</f>
        <v>0</v>
      </c>
      <c r="K96" s="82">
        <f>INDEX('Pivot - Sector'!G:G,MATCH(A96,'Pivot - Sector'!A:A,0))</f>
        <v>0</v>
      </c>
      <c r="L96" s="82">
        <f>INDEX('Pivot - Sector'!H:H,MATCH(A96,'Pivot - Sector'!A:A,0))</f>
        <v>27800</v>
      </c>
      <c r="M96" s="82">
        <f>INDEX('Pivot - Sector'!I:I,MATCH(A96,'Pivot - Sector'!A:A,0))</f>
        <v>0</v>
      </c>
      <c r="N96" s="82">
        <f>INDEX('Pivot - Sector'!J:J,MATCH(A96,'Pivot - Sector'!A:A,0))</f>
        <v>0</v>
      </c>
    </row>
    <row r="97" spans="1:14" s="83" customFormat="1" x14ac:dyDescent="0.25">
      <c r="A97" s="80" t="s">
        <v>2179</v>
      </c>
      <c r="B97" s="81">
        <f>INDEX('Pivot - Sector'!B:B,MATCH(A97,'Pivot - Sector'!A:A,0))</f>
        <v>1</v>
      </c>
      <c r="C97" s="82">
        <f>INDEX('Pivot - Sector'!C:C,MATCH(A97,'Pivot - Sector'!A:A,0))</f>
        <v>17200</v>
      </c>
      <c r="D97" s="82">
        <f>INDEX(Travel!M:M,MATCH(A97,Travel!F:F,0))</f>
        <v>17200</v>
      </c>
      <c r="E97" s="82">
        <f t="shared" si="4"/>
        <v>15400</v>
      </c>
      <c r="F97" s="82">
        <f t="shared" si="5"/>
        <v>19000</v>
      </c>
      <c r="G97" s="84"/>
      <c r="H97" s="81">
        <f>INDEX('Pivot - Sector'!D:D,MATCH(A97,'Pivot - Sector'!A:A,0))</f>
        <v>0</v>
      </c>
      <c r="I97" s="81">
        <f>INDEX('Pivot - Sector'!E:E,MATCH(A97,'Pivot - Sector'!A:A,0))</f>
        <v>1</v>
      </c>
      <c r="J97" s="81">
        <f>INDEX('Pivot - Sector'!F:F,MATCH(A97,'Pivot - Sector'!A:A,0))</f>
        <v>0</v>
      </c>
      <c r="K97" s="82">
        <f>INDEX('Pivot - Sector'!G:G,MATCH(A97,'Pivot - Sector'!A:A,0))</f>
        <v>0</v>
      </c>
      <c r="L97" s="82">
        <f>INDEX('Pivot - Sector'!H:H,MATCH(A97,'Pivot - Sector'!A:A,0))</f>
        <v>17200</v>
      </c>
      <c r="M97" s="82">
        <f>INDEX('Pivot - Sector'!I:I,MATCH(A97,'Pivot - Sector'!A:A,0))</f>
        <v>0</v>
      </c>
      <c r="N97" s="82">
        <f>INDEX('Pivot - Sector'!J:J,MATCH(A97,'Pivot - Sector'!A:A,0))</f>
        <v>0</v>
      </c>
    </row>
    <row r="98" spans="1:14" s="83" customFormat="1" x14ac:dyDescent="0.25">
      <c r="A98" s="80" t="s">
        <v>2167</v>
      </c>
      <c r="B98" s="81">
        <f>INDEX('Pivot - Sector'!B:B,MATCH(A98,'Pivot - Sector'!A:A,0))</f>
        <v>1</v>
      </c>
      <c r="C98" s="82">
        <f>INDEX('Pivot - Sector'!C:C,MATCH(A98,'Pivot - Sector'!A:A,0))</f>
        <v>9000</v>
      </c>
      <c r="D98" s="82">
        <f>INDEX(Travel!M:M,MATCH(A98,Travel!F:F,0))</f>
        <v>9000</v>
      </c>
      <c r="E98" s="82">
        <f t="shared" si="4"/>
        <v>8100</v>
      </c>
      <c r="F98" s="82">
        <f t="shared" si="5"/>
        <v>9900</v>
      </c>
      <c r="G98" s="84"/>
      <c r="H98" s="81">
        <f>INDEX('Pivot - Sector'!D:D,MATCH(A98,'Pivot - Sector'!A:A,0))</f>
        <v>0</v>
      </c>
      <c r="I98" s="81">
        <f>INDEX('Pivot - Sector'!E:E,MATCH(A98,'Pivot - Sector'!A:A,0))</f>
        <v>1</v>
      </c>
      <c r="J98" s="81">
        <f>INDEX('Pivot - Sector'!F:F,MATCH(A98,'Pivot - Sector'!A:A,0))</f>
        <v>0</v>
      </c>
      <c r="K98" s="82">
        <f>INDEX('Pivot - Sector'!G:G,MATCH(A98,'Pivot - Sector'!A:A,0))</f>
        <v>0</v>
      </c>
      <c r="L98" s="82">
        <f>INDEX('Pivot - Sector'!H:H,MATCH(A98,'Pivot - Sector'!A:A,0))</f>
        <v>9000</v>
      </c>
      <c r="M98" s="82">
        <f>INDEX('Pivot - Sector'!I:I,MATCH(A98,'Pivot - Sector'!A:A,0))</f>
        <v>0</v>
      </c>
      <c r="N98" s="82">
        <f>INDEX('Pivot - Sector'!J:J,MATCH(A98,'Pivot - Sector'!A:A,0))</f>
        <v>0</v>
      </c>
    </row>
    <row r="99" spans="1:14" s="83" customFormat="1" x14ac:dyDescent="0.25">
      <c r="A99" s="80" t="s">
        <v>2140</v>
      </c>
      <c r="B99" s="81">
        <f>INDEX('Pivot - Sector'!B:B,MATCH(A99,'Pivot - Sector'!A:A,0))</f>
        <v>1</v>
      </c>
      <c r="C99" s="82">
        <f>INDEX('Pivot - Sector'!C:C,MATCH(A99,'Pivot - Sector'!A:A,0))</f>
        <v>42200</v>
      </c>
      <c r="D99" s="82">
        <f>INDEX(Travel!M:M,MATCH(A99,Travel!F:F,0))</f>
        <v>42200</v>
      </c>
      <c r="E99" s="82">
        <f t="shared" si="4"/>
        <v>37900</v>
      </c>
      <c r="F99" s="82">
        <f t="shared" si="5"/>
        <v>46500</v>
      </c>
      <c r="G99" s="84"/>
      <c r="H99" s="81">
        <f>INDEX('Pivot - Sector'!D:D,MATCH(A99,'Pivot - Sector'!A:A,0))</f>
        <v>0</v>
      </c>
      <c r="I99" s="81">
        <f>INDEX('Pivot - Sector'!E:E,MATCH(A99,'Pivot - Sector'!A:A,0))</f>
        <v>1</v>
      </c>
      <c r="J99" s="81">
        <f>INDEX('Pivot - Sector'!F:F,MATCH(A99,'Pivot - Sector'!A:A,0))</f>
        <v>0</v>
      </c>
      <c r="K99" s="82">
        <f>INDEX('Pivot - Sector'!G:G,MATCH(A99,'Pivot - Sector'!A:A,0))</f>
        <v>0</v>
      </c>
      <c r="L99" s="82">
        <f>INDEX('Pivot - Sector'!H:H,MATCH(A99,'Pivot - Sector'!A:A,0))</f>
        <v>42200</v>
      </c>
      <c r="M99" s="82">
        <f>INDEX('Pivot - Sector'!I:I,MATCH(A99,'Pivot - Sector'!A:A,0))</f>
        <v>0</v>
      </c>
      <c r="N99" s="82">
        <f>INDEX('Pivot - Sector'!J:J,MATCH(A99,'Pivot - Sector'!A:A,0))</f>
        <v>0</v>
      </c>
    </row>
    <row r="100" spans="1:14" s="83" customFormat="1" x14ac:dyDescent="0.25">
      <c r="A100" s="80" t="s">
        <v>2184</v>
      </c>
      <c r="B100" s="81">
        <f>INDEX('Pivot - Sector'!B:B,MATCH(A100,'Pivot - Sector'!A:A,0))</f>
        <v>1</v>
      </c>
      <c r="C100" s="82">
        <f>INDEX('Pivot - Sector'!C:C,MATCH(A100,'Pivot - Sector'!A:A,0))</f>
        <v>6680</v>
      </c>
      <c r="D100" s="82">
        <f>INDEX(Travel!M:M,MATCH(A100,Travel!F:F,0))</f>
        <v>6680</v>
      </c>
      <c r="E100" s="82">
        <f t="shared" ref="E100:E120" si="6">ROUNDDOWN(D100*(100-$E$1)%,-2)</f>
        <v>6000</v>
      </c>
      <c r="F100" s="82">
        <f t="shared" ref="F100:F120" si="7">ROUNDUP(D100*(100+$F$1)%,-2)</f>
        <v>7400</v>
      </c>
      <c r="G100" s="84"/>
      <c r="H100" s="81">
        <f>INDEX('Pivot - Sector'!D:D,MATCH(A100,'Pivot - Sector'!A:A,0))</f>
        <v>0</v>
      </c>
      <c r="I100" s="81">
        <f>INDEX('Pivot - Sector'!E:E,MATCH(A100,'Pivot - Sector'!A:A,0))</f>
        <v>1</v>
      </c>
      <c r="J100" s="81">
        <f>INDEX('Pivot - Sector'!F:F,MATCH(A100,'Pivot - Sector'!A:A,0))</f>
        <v>0</v>
      </c>
      <c r="K100" s="82">
        <f>INDEX('Pivot - Sector'!G:G,MATCH(A100,'Pivot - Sector'!A:A,0))</f>
        <v>0</v>
      </c>
      <c r="L100" s="82">
        <f>INDEX('Pivot - Sector'!H:H,MATCH(A100,'Pivot - Sector'!A:A,0))</f>
        <v>6680</v>
      </c>
      <c r="M100" s="82">
        <f>INDEX('Pivot - Sector'!I:I,MATCH(A100,'Pivot - Sector'!A:A,0))</f>
        <v>0</v>
      </c>
      <c r="N100" s="82">
        <f>INDEX('Pivot - Sector'!J:J,MATCH(A100,'Pivot - Sector'!A:A,0))</f>
        <v>0</v>
      </c>
    </row>
    <row r="101" spans="1:14" s="83" customFormat="1" x14ac:dyDescent="0.25">
      <c r="A101" s="80" t="s">
        <v>2224</v>
      </c>
      <c r="B101" s="81">
        <f>INDEX('Pivot - Sector'!B:B,MATCH(A101,'Pivot - Sector'!A:A,0))</f>
        <v>1</v>
      </c>
      <c r="C101" s="82">
        <f>INDEX('Pivot - Sector'!C:C,MATCH(A101,'Pivot - Sector'!A:A,0))</f>
        <v>5600</v>
      </c>
      <c r="D101" s="82">
        <f>INDEX(Travel!M:M,MATCH(A101,Travel!F:F,0))</f>
        <v>5600</v>
      </c>
      <c r="E101" s="82">
        <f t="shared" si="6"/>
        <v>5000</v>
      </c>
      <c r="F101" s="82">
        <f t="shared" si="7"/>
        <v>6200</v>
      </c>
      <c r="G101" s="84"/>
      <c r="H101" s="81">
        <f>INDEX('Pivot - Sector'!D:D,MATCH(A101,'Pivot - Sector'!A:A,0))</f>
        <v>0</v>
      </c>
      <c r="I101" s="81">
        <f>INDEX('Pivot - Sector'!E:E,MATCH(A101,'Pivot - Sector'!A:A,0))</f>
        <v>1</v>
      </c>
      <c r="J101" s="81">
        <f>INDEX('Pivot - Sector'!F:F,MATCH(A101,'Pivot - Sector'!A:A,0))</f>
        <v>0</v>
      </c>
      <c r="K101" s="82">
        <f>INDEX('Pivot - Sector'!G:G,MATCH(A101,'Pivot - Sector'!A:A,0))</f>
        <v>0</v>
      </c>
      <c r="L101" s="82">
        <f>INDEX('Pivot - Sector'!H:H,MATCH(A101,'Pivot - Sector'!A:A,0))</f>
        <v>5600</v>
      </c>
      <c r="M101" s="82">
        <f>INDEX('Pivot - Sector'!I:I,MATCH(A101,'Pivot - Sector'!A:A,0))</f>
        <v>0</v>
      </c>
      <c r="N101" s="82">
        <f>INDEX('Pivot - Sector'!J:J,MATCH(A101,'Pivot - Sector'!A:A,0))</f>
        <v>0</v>
      </c>
    </row>
    <row r="102" spans="1:14" s="83" customFormat="1" x14ac:dyDescent="0.25">
      <c r="A102" s="80" t="s">
        <v>2235</v>
      </c>
      <c r="B102" s="81">
        <f>INDEX('Pivot - Sector'!B:B,MATCH(A102,'Pivot - Sector'!A:A,0))</f>
        <v>1</v>
      </c>
      <c r="C102" s="82">
        <f>INDEX('Pivot - Sector'!C:C,MATCH(A102,'Pivot - Sector'!A:A,0))</f>
        <v>35000</v>
      </c>
      <c r="D102" s="82">
        <f>INDEX(Travel!M:M,MATCH(A102,Travel!F:F,0))</f>
        <v>35000</v>
      </c>
      <c r="E102" s="82">
        <f t="shared" si="6"/>
        <v>31500</v>
      </c>
      <c r="F102" s="82">
        <f t="shared" si="7"/>
        <v>38500</v>
      </c>
      <c r="G102" s="84"/>
      <c r="H102" s="81">
        <f>INDEX('Pivot - Sector'!D:D,MATCH(A102,'Pivot - Sector'!A:A,0))</f>
        <v>0</v>
      </c>
      <c r="I102" s="81">
        <f>INDEX('Pivot - Sector'!E:E,MATCH(A102,'Pivot - Sector'!A:A,0))</f>
        <v>1</v>
      </c>
      <c r="J102" s="81">
        <f>INDEX('Pivot - Sector'!F:F,MATCH(A102,'Pivot - Sector'!A:A,0))</f>
        <v>0</v>
      </c>
      <c r="K102" s="82">
        <f>INDEX('Pivot - Sector'!G:G,MATCH(A102,'Pivot - Sector'!A:A,0))</f>
        <v>0</v>
      </c>
      <c r="L102" s="82">
        <f>INDEX('Pivot - Sector'!H:H,MATCH(A102,'Pivot - Sector'!A:A,0))</f>
        <v>35000</v>
      </c>
      <c r="M102" s="82">
        <f>INDEX('Pivot - Sector'!I:I,MATCH(A102,'Pivot - Sector'!A:A,0))</f>
        <v>0</v>
      </c>
      <c r="N102" s="82">
        <f>INDEX('Pivot - Sector'!J:J,MATCH(A102,'Pivot - Sector'!A:A,0))</f>
        <v>0</v>
      </c>
    </row>
    <row r="103" spans="1:14" s="83" customFormat="1" x14ac:dyDescent="0.25">
      <c r="A103" s="80" t="s">
        <v>2141</v>
      </c>
      <c r="B103" s="81">
        <f>INDEX('Pivot - Sector'!B:B,MATCH(A103,'Pivot - Sector'!A:A,0))</f>
        <v>1</v>
      </c>
      <c r="C103" s="82">
        <f>INDEX('Pivot - Sector'!C:C,MATCH(A103,'Pivot - Sector'!A:A,0))</f>
        <v>28500</v>
      </c>
      <c r="D103" s="82">
        <f>INDEX(Travel!M:M,MATCH(A103,Travel!F:F,0))</f>
        <v>28500</v>
      </c>
      <c r="E103" s="82">
        <f t="shared" si="6"/>
        <v>25600</v>
      </c>
      <c r="F103" s="82">
        <f t="shared" si="7"/>
        <v>31400</v>
      </c>
      <c r="G103" s="84"/>
      <c r="H103" s="81">
        <f>INDEX('Pivot - Sector'!D:D,MATCH(A103,'Pivot - Sector'!A:A,0))</f>
        <v>0</v>
      </c>
      <c r="I103" s="81">
        <f>INDEX('Pivot - Sector'!E:E,MATCH(A103,'Pivot - Sector'!A:A,0))</f>
        <v>1</v>
      </c>
      <c r="J103" s="81">
        <f>INDEX('Pivot - Sector'!F:F,MATCH(A103,'Pivot - Sector'!A:A,0))</f>
        <v>0</v>
      </c>
      <c r="K103" s="82">
        <f>INDEX('Pivot - Sector'!G:G,MATCH(A103,'Pivot - Sector'!A:A,0))</f>
        <v>0</v>
      </c>
      <c r="L103" s="82">
        <f>INDEX('Pivot - Sector'!H:H,MATCH(A103,'Pivot - Sector'!A:A,0))</f>
        <v>28500</v>
      </c>
      <c r="M103" s="82">
        <f>INDEX('Pivot - Sector'!I:I,MATCH(A103,'Pivot - Sector'!A:A,0))</f>
        <v>0</v>
      </c>
      <c r="N103" s="82">
        <f>INDEX('Pivot - Sector'!J:J,MATCH(A103,'Pivot - Sector'!A:A,0))</f>
        <v>0</v>
      </c>
    </row>
    <row r="104" spans="1:14" s="83" customFormat="1" x14ac:dyDescent="0.25">
      <c r="A104" s="80" t="s">
        <v>2177</v>
      </c>
      <c r="B104" s="81">
        <f>INDEX('Pivot - Sector'!B:B,MATCH(A104,'Pivot - Sector'!A:A,0))</f>
        <v>1</v>
      </c>
      <c r="C104" s="82">
        <f>INDEX('Pivot - Sector'!C:C,MATCH(A104,'Pivot - Sector'!A:A,0))</f>
        <v>20800</v>
      </c>
      <c r="D104" s="82">
        <f>INDEX(Travel!M:M,MATCH(A104,Travel!F:F,0))</f>
        <v>20800</v>
      </c>
      <c r="E104" s="82">
        <f t="shared" si="6"/>
        <v>18700</v>
      </c>
      <c r="F104" s="82">
        <f t="shared" si="7"/>
        <v>22900</v>
      </c>
      <c r="G104" s="84"/>
      <c r="H104" s="81">
        <f>INDEX('Pivot - Sector'!D:D,MATCH(A104,'Pivot - Sector'!A:A,0))</f>
        <v>0</v>
      </c>
      <c r="I104" s="81">
        <f>INDEX('Pivot - Sector'!E:E,MATCH(A104,'Pivot - Sector'!A:A,0))</f>
        <v>1</v>
      </c>
      <c r="J104" s="81">
        <f>INDEX('Pivot - Sector'!F:F,MATCH(A104,'Pivot - Sector'!A:A,0))</f>
        <v>0</v>
      </c>
      <c r="K104" s="82">
        <f>INDEX('Pivot - Sector'!G:G,MATCH(A104,'Pivot - Sector'!A:A,0))</f>
        <v>0</v>
      </c>
      <c r="L104" s="82">
        <f>INDEX('Pivot - Sector'!H:H,MATCH(A104,'Pivot - Sector'!A:A,0))</f>
        <v>20800</v>
      </c>
      <c r="M104" s="82">
        <f>INDEX('Pivot - Sector'!I:I,MATCH(A104,'Pivot - Sector'!A:A,0))</f>
        <v>0</v>
      </c>
      <c r="N104" s="82">
        <f>INDEX('Pivot - Sector'!J:J,MATCH(A104,'Pivot - Sector'!A:A,0))</f>
        <v>0</v>
      </c>
    </row>
    <row r="105" spans="1:14" s="83" customFormat="1" x14ac:dyDescent="0.25">
      <c r="A105" s="80" t="s">
        <v>2209</v>
      </c>
      <c r="B105" s="81">
        <f>INDEX('Pivot - Sector'!B:B,MATCH(A105,'Pivot - Sector'!A:A,0))</f>
        <v>1</v>
      </c>
      <c r="C105" s="82">
        <f>INDEX('Pivot - Sector'!C:C,MATCH(A105,'Pivot - Sector'!A:A,0))</f>
        <v>10729</v>
      </c>
      <c r="D105" s="82">
        <f>INDEX(Travel!M:M,MATCH(A105,Travel!F:F,0))</f>
        <v>10729</v>
      </c>
      <c r="E105" s="82">
        <f t="shared" si="6"/>
        <v>9600</v>
      </c>
      <c r="F105" s="82">
        <f t="shared" si="7"/>
        <v>11900</v>
      </c>
      <c r="G105" s="84"/>
      <c r="H105" s="81">
        <f>INDEX('Pivot - Sector'!D:D,MATCH(A105,'Pivot - Sector'!A:A,0))</f>
        <v>0</v>
      </c>
      <c r="I105" s="81">
        <f>INDEX('Pivot - Sector'!E:E,MATCH(A105,'Pivot - Sector'!A:A,0))</f>
        <v>1</v>
      </c>
      <c r="J105" s="81">
        <f>INDEX('Pivot - Sector'!F:F,MATCH(A105,'Pivot - Sector'!A:A,0))</f>
        <v>0</v>
      </c>
      <c r="K105" s="82">
        <f>INDEX('Pivot - Sector'!G:G,MATCH(A105,'Pivot - Sector'!A:A,0))</f>
        <v>0</v>
      </c>
      <c r="L105" s="82">
        <f>INDEX('Pivot - Sector'!H:H,MATCH(A105,'Pivot - Sector'!A:A,0))</f>
        <v>10729</v>
      </c>
      <c r="M105" s="82">
        <f>INDEX('Pivot - Sector'!I:I,MATCH(A105,'Pivot - Sector'!A:A,0))</f>
        <v>0</v>
      </c>
      <c r="N105" s="82">
        <f>INDEX('Pivot - Sector'!J:J,MATCH(A105,'Pivot - Sector'!A:A,0))</f>
        <v>0</v>
      </c>
    </row>
    <row r="106" spans="1:14" s="83" customFormat="1" x14ac:dyDescent="0.25">
      <c r="A106" s="80" t="s">
        <v>2163</v>
      </c>
      <c r="B106" s="81">
        <f>INDEX('Pivot - Sector'!B:B,MATCH(A106,'Pivot - Sector'!A:A,0))</f>
        <v>1</v>
      </c>
      <c r="C106" s="82">
        <f>INDEX('Pivot - Sector'!C:C,MATCH(A106,'Pivot - Sector'!A:A,0))</f>
        <v>13500</v>
      </c>
      <c r="D106" s="82">
        <f>INDEX(Travel!M:M,MATCH(A106,Travel!F:F,0))</f>
        <v>13500</v>
      </c>
      <c r="E106" s="82">
        <f t="shared" si="6"/>
        <v>12100</v>
      </c>
      <c r="F106" s="82">
        <f t="shared" si="7"/>
        <v>14900</v>
      </c>
      <c r="G106" s="84"/>
      <c r="H106" s="81">
        <f>INDEX('Pivot - Sector'!D:D,MATCH(A106,'Pivot - Sector'!A:A,0))</f>
        <v>0</v>
      </c>
      <c r="I106" s="81">
        <f>INDEX('Pivot - Sector'!E:E,MATCH(A106,'Pivot - Sector'!A:A,0))</f>
        <v>1</v>
      </c>
      <c r="J106" s="81">
        <f>INDEX('Pivot - Sector'!F:F,MATCH(A106,'Pivot - Sector'!A:A,0))</f>
        <v>0</v>
      </c>
      <c r="K106" s="82">
        <f>INDEX('Pivot - Sector'!G:G,MATCH(A106,'Pivot - Sector'!A:A,0))</f>
        <v>0</v>
      </c>
      <c r="L106" s="82">
        <f>INDEX('Pivot - Sector'!H:H,MATCH(A106,'Pivot - Sector'!A:A,0))</f>
        <v>13500</v>
      </c>
      <c r="M106" s="82">
        <f>INDEX('Pivot - Sector'!I:I,MATCH(A106,'Pivot - Sector'!A:A,0))</f>
        <v>0</v>
      </c>
      <c r="N106" s="82">
        <f>INDEX('Pivot - Sector'!J:J,MATCH(A106,'Pivot - Sector'!A:A,0))</f>
        <v>0</v>
      </c>
    </row>
    <row r="107" spans="1:14" s="83" customFormat="1" x14ac:dyDescent="0.25">
      <c r="A107" s="80" t="s">
        <v>2189</v>
      </c>
      <c r="B107" s="81">
        <f>INDEX('Pivot - Sector'!B:B,MATCH(A107,'Pivot - Sector'!A:A,0))</f>
        <v>1</v>
      </c>
      <c r="C107" s="82">
        <f>INDEX('Pivot - Sector'!C:C,MATCH(A107,'Pivot - Sector'!A:A,0))</f>
        <v>28900</v>
      </c>
      <c r="D107" s="82">
        <f>INDEX(Travel!M:M,MATCH(A107,Travel!F:F,0))</f>
        <v>28900</v>
      </c>
      <c r="E107" s="82">
        <f t="shared" si="6"/>
        <v>26000</v>
      </c>
      <c r="F107" s="82">
        <f t="shared" si="7"/>
        <v>31800</v>
      </c>
      <c r="G107" s="84"/>
      <c r="H107" s="81">
        <f>INDEX('Pivot - Sector'!D:D,MATCH(A107,'Pivot - Sector'!A:A,0))</f>
        <v>0</v>
      </c>
      <c r="I107" s="81">
        <f>INDEX('Pivot - Sector'!E:E,MATCH(A107,'Pivot - Sector'!A:A,0))</f>
        <v>1</v>
      </c>
      <c r="J107" s="81">
        <f>INDEX('Pivot - Sector'!F:F,MATCH(A107,'Pivot - Sector'!A:A,0))</f>
        <v>0</v>
      </c>
      <c r="K107" s="82">
        <f>INDEX('Pivot - Sector'!G:G,MATCH(A107,'Pivot - Sector'!A:A,0))</f>
        <v>0</v>
      </c>
      <c r="L107" s="82">
        <f>INDEX('Pivot - Sector'!H:H,MATCH(A107,'Pivot - Sector'!A:A,0))</f>
        <v>28900</v>
      </c>
      <c r="M107" s="82">
        <f>INDEX('Pivot - Sector'!I:I,MATCH(A107,'Pivot - Sector'!A:A,0))</f>
        <v>0</v>
      </c>
      <c r="N107" s="82">
        <f>INDEX('Pivot - Sector'!J:J,MATCH(A107,'Pivot - Sector'!A:A,0))</f>
        <v>0</v>
      </c>
    </row>
    <row r="108" spans="1:14" s="83" customFormat="1" x14ac:dyDescent="0.25">
      <c r="A108" s="80" t="s">
        <v>2227</v>
      </c>
      <c r="B108" s="81">
        <f>INDEX('Pivot - Sector'!B:B,MATCH(A108,'Pivot - Sector'!A:A,0))</f>
        <v>1</v>
      </c>
      <c r="C108" s="82">
        <f>INDEX('Pivot - Sector'!C:C,MATCH(A108,'Pivot - Sector'!A:A,0))</f>
        <v>107000</v>
      </c>
      <c r="D108" s="82">
        <f>INDEX(Travel!M:M,MATCH(A108,Travel!F:F,0))</f>
        <v>107000</v>
      </c>
      <c r="E108" s="82">
        <f t="shared" si="6"/>
        <v>96300</v>
      </c>
      <c r="F108" s="82">
        <f t="shared" si="7"/>
        <v>117700</v>
      </c>
      <c r="G108" s="84"/>
      <c r="H108" s="81">
        <f>INDEX('Pivot - Sector'!D:D,MATCH(A108,'Pivot - Sector'!A:A,0))</f>
        <v>0</v>
      </c>
      <c r="I108" s="81">
        <f>INDEX('Pivot - Sector'!E:E,MATCH(A108,'Pivot - Sector'!A:A,0))</f>
        <v>1</v>
      </c>
      <c r="J108" s="81">
        <f>INDEX('Pivot - Sector'!F:F,MATCH(A108,'Pivot - Sector'!A:A,0))</f>
        <v>0</v>
      </c>
      <c r="K108" s="82">
        <f>INDEX('Pivot - Sector'!G:G,MATCH(A108,'Pivot - Sector'!A:A,0))</f>
        <v>0</v>
      </c>
      <c r="L108" s="82">
        <f>INDEX('Pivot - Sector'!H:H,MATCH(A108,'Pivot - Sector'!A:A,0))</f>
        <v>107000</v>
      </c>
      <c r="M108" s="82">
        <f>INDEX('Pivot - Sector'!I:I,MATCH(A108,'Pivot - Sector'!A:A,0))</f>
        <v>0</v>
      </c>
      <c r="N108" s="82">
        <f>INDEX('Pivot - Sector'!J:J,MATCH(A108,'Pivot - Sector'!A:A,0))</f>
        <v>0</v>
      </c>
    </row>
    <row r="109" spans="1:14" s="83" customFormat="1" x14ac:dyDescent="0.25">
      <c r="A109" s="80" t="s">
        <v>2236</v>
      </c>
      <c r="B109" s="81">
        <f>INDEX('Pivot - Sector'!B:B,MATCH(A109,'Pivot - Sector'!A:A,0))</f>
        <v>1</v>
      </c>
      <c r="C109" s="82">
        <f>INDEX('Pivot - Sector'!C:C,MATCH(A109,'Pivot - Sector'!A:A,0))</f>
        <v>68000</v>
      </c>
      <c r="D109" s="82">
        <f>INDEX(Travel!M:M,MATCH(A109,Travel!F:F,0))</f>
        <v>68000</v>
      </c>
      <c r="E109" s="82">
        <f t="shared" si="6"/>
        <v>61200</v>
      </c>
      <c r="F109" s="82">
        <f t="shared" si="7"/>
        <v>74800</v>
      </c>
      <c r="G109" s="84"/>
      <c r="H109" s="81">
        <f>INDEX('Pivot - Sector'!D:D,MATCH(A109,'Pivot - Sector'!A:A,0))</f>
        <v>0</v>
      </c>
      <c r="I109" s="81">
        <f>INDEX('Pivot - Sector'!E:E,MATCH(A109,'Pivot - Sector'!A:A,0))</f>
        <v>1</v>
      </c>
      <c r="J109" s="81">
        <f>INDEX('Pivot - Sector'!F:F,MATCH(A109,'Pivot - Sector'!A:A,0))</f>
        <v>0</v>
      </c>
      <c r="K109" s="82">
        <f>INDEX('Pivot - Sector'!G:G,MATCH(A109,'Pivot - Sector'!A:A,0))</f>
        <v>0</v>
      </c>
      <c r="L109" s="82">
        <f>INDEX('Pivot - Sector'!H:H,MATCH(A109,'Pivot - Sector'!A:A,0))</f>
        <v>68000</v>
      </c>
      <c r="M109" s="82">
        <f>INDEX('Pivot - Sector'!I:I,MATCH(A109,'Pivot - Sector'!A:A,0))</f>
        <v>0</v>
      </c>
      <c r="N109" s="82">
        <f>INDEX('Pivot - Sector'!J:J,MATCH(A109,'Pivot - Sector'!A:A,0))</f>
        <v>0</v>
      </c>
    </row>
    <row r="110" spans="1:14" s="83" customFormat="1" x14ac:dyDescent="0.25">
      <c r="A110" s="80" t="s">
        <v>2207</v>
      </c>
      <c r="B110" s="81">
        <f>INDEX('Pivot - Sector'!B:B,MATCH(A110,'Pivot - Sector'!A:A,0))</f>
        <v>1</v>
      </c>
      <c r="C110" s="82">
        <f>INDEX('Pivot - Sector'!C:C,MATCH(A110,'Pivot - Sector'!A:A,0))</f>
        <v>5864</v>
      </c>
      <c r="D110" s="82">
        <f>INDEX(Travel!M:M,MATCH(A110,Travel!F:F,0))</f>
        <v>5864</v>
      </c>
      <c r="E110" s="82">
        <f t="shared" si="6"/>
        <v>5200</v>
      </c>
      <c r="F110" s="82">
        <f t="shared" si="7"/>
        <v>6500</v>
      </c>
      <c r="G110" s="84"/>
      <c r="H110" s="81">
        <f>INDEX('Pivot - Sector'!D:D,MATCH(A110,'Pivot - Sector'!A:A,0))</f>
        <v>0</v>
      </c>
      <c r="I110" s="81">
        <f>INDEX('Pivot - Sector'!E:E,MATCH(A110,'Pivot - Sector'!A:A,0))</f>
        <v>1</v>
      </c>
      <c r="J110" s="81">
        <f>INDEX('Pivot - Sector'!F:F,MATCH(A110,'Pivot - Sector'!A:A,0))</f>
        <v>0</v>
      </c>
      <c r="K110" s="82">
        <f>INDEX('Pivot - Sector'!G:G,MATCH(A110,'Pivot - Sector'!A:A,0))</f>
        <v>0</v>
      </c>
      <c r="L110" s="82">
        <f>INDEX('Pivot - Sector'!H:H,MATCH(A110,'Pivot - Sector'!A:A,0))</f>
        <v>5864</v>
      </c>
      <c r="M110" s="82">
        <f>INDEX('Pivot - Sector'!I:I,MATCH(A110,'Pivot - Sector'!A:A,0))</f>
        <v>0</v>
      </c>
      <c r="N110" s="82">
        <f>INDEX('Pivot - Sector'!J:J,MATCH(A110,'Pivot - Sector'!A:A,0))</f>
        <v>0</v>
      </c>
    </row>
    <row r="111" spans="1:14" s="83" customFormat="1" x14ac:dyDescent="0.25">
      <c r="A111" s="80" t="s">
        <v>2197</v>
      </c>
      <c r="B111" s="81">
        <f>INDEX('Pivot - Sector'!B:B,MATCH(A111,'Pivot - Sector'!A:A,0))</f>
        <v>1</v>
      </c>
      <c r="C111" s="82">
        <f>INDEX('Pivot - Sector'!C:C,MATCH(A111,'Pivot - Sector'!A:A,0))</f>
        <v>63800</v>
      </c>
      <c r="D111" s="82">
        <f>INDEX(Travel!M:M,MATCH(A111,Travel!F:F,0))</f>
        <v>63800</v>
      </c>
      <c r="E111" s="82">
        <f t="shared" si="6"/>
        <v>57400</v>
      </c>
      <c r="F111" s="82">
        <f t="shared" si="7"/>
        <v>70200</v>
      </c>
      <c r="G111" s="84"/>
      <c r="H111" s="81">
        <f>INDEX('Pivot - Sector'!D:D,MATCH(A111,'Pivot - Sector'!A:A,0))</f>
        <v>0</v>
      </c>
      <c r="I111" s="81">
        <f>INDEX('Pivot - Sector'!E:E,MATCH(A111,'Pivot - Sector'!A:A,0))</f>
        <v>1</v>
      </c>
      <c r="J111" s="81">
        <f>INDEX('Pivot - Sector'!F:F,MATCH(A111,'Pivot - Sector'!A:A,0))</f>
        <v>0</v>
      </c>
      <c r="K111" s="82">
        <f>INDEX('Pivot - Sector'!G:G,MATCH(A111,'Pivot - Sector'!A:A,0))</f>
        <v>0</v>
      </c>
      <c r="L111" s="82">
        <f>INDEX('Pivot - Sector'!H:H,MATCH(A111,'Pivot - Sector'!A:A,0))</f>
        <v>63800</v>
      </c>
      <c r="M111" s="82">
        <f>INDEX('Pivot - Sector'!I:I,MATCH(A111,'Pivot - Sector'!A:A,0))</f>
        <v>0</v>
      </c>
      <c r="N111" s="82">
        <f>INDEX('Pivot - Sector'!J:J,MATCH(A111,'Pivot - Sector'!A:A,0))</f>
        <v>0</v>
      </c>
    </row>
    <row r="112" spans="1:14" s="83" customFormat="1" x14ac:dyDescent="0.25">
      <c r="A112" s="80" t="s">
        <v>2159</v>
      </c>
      <c r="B112" s="81">
        <f>INDEX('Pivot - Sector'!B:B,MATCH(A112,'Pivot - Sector'!A:A,0))</f>
        <v>1</v>
      </c>
      <c r="C112" s="82">
        <f>INDEX('Pivot - Sector'!C:C,MATCH(A112,'Pivot - Sector'!A:A,0))</f>
        <v>10439</v>
      </c>
      <c r="D112" s="82">
        <f>INDEX(Travel!M:M,MATCH(A112,Travel!F:F,0))</f>
        <v>10439</v>
      </c>
      <c r="E112" s="82">
        <f t="shared" si="6"/>
        <v>9300</v>
      </c>
      <c r="F112" s="82">
        <f t="shared" si="7"/>
        <v>11500</v>
      </c>
      <c r="G112" s="84"/>
      <c r="H112" s="81">
        <f>INDEX('Pivot - Sector'!D:D,MATCH(A112,'Pivot - Sector'!A:A,0))</f>
        <v>0</v>
      </c>
      <c r="I112" s="81">
        <f>INDEX('Pivot - Sector'!E:E,MATCH(A112,'Pivot - Sector'!A:A,0))</f>
        <v>1</v>
      </c>
      <c r="J112" s="81">
        <f>INDEX('Pivot - Sector'!F:F,MATCH(A112,'Pivot - Sector'!A:A,0))</f>
        <v>0</v>
      </c>
      <c r="K112" s="82">
        <f>INDEX('Pivot - Sector'!G:G,MATCH(A112,'Pivot - Sector'!A:A,0))</f>
        <v>0</v>
      </c>
      <c r="L112" s="82">
        <f>INDEX('Pivot - Sector'!H:H,MATCH(A112,'Pivot - Sector'!A:A,0))</f>
        <v>10439</v>
      </c>
      <c r="M112" s="82">
        <f>INDEX('Pivot - Sector'!I:I,MATCH(A112,'Pivot - Sector'!A:A,0))</f>
        <v>0</v>
      </c>
      <c r="N112" s="82">
        <f>INDEX('Pivot - Sector'!J:J,MATCH(A112,'Pivot - Sector'!A:A,0))</f>
        <v>0</v>
      </c>
    </row>
    <row r="113" spans="1:15" s="83" customFormat="1" x14ac:dyDescent="0.25">
      <c r="A113" s="80" t="s">
        <v>2225</v>
      </c>
      <c r="B113" s="81">
        <f>INDEX('Pivot - Sector'!B:B,MATCH(A113,'Pivot - Sector'!A:A,0))</f>
        <v>1</v>
      </c>
      <c r="C113" s="82">
        <f>INDEX('Pivot - Sector'!C:C,MATCH(A113,'Pivot - Sector'!A:A,0))</f>
        <v>78200</v>
      </c>
      <c r="D113" s="82">
        <f>INDEX(Travel!M:M,MATCH(A113,Travel!F:F,0))</f>
        <v>78200</v>
      </c>
      <c r="E113" s="82">
        <f t="shared" si="6"/>
        <v>70300</v>
      </c>
      <c r="F113" s="82">
        <f t="shared" si="7"/>
        <v>86100</v>
      </c>
      <c r="G113" s="84"/>
      <c r="H113" s="81">
        <f>INDEX('Pivot - Sector'!D:D,MATCH(A113,'Pivot - Sector'!A:A,0))</f>
        <v>0</v>
      </c>
      <c r="I113" s="81">
        <f>INDEX('Pivot - Sector'!E:E,MATCH(A113,'Pivot - Sector'!A:A,0))</f>
        <v>1</v>
      </c>
      <c r="J113" s="81">
        <f>INDEX('Pivot - Sector'!F:F,MATCH(A113,'Pivot - Sector'!A:A,0))</f>
        <v>0</v>
      </c>
      <c r="K113" s="82">
        <f>INDEX('Pivot - Sector'!G:G,MATCH(A113,'Pivot - Sector'!A:A,0))</f>
        <v>0</v>
      </c>
      <c r="L113" s="82">
        <f>INDEX('Pivot - Sector'!H:H,MATCH(A113,'Pivot - Sector'!A:A,0))</f>
        <v>78200</v>
      </c>
      <c r="M113" s="82">
        <f>INDEX('Pivot - Sector'!I:I,MATCH(A113,'Pivot - Sector'!A:A,0))</f>
        <v>0</v>
      </c>
      <c r="N113" s="82">
        <f>INDEX('Pivot - Sector'!J:J,MATCH(A113,'Pivot - Sector'!A:A,0))</f>
        <v>0</v>
      </c>
    </row>
    <row r="114" spans="1:15" s="83" customFormat="1" x14ac:dyDescent="0.25">
      <c r="A114" s="80" t="s">
        <v>2233</v>
      </c>
      <c r="B114" s="81">
        <f>INDEX('Pivot - Sector'!B:B,MATCH(A114,'Pivot - Sector'!A:A,0))</f>
        <v>1</v>
      </c>
      <c r="C114" s="82">
        <f>INDEX('Pivot - Sector'!C:C,MATCH(A114,'Pivot - Sector'!A:A,0))</f>
        <v>63000</v>
      </c>
      <c r="D114" s="82">
        <f>INDEX(Travel!M:M,MATCH(A114,Travel!F:F,0))</f>
        <v>63000</v>
      </c>
      <c r="E114" s="82">
        <f t="shared" si="6"/>
        <v>56700</v>
      </c>
      <c r="F114" s="82">
        <f t="shared" si="7"/>
        <v>69300</v>
      </c>
      <c r="G114" s="84"/>
      <c r="H114" s="81">
        <f>INDEX('Pivot - Sector'!D:D,MATCH(A114,'Pivot - Sector'!A:A,0))</f>
        <v>0</v>
      </c>
      <c r="I114" s="81">
        <f>INDEX('Pivot - Sector'!E:E,MATCH(A114,'Pivot - Sector'!A:A,0))</f>
        <v>1</v>
      </c>
      <c r="J114" s="81">
        <f>INDEX('Pivot - Sector'!F:F,MATCH(A114,'Pivot - Sector'!A:A,0))</f>
        <v>0</v>
      </c>
      <c r="K114" s="82">
        <f>INDEX('Pivot - Sector'!G:G,MATCH(A114,'Pivot - Sector'!A:A,0))</f>
        <v>0</v>
      </c>
      <c r="L114" s="82">
        <f>INDEX('Pivot - Sector'!H:H,MATCH(A114,'Pivot - Sector'!A:A,0))</f>
        <v>63000</v>
      </c>
      <c r="M114" s="82">
        <f>INDEX('Pivot - Sector'!I:I,MATCH(A114,'Pivot - Sector'!A:A,0))</f>
        <v>0</v>
      </c>
      <c r="N114" s="82">
        <f>INDEX('Pivot - Sector'!J:J,MATCH(A114,'Pivot - Sector'!A:A,0))</f>
        <v>0</v>
      </c>
    </row>
    <row r="115" spans="1:15" s="83" customFormat="1" x14ac:dyDescent="0.25">
      <c r="A115" s="80" t="s">
        <v>2198</v>
      </c>
      <c r="B115" s="81">
        <f>INDEX('Pivot - Sector'!B:B,MATCH(A115,'Pivot - Sector'!A:A,0))</f>
        <v>1</v>
      </c>
      <c r="C115" s="82">
        <f>INDEX('Pivot - Sector'!C:C,MATCH(A115,'Pivot - Sector'!A:A,0))</f>
        <v>51800</v>
      </c>
      <c r="D115" s="82">
        <f>INDEX(Travel!M:M,MATCH(A115,Travel!F:F,0))</f>
        <v>51800</v>
      </c>
      <c r="E115" s="82">
        <f t="shared" si="6"/>
        <v>46600</v>
      </c>
      <c r="F115" s="82">
        <f t="shared" si="7"/>
        <v>57000</v>
      </c>
      <c r="G115" s="84"/>
      <c r="H115" s="81">
        <f>INDEX('Pivot - Sector'!D:D,MATCH(A115,'Pivot - Sector'!A:A,0))</f>
        <v>0</v>
      </c>
      <c r="I115" s="81">
        <f>INDEX('Pivot - Sector'!E:E,MATCH(A115,'Pivot - Sector'!A:A,0))</f>
        <v>1</v>
      </c>
      <c r="J115" s="81">
        <f>INDEX('Pivot - Sector'!F:F,MATCH(A115,'Pivot - Sector'!A:A,0))</f>
        <v>0</v>
      </c>
      <c r="K115" s="82">
        <f>INDEX('Pivot - Sector'!G:G,MATCH(A115,'Pivot - Sector'!A:A,0))</f>
        <v>0</v>
      </c>
      <c r="L115" s="82">
        <f>INDEX('Pivot - Sector'!H:H,MATCH(A115,'Pivot - Sector'!A:A,0))</f>
        <v>51800</v>
      </c>
      <c r="M115" s="82">
        <f>INDEX('Pivot - Sector'!I:I,MATCH(A115,'Pivot - Sector'!A:A,0))</f>
        <v>0</v>
      </c>
      <c r="N115" s="82">
        <f>INDEX('Pivot - Sector'!J:J,MATCH(A115,'Pivot - Sector'!A:A,0))</f>
        <v>0</v>
      </c>
    </row>
    <row r="116" spans="1:15" s="83" customFormat="1" x14ac:dyDescent="0.25">
      <c r="A116" s="80" t="s">
        <v>2168</v>
      </c>
      <c r="B116" s="81">
        <f>INDEX('Pivot - Sector'!B:B,MATCH(A116,'Pivot - Sector'!A:A,0))</f>
        <v>1</v>
      </c>
      <c r="C116" s="82">
        <f>INDEX('Pivot - Sector'!C:C,MATCH(A116,'Pivot - Sector'!A:A,0))</f>
        <v>20000</v>
      </c>
      <c r="D116" s="82">
        <f>INDEX(Travel!M:M,MATCH(A116,Travel!F:F,0))</f>
        <v>20000</v>
      </c>
      <c r="E116" s="82">
        <f t="shared" si="6"/>
        <v>18000</v>
      </c>
      <c r="F116" s="82">
        <f t="shared" si="7"/>
        <v>22000</v>
      </c>
      <c r="G116" s="84"/>
      <c r="H116" s="81">
        <f>INDEX('Pivot - Sector'!D:D,MATCH(A116,'Pivot - Sector'!A:A,0))</f>
        <v>0</v>
      </c>
      <c r="I116" s="81">
        <f>INDEX('Pivot - Sector'!E:E,MATCH(A116,'Pivot - Sector'!A:A,0))</f>
        <v>1</v>
      </c>
      <c r="J116" s="81">
        <f>INDEX('Pivot - Sector'!F:F,MATCH(A116,'Pivot - Sector'!A:A,0))</f>
        <v>0</v>
      </c>
      <c r="K116" s="82">
        <f>INDEX('Pivot - Sector'!G:G,MATCH(A116,'Pivot - Sector'!A:A,0))</f>
        <v>0</v>
      </c>
      <c r="L116" s="82">
        <f>INDEX('Pivot - Sector'!H:H,MATCH(A116,'Pivot - Sector'!A:A,0))</f>
        <v>20000</v>
      </c>
      <c r="M116" s="82">
        <f>INDEX('Pivot - Sector'!I:I,MATCH(A116,'Pivot - Sector'!A:A,0))</f>
        <v>0</v>
      </c>
      <c r="N116" s="82">
        <f>INDEX('Pivot - Sector'!J:J,MATCH(A116,'Pivot - Sector'!A:A,0))</f>
        <v>0</v>
      </c>
    </row>
    <row r="117" spans="1:15" s="83" customFormat="1" x14ac:dyDescent="0.25">
      <c r="A117" s="80" t="s">
        <v>2190</v>
      </c>
      <c r="B117" s="81">
        <f>INDEX('Pivot - Sector'!B:B,MATCH(A117,'Pivot - Sector'!A:A,0))</f>
        <v>1</v>
      </c>
      <c r="C117" s="82">
        <f>INDEX('Pivot - Sector'!C:C,MATCH(A117,'Pivot - Sector'!A:A,0))</f>
        <v>38800</v>
      </c>
      <c r="D117" s="82">
        <f>INDEX(Travel!M:M,MATCH(A117,Travel!F:F,0))</f>
        <v>38800</v>
      </c>
      <c r="E117" s="82">
        <f t="shared" si="6"/>
        <v>34900</v>
      </c>
      <c r="F117" s="82">
        <f t="shared" si="7"/>
        <v>42700</v>
      </c>
      <c r="G117" s="84"/>
      <c r="H117" s="81">
        <f>INDEX('Pivot - Sector'!D:D,MATCH(A117,'Pivot - Sector'!A:A,0))</f>
        <v>0</v>
      </c>
      <c r="I117" s="81">
        <f>INDEX('Pivot - Sector'!E:E,MATCH(A117,'Pivot - Sector'!A:A,0))</f>
        <v>1</v>
      </c>
      <c r="J117" s="81">
        <f>INDEX('Pivot - Sector'!F:F,MATCH(A117,'Pivot - Sector'!A:A,0))</f>
        <v>0</v>
      </c>
      <c r="K117" s="82">
        <f>INDEX('Pivot - Sector'!G:G,MATCH(A117,'Pivot - Sector'!A:A,0))</f>
        <v>0</v>
      </c>
      <c r="L117" s="82">
        <f>INDEX('Pivot - Sector'!H:H,MATCH(A117,'Pivot - Sector'!A:A,0))</f>
        <v>38800</v>
      </c>
      <c r="M117" s="82">
        <f>INDEX('Pivot - Sector'!I:I,MATCH(A117,'Pivot - Sector'!A:A,0))</f>
        <v>0</v>
      </c>
      <c r="N117" s="82">
        <f>INDEX('Pivot - Sector'!J:J,MATCH(A117,'Pivot - Sector'!A:A,0))</f>
        <v>0</v>
      </c>
    </row>
    <row r="118" spans="1:15" s="83" customFormat="1" x14ac:dyDescent="0.25">
      <c r="A118" s="80" t="s">
        <v>2169</v>
      </c>
      <c r="B118" s="81">
        <f>INDEX('Pivot - Sector'!B:B,MATCH(A118,'Pivot - Sector'!A:A,0))</f>
        <v>1</v>
      </c>
      <c r="C118" s="82">
        <f>INDEX('Pivot - Sector'!C:C,MATCH(A118,'Pivot - Sector'!A:A,0))</f>
        <v>16422</v>
      </c>
      <c r="D118" s="82">
        <f>INDEX(Travel!M:M,MATCH(A118,Travel!F:F,0))</f>
        <v>16422</v>
      </c>
      <c r="E118" s="82">
        <f t="shared" si="6"/>
        <v>14700</v>
      </c>
      <c r="F118" s="82">
        <f t="shared" si="7"/>
        <v>18100</v>
      </c>
      <c r="G118" s="84"/>
      <c r="H118" s="81">
        <f>INDEX('Pivot - Sector'!D:D,MATCH(A118,'Pivot - Sector'!A:A,0))</f>
        <v>0</v>
      </c>
      <c r="I118" s="81">
        <f>INDEX('Pivot - Sector'!E:E,MATCH(A118,'Pivot - Sector'!A:A,0))</f>
        <v>1</v>
      </c>
      <c r="J118" s="81">
        <f>INDEX('Pivot - Sector'!F:F,MATCH(A118,'Pivot - Sector'!A:A,0))</f>
        <v>0</v>
      </c>
      <c r="K118" s="82">
        <f>INDEX('Pivot - Sector'!G:G,MATCH(A118,'Pivot - Sector'!A:A,0))</f>
        <v>0</v>
      </c>
      <c r="L118" s="82">
        <f>INDEX('Pivot - Sector'!H:H,MATCH(A118,'Pivot - Sector'!A:A,0))</f>
        <v>16422</v>
      </c>
      <c r="M118" s="82">
        <f>INDEX('Pivot - Sector'!I:I,MATCH(A118,'Pivot - Sector'!A:A,0))</f>
        <v>0</v>
      </c>
      <c r="N118" s="82">
        <f>INDEX('Pivot - Sector'!J:J,MATCH(A118,'Pivot - Sector'!A:A,0))</f>
        <v>0</v>
      </c>
    </row>
    <row r="119" spans="1:15" s="83" customFormat="1" x14ac:dyDescent="0.25">
      <c r="A119" s="80" t="s">
        <v>2228</v>
      </c>
      <c r="B119" s="81">
        <f>INDEX('Pivot - Sector'!B:B,MATCH(A119,'Pivot - Sector'!A:A,0))</f>
        <v>1</v>
      </c>
      <c r="C119" s="82">
        <f>INDEX('Pivot - Sector'!C:C,MATCH(A119,'Pivot - Sector'!A:A,0))</f>
        <v>8201</v>
      </c>
      <c r="D119" s="82">
        <f>INDEX(Travel!M:M,MATCH(A119,Travel!F:F,0))</f>
        <v>8201</v>
      </c>
      <c r="E119" s="82">
        <f t="shared" si="6"/>
        <v>7300</v>
      </c>
      <c r="F119" s="82">
        <f t="shared" si="7"/>
        <v>9100</v>
      </c>
      <c r="G119" s="84"/>
      <c r="H119" s="81">
        <f>INDEX('Pivot - Sector'!D:D,MATCH(A119,'Pivot - Sector'!A:A,0))</f>
        <v>0</v>
      </c>
      <c r="I119" s="81">
        <f>INDEX('Pivot - Sector'!E:E,MATCH(A119,'Pivot - Sector'!A:A,0))</f>
        <v>1</v>
      </c>
      <c r="J119" s="81">
        <f>INDEX('Pivot - Sector'!F:F,MATCH(A119,'Pivot - Sector'!A:A,0))</f>
        <v>0</v>
      </c>
      <c r="K119" s="82">
        <f>INDEX('Pivot - Sector'!G:G,MATCH(A119,'Pivot - Sector'!A:A,0))</f>
        <v>0</v>
      </c>
      <c r="L119" s="82">
        <f>INDEX('Pivot - Sector'!H:H,MATCH(A119,'Pivot - Sector'!A:A,0))</f>
        <v>8201</v>
      </c>
      <c r="M119" s="82">
        <f>INDEX('Pivot - Sector'!I:I,MATCH(A119,'Pivot - Sector'!A:A,0))</f>
        <v>0</v>
      </c>
      <c r="N119" s="82">
        <f>INDEX('Pivot - Sector'!J:J,MATCH(A119,'Pivot - Sector'!A:A,0))</f>
        <v>0</v>
      </c>
    </row>
    <row r="120" spans="1:15" s="83" customFormat="1" x14ac:dyDescent="0.25">
      <c r="A120" s="80" t="s">
        <v>2239</v>
      </c>
      <c r="B120" s="81">
        <f>INDEX('Pivot - Sector'!B:B,MATCH(A120,'Pivot - Sector'!A:A,0))</f>
        <v>1</v>
      </c>
      <c r="C120" s="82">
        <f>INDEX('Pivot - Sector'!C:C,MATCH(A120,'Pivot - Sector'!A:A,0))</f>
        <v>6867</v>
      </c>
      <c r="D120" s="82">
        <f>INDEX(Travel!M:M,MATCH(A120,Travel!F:F,0))</f>
        <v>6867</v>
      </c>
      <c r="E120" s="82">
        <f t="shared" si="6"/>
        <v>6100</v>
      </c>
      <c r="F120" s="82">
        <f t="shared" si="7"/>
        <v>7600</v>
      </c>
      <c r="G120" s="84"/>
      <c r="H120" s="81">
        <f>INDEX('Pivot - Sector'!D:D,MATCH(A120,'Pivot - Sector'!A:A,0))</f>
        <v>0</v>
      </c>
      <c r="I120" s="81">
        <f>INDEX('Pivot - Sector'!E:E,MATCH(A120,'Pivot - Sector'!A:A,0))</f>
        <v>1</v>
      </c>
      <c r="J120" s="81">
        <f>INDEX('Pivot - Sector'!F:F,MATCH(A120,'Pivot - Sector'!A:A,0))</f>
        <v>0</v>
      </c>
      <c r="K120" s="82">
        <f>INDEX('Pivot - Sector'!G:G,MATCH(A120,'Pivot - Sector'!A:A,0))</f>
        <v>0</v>
      </c>
      <c r="L120" s="82">
        <f>INDEX('Pivot - Sector'!H:H,MATCH(A120,'Pivot - Sector'!A:A,0))</f>
        <v>6867</v>
      </c>
      <c r="M120" s="82">
        <f>INDEX('Pivot - Sector'!I:I,MATCH(A120,'Pivot - Sector'!A:A,0))</f>
        <v>0</v>
      </c>
      <c r="N120" s="82">
        <f>INDEX('Pivot - Sector'!J:J,MATCH(A120,'Pivot - Sector'!A:A,0))</f>
        <v>0</v>
      </c>
    </row>
    <row r="121" spans="1:15" s="88" customFormat="1" ht="15.75" x14ac:dyDescent="0.25">
      <c r="B121" s="91">
        <f>SUM(B4:B120)</f>
        <v>808</v>
      </c>
      <c r="C121" s="92">
        <f>SUM(C4:C120)</f>
        <v>9606980</v>
      </c>
      <c r="D121" s="89"/>
      <c r="E121" s="89"/>
      <c r="F121" s="89"/>
      <c r="G121" s="90"/>
      <c r="H121" s="91">
        <f>SUM(H4:H120)</f>
        <v>147</v>
      </c>
      <c r="I121" s="91">
        <f t="shared" ref="I121:J121" si="8">SUM(I4:I120)</f>
        <v>503</v>
      </c>
      <c r="J121" s="91">
        <f t="shared" si="8"/>
        <v>158</v>
      </c>
      <c r="K121" s="92">
        <f>SUM(K4:K120)</f>
        <v>872237</v>
      </c>
      <c r="L121" s="92">
        <f t="shared" ref="L121" si="9">SUM(L4:L120)</f>
        <v>7002657</v>
      </c>
      <c r="M121" s="92">
        <f t="shared" ref="M121" si="10">SUM(M4:M120)</f>
        <v>2509360</v>
      </c>
      <c r="N121" s="92">
        <f>SUM(N4:N120)</f>
        <v>855360</v>
      </c>
      <c r="O121" s="93">
        <f>SUM(K121:M121)-C121</f>
        <v>777274</v>
      </c>
    </row>
    <row r="122" spans="1:15" ht="15.75" x14ac:dyDescent="0.25">
      <c r="O122" s="93">
        <f>SUM(H121:J121)-B121</f>
        <v>0</v>
      </c>
    </row>
    <row r="123" spans="1:15" x14ac:dyDescent="0.25">
      <c r="K123" s="10"/>
      <c r="L123" s="10"/>
      <c r="M123" s="10"/>
      <c r="N123" s="10"/>
    </row>
    <row r="125" spans="1:15" x14ac:dyDescent="0.25">
      <c r="H125" s="10">
        <v>225</v>
      </c>
      <c r="I125" s="10">
        <v>311</v>
      </c>
      <c r="J125" s="10">
        <v>263</v>
      </c>
      <c r="K125" s="9">
        <v>802011</v>
      </c>
      <c r="L125" s="9">
        <v>5162758</v>
      </c>
      <c r="M125" s="9">
        <v>3488295</v>
      </c>
      <c r="N125" s="9">
        <v>901895</v>
      </c>
    </row>
  </sheetData>
  <autoFilter ref="A2:N121">
    <filterColumn colId="7" showButton="0"/>
    <filterColumn colId="8" showButton="0"/>
    <filterColumn colId="10" showButton="0"/>
    <filterColumn colId="11" showButton="0"/>
  </autoFilter>
  <sortState ref="A4:N120">
    <sortCondition descending="1" ref="B4:B120"/>
  </sortState>
  <mergeCells count="9">
    <mergeCell ref="H2:J2"/>
    <mergeCell ref="F2:F3"/>
    <mergeCell ref="K2:M2"/>
    <mergeCell ref="N2:N3"/>
    <mergeCell ref="A2:A3"/>
    <mergeCell ref="B2:B3"/>
    <mergeCell ref="C2:C3"/>
    <mergeCell ref="D2:D3"/>
    <mergeCell ref="E2:E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E145"/>
  <sheetViews>
    <sheetView topLeftCell="KO1" workbookViewId="0">
      <selection activeCell="L1" sqref="L1:L1048576"/>
    </sheetView>
  </sheetViews>
  <sheetFormatPr defaultRowHeight="15" x14ac:dyDescent="0.25"/>
  <cols>
    <col min="1" max="1" width="31" bestFit="1" customWidth="1"/>
    <col min="2" max="2" width="22.140625" bestFit="1" customWidth="1"/>
    <col min="3" max="3" width="9.7109375" bestFit="1" customWidth="1"/>
    <col min="4" max="4" width="22" bestFit="1" customWidth="1"/>
    <col min="5" max="5" width="22.140625" bestFit="1" customWidth="1"/>
    <col min="6" max="6" width="9.7109375" bestFit="1" customWidth="1"/>
    <col min="7" max="7" width="22" style="101" bestFit="1" customWidth="1"/>
    <col min="8" max="8" width="22.140625" bestFit="1" customWidth="1"/>
    <col min="9" max="9" width="9.7109375" bestFit="1" customWidth="1"/>
    <col min="10" max="10" width="22" bestFit="1" customWidth="1"/>
    <col min="11" max="11" width="22.140625" bestFit="1" customWidth="1"/>
    <col min="12" max="12" width="9.7109375" bestFit="1" customWidth="1"/>
    <col min="13" max="13" width="22" bestFit="1" customWidth="1"/>
    <col min="14" max="14" width="22.140625" bestFit="1" customWidth="1"/>
    <col min="15" max="15" width="9.7109375" bestFit="1" customWidth="1"/>
    <col min="16" max="16" width="22" bestFit="1" customWidth="1"/>
    <col min="17" max="17" width="24.28515625" bestFit="1" customWidth="1"/>
    <col min="18" max="18" width="9.7109375" bestFit="1" customWidth="1"/>
    <col min="19" max="19" width="22" bestFit="1" customWidth="1"/>
    <col min="20" max="20" width="22.140625" bestFit="1" customWidth="1"/>
    <col min="21" max="21" width="9.7109375" bestFit="1" customWidth="1"/>
    <col min="22" max="22" width="22" bestFit="1" customWidth="1"/>
    <col min="23" max="23" width="22.140625" bestFit="1" customWidth="1"/>
    <col min="24" max="24" width="9.7109375" style="101" bestFit="1" customWidth="1"/>
    <col min="25" max="25" width="22" bestFit="1" customWidth="1"/>
    <col min="26" max="26" width="22.140625" bestFit="1" customWidth="1"/>
    <col min="27" max="27" width="9.7109375" bestFit="1" customWidth="1"/>
    <col min="28" max="28" width="22" bestFit="1" customWidth="1"/>
    <col min="29" max="29" width="24.7109375" bestFit="1" customWidth="1"/>
    <col min="30" max="30" width="9.7109375" bestFit="1" customWidth="1"/>
    <col min="31" max="31" width="22" bestFit="1" customWidth="1"/>
    <col min="32" max="32" width="27.140625" bestFit="1" customWidth="1"/>
    <col min="33" max="33" width="9.7109375" bestFit="1" customWidth="1"/>
    <col min="34" max="34" width="22" bestFit="1" customWidth="1"/>
    <col min="35" max="35" width="26.85546875" bestFit="1" customWidth="1"/>
    <col min="36" max="36" width="9.7109375" bestFit="1" customWidth="1"/>
    <col min="37" max="37" width="22" bestFit="1" customWidth="1"/>
    <col min="38" max="38" width="22.140625" bestFit="1" customWidth="1"/>
    <col min="39" max="39" width="9.7109375" bestFit="1" customWidth="1"/>
    <col min="40" max="40" width="22" bestFit="1" customWidth="1"/>
    <col min="41" max="41" width="26.7109375" bestFit="1" customWidth="1"/>
    <col min="42" max="42" width="9.7109375" bestFit="1" customWidth="1"/>
    <col min="43" max="43" width="22" bestFit="1" customWidth="1"/>
    <col min="44" max="44" width="22.140625" bestFit="1" customWidth="1"/>
    <col min="45" max="45" width="9.7109375" bestFit="1" customWidth="1"/>
    <col min="46" max="46" width="22" bestFit="1" customWidth="1"/>
    <col min="47" max="47" width="22.140625" bestFit="1" customWidth="1"/>
    <col min="48" max="48" width="9.7109375" bestFit="1" customWidth="1"/>
    <col min="49" max="49" width="22" bestFit="1" customWidth="1"/>
    <col min="50" max="50" width="22.140625" bestFit="1" customWidth="1"/>
    <col min="51" max="51" width="9.7109375" bestFit="1" customWidth="1"/>
    <col min="52" max="52" width="22" bestFit="1" customWidth="1"/>
    <col min="53" max="53" width="22.140625" bestFit="1" customWidth="1"/>
    <col min="54" max="54" width="9.7109375" style="101" bestFit="1" customWidth="1"/>
    <col min="55" max="55" width="22" bestFit="1" customWidth="1"/>
    <col min="56" max="56" width="22.140625" bestFit="1" customWidth="1"/>
    <col min="57" max="57" width="9.7109375" bestFit="1" customWidth="1"/>
    <col min="58" max="58" width="22" bestFit="1" customWidth="1"/>
    <col min="59" max="59" width="36" bestFit="1" customWidth="1"/>
    <col min="60" max="60" width="9.7109375" bestFit="1" customWidth="1"/>
    <col min="61" max="61" width="22" bestFit="1" customWidth="1"/>
    <col min="62" max="62" width="22.140625" bestFit="1" customWidth="1"/>
    <col min="63" max="63" width="9.7109375" style="101" bestFit="1" customWidth="1"/>
    <col min="64" max="64" width="22" bestFit="1" customWidth="1"/>
    <col min="65" max="65" width="22.140625" bestFit="1" customWidth="1"/>
    <col min="66" max="66" width="9.7109375" bestFit="1" customWidth="1"/>
    <col min="67" max="67" width="22" bestFit="1" customWidth="1"/>
    <col min="68" max="68" width="25.7109375" bestFit="1" customWidth="1"/>
    <col min="69" max="69" width="9.7109375" bestFit="1" customWidth="1"/>
    <col min="70" max="70" width="22" bestFit="1" customWidth="1"/>
    <col min="71" max="71" width="22.140625" bestFit="1" customWidth="1"/>
    <col min="72" max="72" width="9.7109375" bestFit="1" customWidth="1"/>
    <col min="73" max="73" width="22" bestFit="1" customWidth="1"/>
    <col min="74" max="74" width="22.140625" bestFit="1" customWidth="1"/>
    <col min="75" max="75" width="9.7109375" bestFit="1" customWidth="1"/>
    <col min="76" max="76" width="22" bestFit="1" customWidth="1"/>
    <col min="77" max="77" width="22.140625" bestFit="1" customWidth="1"/>
    <col min="78" max="78" width="9.7109375" bestFit="1" customWidth="1"/>
    <col min="79" max="79" width="22" bestFit="1" customWidth="1"/>
    <col min="80" max="80" width="22.140625" bestFit="1" customWidth="1"/>
    <col min="81" max="81" width="9.7109375" bestFit="1" customWidth="1"/>
    <col min="82" max="82" width="22" bestFit="1" customWidth="1"/>
    <col min="83" max="83" width="22.140625" bestFit="1" customWidth="1"/>
    <col min="84" max="84" width="9.7109375" bestFit="1" customWidth="1"/>
    <col min="85" max="85" width="22" bestFit="1" customWidth="1"/>
    <col min="86" max="86" width="24.7109375" bestFit="1" customWidth="1"/>
    <col min="87" max="87" width="9.7109375" bestFit="1" customWidth="1"/>
    <col min="88" max="88" width="22" bestFit="1" customWidth="1"/>
    <col min="89" max="89" width="24.42578125" bestFit="1" customWidth="1"/>
    <col min="90" max="90" width="9.7109375" bestFit="1" customWidth="1"/>
    <col min="91" max="91" width="22" style="10" bestFit="1" customWidth="1"/>
    <col min="92" max="92" width="22.140625" bestFit="1" customWidth="1"/>
    <col min="93" max="93" width="9.7109375" bestFit="1" customWidth="1"/>
    <col min="94" max="94" width="22" bestFit="1" customWidth="1"/>
    <col min="95" max="95" width="22.140625" bestFit="1" customWidth="1"/>
    <col min="96" max="96" width="9.7109375" bestFit="1" customWidth="1"/>
    <col min="97" max="97" width="22" bestFit="1" customWidth="1"/>
    <col min="98" max="98" width="22.140625" bestFit="1" customWidth="1"/>
    <col min="99" max="99" width="9.7109375" bestFit="1" customWidth="1"/>
    <col min="100" max="100" width="22" bestFit="1" customWidth="1"/>
    <col min="101" max="101" width="26" bestFit="1" customWidth="1"/>
    <col min="102" max="102" width="9.7109375" bestFit="1" customWidth="1"/>
    <col min="103" max="103" width="22" bestFit="1" customWidth="1"/>
    <col min="104" max="104" width="22.140625" bestFit="1" customWidth="1"/>
    <col min="105" max="105" width="9.7109375" bestFit="1" customWidth="1"/>
    <col min="106" max="106" width="22" bestFit="1" customWidth="1"/>
    <col min="107" max="107" width="22.140625" bestFit="1" customWidth="1"/>
    <col min="108" max="108" width="9.7109375" bestFit="1" customWidth="1"/>
    <col min="109" max="109" width="22" bestFit="1" customWidth="1"/>
    <col min="110" max="110" width="22.140625" bestFit="1" customWidth="1"/>
    <col min="111" max="111" width="9.7109375" bestFit="1" customWidth="1"/>
    <col min="112" max="112" width="22" bestFit="1" customWidth="1"/>
    <col min="113" max="113" width="22.140625" bestFit="1" customWidth="1"/>
    <col min="114" max="114" width="9.7109375" bestFit="1" customWidth="1"/>
    <col min="115" max="115" width="22" bestFit="1" customWidth="1"/>
    <col min="116" max="116" width="23.42578125" bestFit="1" customWidth="1"/>
    <col min="117" max="117" width="9.7109375" bestFit="1" customWidth="1"/>
    <col min="118" max="118" width="22" bestFit="1" customWidth="1"/>
    <col min="119" max="119" width="25.7109375" style="101" bestFit="1" customWidth="1"/>
    <col min="120" max="120" width="9.7109375" style="101" bestFit="1" customWidth="1"/>
    <col min="121" max="121" width="22" style="101" bestFit="1" customWidth="1"/>
    <col min="122" max="122" width="22.140625" style="101" bestFit="1" customWidth="1"/>
    <col min="123" max="123" width="9.7109375" style="101" bestFit="1" customWidth="1"/>
    <col min="124" max="124" width="22" style="101" bestFit="1" customWidth="1"/>
    <col min="125" max="125" width="22.140625" bestFit="1" customWidth="1"/>
    <col min="126" max="126" width="9.7109375" style="101" bestFit="1" customWidth="1"/>
    <col min="127" max="127" width="22" bestFit="1" customWidth="1"/>
    <col min="128" max="128" width="22.140625" bestFit="1" customWidth="1"/>
    <col min="129" max="129" width="9.7109375" bestFit="1" customWidth="1"/>
    <col min="130" max="130" width="22" bestFit="1" customWidth="1"/>
    <col min="131" max="131" width="26.28515625" style="101" bestFit="1" customWidth="1"/>
    <col min="132" max="132" width="9.7109375" style="101" bestFit="1" customWidth="1"/>
    <col min="133" max="133" width="22" style="101" bestFit="1" customWidth="1"/>
    <col min="134" max="134" width="22.140625" bestFit="1" customWidth="1"/>
    <col min="135" max="135" width="9.7109375" style="101" bestFit="1" customWidth="1"/>
    <col min="136" max="136" width="22" bestFit="1" customWidth="1"/>
    <col min="137" max="137" width="22.140625" bestFit="1" customWidth="1"/>
    <col min="138" max="138" width="9.7109375" bestFit="1" customWidth="1"/>
    <col min="139" max="139" width="22" bestFit="1" customWidth="1"/>
    <col min="140" max="140" width="22.140625" style="101" bestFit="1" customWidth="1"/>
    <col min="141" max="141" width="9.7109375" bestFit="1" customWidth="1"/>
    <col min="142" max="142" width="22" bestFit="1" customWidth="1"/>
    <col min="143" max="143" width="22.140625" bestFit="1" customWidth="1"/>
    <col min="144" max="144" width="9.7109375" bestFit="1" customWidth="1"/>
    <col min="145" max="145" width="22" bestFit="1" customWidth="1"/>
    <col min="146" max="146" width="22.140625" bestFit="1" customWidth="1"/>
    <col min="147" max="147" width="9.7109375" bestFit="1" customWidth="1"/>
    <col min="148" max="148" width="22" bestFit="1" customWidth="1"/>
    <col min="149" max="149" width="22.140625" bestFit="1" customWidth="1"/>
    <col min="150" max="150" width="9.7109375" bestFit="1" customWidth="1"/>
    <col min="151" max="151" width="22" bestFit="1" customWidth="1"/>
    <col min="152" max="152" width="22.140625" bestFit="1" customWidth="1"/>
    <col min="153" max="153" width="9.7109375" bestFit="1" customWidth="1"/>
    <col min="154" max="154" width="22" bestFit="1" customWidth="1"/>
    <col min="155" max="155" width="22.140625" bestFit="1" customWidth="1"/>
    <col min="156" max="156" width="9.7109375" bestFit="1" customWidth="1"/>
    <col min="157" max="157" width="22" bestFit="1" customWidth="1"/>
    <col min="158" max="158" width="22.140625" bestFit="1" customWidth="1"/>
    <col min="159" max="159" width="9.7109375" bestFit="1" customWidth="1"/>
    <col min="160" max="160" width="22" bestFit="1" customWidth="1"/>
    <col min="161" max="161" width="22.140625" bestFit="1" customWidth="1"/>
    <col min="162" max="162" width="9.7109375" bestFit="1" customWidth="1"/>
    <col min="163" max="163" width="22" bestFit="1" customWidth="1"/>
    <col min="164" max="164" width="22.140625" bestFit="1" customWidth="1"/>
    <col min="165" max="165" width="9.7109375" bestFit="1" customWidth="1"/>
    <col min="166" max="166" width="22" bestFit="1" customWidth="1"/>
    <col min="167" max="167" width="22.140625" bestFit="1" customWidth="1"/>
    <col min="168" max="168" width="9.7109375" bestFit="1" customWidth="1"/>
    <col min="169" max="169" width="22" bestFit="1" customWidth="1"/>
    <col min="170" max="170" width="22.140625" bestFit="1" customWidth="1"/>
    <col min="171" max="171" width="9.7109375" bestFit="1" customWidth="1"/>
    <col min="172" max="172" width="22" bestFit="1" customWidth="1"/>
    <col min="173" max="173" width="22.140625" bestFit="1" customWidth="1"/>
    <col min="174" max="174" width="9.7109375" bestFit="1" customWidth="1"/>
    <col min="175" max="175" width="22" bestFit="1" customWidth="1"/>
    <col min="176" max="176" width="22.140625" bestFit="1" customWidth="1"/>
    <col min="177" max="177" width="9.7109375" bestFit="1" customWidth="1"/>
    <col min="178" max="178" width="22" bestFit="1" customWidth="1"/>
    <col min="179" max="179" width="25.7109375" bestFit="1" customWidth="1"/>
    <col min="180" max="180" width="9.7109375" bestFit="1" customWidth="1"/>
    <col min="181" max="181" width="22" bestFit="1" customWidth="1"/>
    <col min="182" max="182" width="22.140625" bestFit="1" customWidth="1"/>
    <col min="183" max="183" width="9.7109375" bestFit="1" customWidth="1"/>
    <col min="184" max="184" width="22" bestFit="1" customWidth="1"/>
    <col min="185" max="185" width="22.140625" bestFit="1" customWidth="1"/>
    <col min="186" max="186" width="9.7109375" bestFit="1" customWidth="1"/>
    <col min="187" max="187" width="22" bestFit="1" customWidth="1"/>
    <col min="188" max="188" width="22.140625" bestFit="1" customWidth="1"/>
    <col min="189" max="189" width="9.7109375" bestFit="1" customWidth="1"/>
    <col min="190" max="190" width="22" bestFit="1" customWidth="1"/>
    <col min="191" max="191" width="22.140625" bestFit="1" customWidth="1"/>
    <col min="192" max="192" width="9.7109375" bestFit="1" customWidth="1"/>
    <col min="193" max="193" width="22" bestFit="1" customWidth="1"/>
    <col min="194" max="194" width="22.140625" bestFit="1" customWidth="1"/>
    <col min="195" max="195" width="9.7109375" bestFit="1" customWidth="1"/>
    <col min="196" max="196" width="22" bestFit="1" customWidth="1"/>
    <col min="197" max="197" width="22.140625" bestFit="1" customWidth="1"/>
    <col min="198" max="198" width="9.7109375" bestFit="1" customWidth="1"/>
    <col min="199" max="199" width="22" bestFit="1" customWidth="1"/>
    <col min="200" max="200" width="22.140625" bestFit="1" customWidth="1"/>
    <col min="201" max="201" width="9.7109375" bestFit="1" customWidth="1"/>
    <col min="202" max="202" width="22" bestFit="1" customWidth="1"/>
    <col min="203" max="203" width="22.140625" bestFit="1" customWidth="1"/>
    <col min="204" max="204" width="9.7109375" bestFit="1" customWidth="1"/>
    <col min="205" max="205" width="22" bestFit="1" customWidth="1"/>
    <col min="206" max="206" width="24.5703125" bestFit="1" customWidth="1"/>
    <col min="207" max="207" width="9.7109375" bestFit="1" customWidth="1"/>
    <col min="208" max="208" width="22" bestFit="1" customWidth="1"/>
    <col min="209" max="209" width="22.140625" bestFit="1" customWidth="1"/>
    <col min="210" max="210" width="9.7109375" bestFit="1" customWidth="1"/>
    <col min="211" max="211" width="22" bestFit="1" customWidth="1"/>
    <col min="212" max="212" width="22.140625" bestFit="1" customWidth="1"/>
    <col min="213" max="213" width="9.7109375" bestFit="1" customWidth="1"/>
    <col min="214" max="214" width="22" bestFit="1" customWidth="1"/>
    <col min="215" max="215" width="25" bestFit="1" customWidth="1"/>
    <col min="216" max="216" width="9.7109375" bestFit="1" customWidth="1"/>
    <col min="217" max="217" width="22" bestFit="1" customWidth="1"/>
    <col min="218" max="218" width="22.140625" bestFit="1" customWidth="1"/>
    <col min="219" max="219" width="9.7109375" bestFit="1" customWidth="1"/>
    <col min="220" max="220" width="22" bestFit="1" customWidth="1"/>
    <col min="221" max="221" width="22.140625" bestFit="1" customWidth="1"/>
    <col min="222" max="222" width="9.7109375" bestFit="1" customWidth="1"/>
    <col min="223" max="223" width="22" bestFit="1" customWidth="1"/>
    <col min="224" max="224" width="22.140625" bestFit="1" customWidth="1"/>
    <col min="225" max="225" width="9.7109375" bestFit="1" customWidth="1"/>
    <col min="226" max="226" width="22" bestFit="1" customWidth="1"/>
    <col min="227" max="227" width="22.140625" bestFit="1" customWidth="1"/>
    <col min="228" max="228" width="9.7109375" bestFit="1" customWidth="1"/>
    <col min="229" max="229" width="22" bestFit="1" customWidth="1"/>
    <col min="230" max="230" width="22.140625" bestFit="1" customWidth="1"/>
    <col min="231" max="231" width="9.7109375" bestFit="1" customWidth="1"/>
    <col min="232" max="232" width="22" bestFit="1" customWidth="1"/>
    <col min="233" max="233" width="22.140625" bestFit="1" customWidth="1"/>
    <col min="234" max="234" width="9.7109375" bestFit="1" customWidth="1"/>
    <col min="235" max="235" width="22" bestFit="1" customWidth="1"/>
    <col min="236" max="236" width="22.140625" bestFit="1" customWidth="1"/>
    <col min="237" max="237" width="9.7109375" bestFit="1" customWidth="1"/>
    <col min="238" max="238" width="22" bestFit="1" customWidth="1"/>
    <col min="239" max="239" width="22.140625" bestFit="1" customWidth="1"/>
    <col min="240" max="240" width="9.7109375" bestFit="1" customWidth="1"/>
    <col min="241" max="241" width="22" bestFit="1" customWidth="1"/>
    <col min="242" max="242" width="22.140625" bestFit="1" customWidth="1"/>
    <col min="243" max="243" width="9.7109375" bestFit="1" customWidth="1"/>
    <col min="244" max="244" width="22" bestFit="1" customWidth="1"/>
    <col min="245" max="245" width="22.140625" bestFit="1" customWidth="1"/>
    <col min="246" max="246" width="9.7109375" bestFit="1" customWidth="1"/>
    <col min="247" max="247" width="22" bestFit="1" customWidth="1"/>
    <col min="248" max="248" width="22.140625" bestFit="1" customWidth="1"/>
    <col min="249" max="249" width="9.7109375" bestFit="1" customWidth="1"/>
    <col min="250" max="250" width="22" bestFit="1" customWidth="1"/>
    <col min="251" max="251" width="22.140625" bestFit="1" customWidth="1"/>
    <col min="252" max="252" width="9.7109375" bestFit="1" customWidth="1"/>
    <col min="253" max="253" width="22" bestFit="1" customWidth="1"/>
    <col min="254" max="254" width="22.140625" bestFit="1" customWidth="1"/>
    <col min="255" max="255" width="9.7109375" bestFit="1" customWidth="1"/>
    <col min="256" max="256" width="22" bestFit="1" customWidth="1"/>
    <col min="257" max="257" width="25" bestFit="1" customWidth="1"/>
    <col min="258" max="258" width="9.7109375" bestFit="1" customWidth="1"/>
    <col min="259" max="259" width="22" bestFit="1" customWidth="1"/>
    <col min="260" max="260" width="26.140625" bestFit="1" customWidth="1"/>
    <col min="261" max="261" width="9.7109375" bestFit="1" customWidth="1"/>
    <col min="262" max="262" width="22" bestFit="1" customWidth="1"/>
    <col min="263" max="263" width="31.42578125" bestFit="1" customWidth="1"/>
    <col min="264" max="264" width="9.7109375" bestFit="1" customWidth="1"/>
    <col min="265" max="265" width="22" bestFit="1" customWidth="1"/>
    <col min="266" max="266" width="22.140625" bestFit="1" customWidth="1"/>
    <col min="267" max="267" width="9.7109375" bestFit="1" customWidth="1"/>
    <col min="268" max="268" width="22" bestFit="1" customWidth="1"/>
    <col min="269" max="269" width="22.140625" bestFit="1" customWidth="1"/>
    <col min="270" max="270" width="9.7109375" bestFit="1" customWidth="1"/>
    <col min="271" max="271" width="22" bestFit="1" customWidth="1"/>
    <col min="272" max="272" width="22.140625" bestFit="1" customWidth="1"/>
    <col min="273" max="273" width="9.7109375" bestFit="1" customWidth="1"/>
    <col min="274" max="274" width="22" bestFit="1" customWidth="1"/>
    <col min="275" max="275" width="22.140625" bestFit="1" customWidth="1"/>
    <col min="276" max="276" width="9.7109375" bestFit="1" customWidth="1"/>
    <col min="277" max="277" width="22" bestFit="1" customWidth="1"/>
    <col min="278" max="278" width="22.140625" bestFit="1" customWidth="1"/>
    <col min="279" max="279" width="9.7109375" bestFit="1" customWidth="1"/>
    <col min="280" max="280" width="22" bestFit="1" customWidth="1"/>
    <col min="281" max="281" width="22.140625" bestFit="1" customWidth="1"/>
    <col min="282" max="282" width="9.7109375" bestFit="1" customWidth="1"/>
    <col min="283" max="283" width="22" bestFit="1" customWidth="1"/>
    <col min="284" max="284" width="22.140625" bestFit="1" customWidth="1"/>
    <col min="285" max="285" width="9.7109375" bestFit="1" customWidth="1"/>
    <col min="286" max="286" width="22" bestFit="1" customWidth="1"/>
    <col min="287" max="287" width="22.140625" bestFit="1" customWidth="1"/>
    <col min="288" max="288" width="9.7109375" bestFit="1" customWidth="1"/>
    <col min="289" max="289" width="22" bestFit="1" customWidth="1"/>
    <col min="290" max="290" width="22.140625" bestFit="1" customWidth="1"/>
    <col min="291" max="291" width="9.7109375" bestFit="1" customWidth="1"/>
    <col min="292" max="292" width="22" bestFit="1" customWidth="1"/>
    <col min="293" max="293" width="22.140625" bestFit="1" customWidth="1"/>
    <col min="294" max="294" width="9.7109375" bestFit="1" customWidth="1"/>
    <col min="295" max="295" width="22" bestFit="1" customWidth="1"/>
    <col min="296" max="296" width="22.140625" bestFit="1" customWidth="1"/>
    <col min="297" max="297" width="9.7109375" bestFit="1" customWidth="1"/>
    <col min="298" max="298" width="22" bestFit="1" customWidth="1"/>
    <col min="299" max="299" width="32" bestFit="1" customWidth="1"/>
    <col min="300" max="300" width="9.7109375" bestFit="1" customWidth="1"/>
    <col min="301" max="301" width="22" bestFit="1" customWidth="1"/>
    <col min="302" max="302" width="22.140625" bestFit="1" customWidth="1"/>
    <col min="303" max="303" width="9.7109375" bestFit="1" customWidth="1"/>
    <col min="304" max="304" width="22" bestFit="1" customWidth="1"/>
    <col min="305" max="305" width="22.140625" bestFit="1" customWidth="1"/>
    <col min="306" max="306" width="9.7109375" bestFit="1" customWidth="1"/>
    <col min="307" max="307" width="22" bestFit="1" customWidth="1"/>
    <col min="308" max="308" width="22.140625" bestFit="1" customWidth="1"/>
    <col min="309" max="309" width="9.7109375" bestFit="1" customWidth="1"/>
    <col min="310" max="310" width="22" bestFit="1" customWidth="1"/>
    <col min="311" max="311" width="24" bestFit="1" customWidth="1"/>
    <col min="312" max="312" width="9.7109375" bestFit="1" customWidth="1"/>
    <col min="313" max="313" width="22" bestFit="1" customWidth="1"/>
    <col min="314" max="314" width="22.140625" bestFit="1" customWidth="1"/>
    <col min="315" max="315" width="9.7109375" bestFit="1" customWidth="1"/>
    <col min="316" max="316" width="22" bestFit="1" customWidth="1"/>
    <col min="317" max="317" width="22.140625" bestFit="1" customWidth="1"/>
    <col min="318" max="318" width="9.7109375" bestFit="1" customWidth="1"/>
    <col min="319" max="319" width="22" bestFit="1" customWidth="1"/>
    <col min="320" max="320" width="22.140625" bestFit="1" customWidth="1"/>
    <col min="321" max="321" width="9.7109375" bestFit="1" customWidth="1"/>
    <col min="322" max="322" width="22" bestFit="1" customWidth="1"/>
    <col min="323" max="323" width="22.140625" bestFit="1" customWidth="1"/>
    <col min="324" max="324" width="9.7109375" bestFit="1" customWidth="1"/>
    <col min="325" max="325" width="22" bestFit="1" customWidth="1"/>
    <col min="326" max="326" width="23.42578125" bestFit="1" customWidth="1"/>
    <col min="327" max="327" width="9.7109375" bestFit="1" customWidth="1"/>
    <col min="328" max="328" width="22" bestFit="1" customWidth="1"/>
    <col min="329" max="329" width="26.5703125" bestFit="1" customWidth="1"/>
    <col min="330" max="330" width="9.7109375" bestFit="1" customWidth="1"/>
    <col min="331" max="331" width="22" bestFit="1" customWidth="1"/>
    <col min="332" max="332" width="25" bestFit="1" customWidth="1"/>
    <col min="333" max="333" width="9.7109375" bestFit="1" customWidth="1"/>
    <col min="334" max="334" width="22" bestFit="1" customWidth="1"/>
    <col min="335" max="335" width="24.7109375" bestFit="1" customWidth="1"/>
    <col min="336" max="336" width="9.7109375" bestFit="1" customWidth="1"/>
    <col min="337" max="337" width="22" bestFit="1" customWidth="1"/>
    <col min="338" max="338" width="22.140625" bestFit="1" customWidth="1"/>
    <col min="339" max="339" width="9.7109375" bestFit="1" customWidth="1"/>
    <col min="340" max="340" width="22" bestFit="1" customWidth="1"/>
    <col min="341" max="341" width="25.140625" bestFit="1" customWidth="1"/>
    <col min="342" max="342" width="9.7109375" bestFit="1" customWidth="1"/>
    <col min="343" max="343" width="22" bestFit="1" customWidth="1"/>
    <col min="344" max="344" width="22.140625" bestFit="1" customWidth="1"/>
    <col min="345" max="345" width="9.7109375" bestFit="1" customWidth="1"/>
    <col min="346" max="346" width="22" bestFit="1" customWidth="1"/>
    <col min="347" max="347" width="22.140625" bestFit="1" customWidth="1"/>
    <col min="348" max="348" width="9.7109375" bestFit="1" customWidth="1"/>
    <col min="349" max="349" width="22" bestFit="1" customWidth="1"/>
    <col min="350" max="350" width="25" bestFit="1" customWidth="1"/>
    <col min="351" max="351" width="9.7109375" bestFit="1" customWidth="1"/>
    <col min="352" max="352" width="22" bestFit="1" customWidth="1"/>
    <col min="353" max="353" width="22.140625" bestFit="1" customWidth="1"/>
    <col min="354" max="354" width="9.7109375" bestFit="1" customWidth="1"/>
    <col min="355" max="355" width="22" bestFit="1" customWidth="1"/>
    <col min="356" max="356" width="27.140625" bestFit="1" customWidth="1"/>
    <col min="357" max="357" width="14.7109375" bestFit="1" customWidth="1"/>
    <col min="358" max="358" width="27" bestFit="1" customWidth="1"/>
    <col min="359" max="417" width="31.140625" bestFit="1" customWidth="1"/>
    <col min="418" max="418" width="27.140625" bestFit="1" customWidth="1"/>
    <col min="419" max="419" width="14.7109375" customWidth="1"/>
    <col min="420" max="421" width="27" bestFit="1" customWidth="1"/>
  </cols>
  <sheetData>
    <row r="1" spans="1:421" x14ac:dyDescent="0.25">
      <c r="A1">
        <v>1</v>
      </c>
      <c r="B1">
        <f>A1+1</f>
        <v>2</v>
      </c>
      <c r="C1">
        <f t="shared" ref="C1:BN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si="0"/>
        <v>41</v>
      </c>
      <c r="AP1">
        <f t="shared" si="0"/>
        <v>42</v>
      </c>
      <c r="AQ1">
        <f t="shared" si="0"/>
        <v>43</v>
      </c>
      <c r="AR1">
        <f t="shared" si="0"/>
        <v>44</v>
      </c>
      <c r="AS1">
        <f t="shared" si="0"/>
        <v>45</v>
      </c>
      <c r="AT1">
        <f t="shared" si="0"/>
        <v>46</v>
      </c>
      <c r="AU1">
        <f t="shared" si="0"/>
        <v>47</v>
      </c>
      <c r="AV1">
        <f t="shared" si="0"/>
        <v>48</v>
      </c>
      <c r="AW1">
        <f t="shared" si="0"/>
        <v>49</v>
      </c>
      <c r="AX1">
        <f t="shared" si="0"/>
        <v>50</v>
      </c>
      <c r="AY1">
        <f t="shared" si="0"/>
        <v>51</v>
      </c>
      <c r="AZ1">
        <f t="shared" si="0"/>
        <v>52</v>
      </c>
      <c r="BA1">
        <f t="shared" si="0"/>
        <v>53</v>
      </c>
      <c r="BB1">
        <f t="shared" si="0"/>
        <v>54</v>
      </c>
      <c r="BC1">
        <f t="shared" si="0"/>
        <v>55</v>
      </c>
      <c r="BD1">
        <f t="shared" si="0"/>
        <v>56</v>
      </c>
      <c r="BE1">
        <f t="shared" si="0"/>
        <v>57</v>
      </c>
      <c r="BF1">
        <f t="shared" si="0"/>
        <v>58</v>
      </c>
      <c r="BG1">
        <f t="shared" si="0"/>
        <v>59</v>
      </c>
      <c r="BH1">
        <f t="shared" si="0"/>
        <v>60</v>
      </c>
      <c r="BI1">
        <f t="shared" si="0"/>
        <v>61</v>
      </c>
      <c r="BJ1">
        <f t="shared" si="0"/>
        <v>62</v>
      </c>
      <c r="BK1">
        <f t="shared" si="0"/>
        <v>63</v>
      </c>
      <c r="BL1">
        <f t="shared" si="0"/>
        <v>64</v>
      </c>
      <c r="BM1">
        <f t="shared" si="0"/>
        <v>65</v>
      </c>
      <c r="BN1">
        <f t="shared" si="0"/>
        <v>66</v>
      </c>
      <c r="BO1">
        <f t="shared" ref="BO1:DZ1" si="1">BN1+1</f>
        <v>67</v>
      </c>
      <c r="BP1">
        <f t="shared" si="1"/>
        <v>68</v>
      </c>
      <c r="BQ1">
        <f t="shared" si="1"/>
        <v>69</v>
      </c>
      <c r="BR1">
        <f t="shared" si="1"/>
        <v>70</v>
      </c>
      <c r="BS1">
        <f t="shared" si="1"/>
        <v>71</v>
      </c>
      <c r="BT1">
        <f t="shared" si="1"/>
        <v>72</v>
      </c>
      <c r="BU1">
        <f t="shared" si="1"/>
        <v>73</v>
      </c>
      <c r="BV1">
        <f t="shared" si="1"/>
        <v>74</v>
      </c>
      <c r="BW1">
        <f t="shared" si="1"/>
        <v>75</v>
      </c>
      <c r="BX1">
        <f t="shared" si="1"/>
        <v>76</v>
      </c>
      <c r="BY1">
        <f t="shared" si="1"/>
        <v>77</v>
      </c>
      <c r="BZ1">
        <f t="shared" si="1"/>
        <v>78</v>
      </c>
      <c r="CA1">
        <f t="shared" si="1"/>
        <v>79</v>
      </c>
      <c r="CB1">
        <f t="shared" si="1"/>
        <v>80</v>
      </c>
      <c r="CC1">
        <f t="shared" si="1"/>
        <v>81</v>
      </c>
      <c r="CD1">
        <f t="shared" si="1"/>
        <v>82</v>
      </c>
      <c r="CE1">
        <f t="shared" si="1"/>
        <v>83</v>
      </c>
      <c r="CF1">
        <f t="shared" si="1"/>
        <v>84</v>
      </c>
      <c r="CG1">
        <f t="shared" si="1"/>
        <v>85</v>
      </c>
      <c r="CH1">
        <f t="shared" si="1"/>
        <v>86</v>
      </c>
      <c r="CI1">
        <f t="shared" si="1"/>
        <v>87</v>
      </c>
      <c r="CJ1">
        <f t="shared" si="1"/>
        <v>88</v>
      </c>
      <c r="CK1">
        <f t="shared" si="1"/>
        <v>89</v>
      </c>
      <c r="CL1">
        <f t="shared" si="1"/>
        <v>90</v>
      </c>
      <c r="CM1">
        <f t="shared" si="1"/>
        <v>91</v>
      </c>
      <c r="CN1">
        <f t="shared" si="1"/>
        <v>92</v>
      </c>
      <c r="CO1">
        <f t="shared" si="1"/>
        <v>93</v>
      </c>
      <c r="CP1">
        <f t="shared" si="1"/>
        <v>94</v>
      </c>
      <c r="CQ1">
        <f t="shared" si="1"/>
        <v>95</v>
      </c>
      <c r="CR1">
        <f t="shared" si="1"/>
        <v>96</v>
      </c>
      <c r="CS1">
        <f t="shared" si="1"/>
        <v>97</v>
      </c>
      <c r="CT1">
        <f t="shared" si="1"/>
        <v>98</v>
      </c>
      <c r="CU1">
        <f t="shared" si="1"/>
        <v>99</v>
      </c>
      <c r="CV1">
        <f t="shared" si="1"/>
        <v>100</v>
      </c>
      <c r="CW1">
        <f t="shared" si="1"/>
        <v>101</v>
      </c>
      <c r="CX1">
        <f t="shared" si="1"/>
        <v>102</v>
      </c>
      <c r="CY1">
        <f t="shared" si="1"/>
        <v>103</v>
      </c>
      <c r="CZ1">
        <f t="shared" si="1"/>
        <v>104</v>
      </c>
      <c r="DA1">
        <f t="shared" si="1"/>
        <v>105</v>
      </c>
      <c r="DB1">
        <f t="shared" si="1"/>
        <v>106</v>
      </c>
      <c r="DC1">
        <f t="shared" si="1"/>
        <v>107</v>
      </c>
      <c r="DD1">
        <f t="shared" si="1"/>
        <v>108</v>
      </c>
      <c r="DE1">
        <f t="shared" si="1"/>
        <v>109</v>
      </c>
      <c r="DF1">
        <f t="shared" si="1"/>
        <v>110</v>
      </c>
      <c r="DG1">
        <f t="shared" si="1"/>
        <v>111</v>
      </c>
      <c r="DH1">
        <f t="shared" si="1"/>
        <v>112</v>
      </c>
      <c r="DI1">
        <f t="shared" si="1"/>
        <v>113</v>
      </c>
      <c r="DJ1">
        <f t="shared" si="1"/>
        <v>114</v>
      </c>
      <c r="DK1">
        <f t="shared" si="1"/>
        <v>115</v>
      </c>
      <c r="DL1">
        <f t="shared" si="1"/>
        <v>116</v>
      </c>
      <c r="DM1">
        <f t="shared" si="1"/>
        <v>117</v>
      </c>
      <c r="DN1">
        <f t="shared" si="1"/>
        <v>118</v>
      </c>
      <c r="DO1">
        <f t="shared" si="1"/>
        <v>119</v>
      </c>
      <c r="DP1">
        <f t="shared" si="1"/>
        <v>120</v>
      </c>
      <c r="DQ1">
        <f t="shared" si="1"/>
        <v>121</v>
      </c>
      <c r="DR1">
        <f t="shared" si="1"/>
        <v>122</v>
      </c>
      <c r="DS1">
        <f t="shared" si="1"/>
        <v>123</v>
      </c>
      <c r="DT1">
        <f t="shared" si="1"/>
        <v>124</v>
      </c>
      <c r="DU1">
        <f t="shared" si="1"/>
        <v>125</v>
      </c>
      <c r="DV1">
        <f t="shared" si="1"/>
        <v>126</v>
      </c>
      <c r="DW1">
        <f t="shared" si="1"/>
        <v>127</v>
      </c>
      <c r="DX1">
        <f t="shared" si="1"/>
        <v>128</v>
      </c>
      <c r="DY1">
        <f t="shared" si="1"/>
        <v>129</v>
      </c>
      <c r="DZ1">
        <f t="shared" si="1"/>
        <v>130</v>
      </c>
      <c r="EA1">
        <f t="shared" ref="EA1:GL1" si="2">DZ1+1</f>
        <v>131</v>
      </c>
      <c r="EB1">
        <f t="shared" si="2"/>
        <v>132</v>
      </c>
      <c r="EC1">
        <f t="shared" si="2"/>
        <v>133</v>
      </c>
      <c r="ED1">
        <f t="shared" si="2"/>
        <v>134</v>
      </c>
      <c r="EE1">
        <f t="shared" si="2"/>
        <v>135</v>
      </c>
      <c r="EF1">
        <f t="shared" si="2"/>
        <v>136</v>
      </c>
      <c r="EG1">
        <f t="shared" si="2"/>
        <v>137</v>
      </c>
      <c r="EH1">
        <f t="shared" si="2"/>
        <v>138</v>
      </c>
      <c r="EI1">
        <f t="shared" si="2"/>
        <v>139</v>
      </c>
      <c r="EJ1">
        <f t="shared" si="2"/>
        <v>140</v>
      </c>
      <c r="EK1">
        <f t="shared" si="2"/>
        <v>141</v>
      </c>
      <c r="EL1">
        <f t="shared" si="2"/>
        <v>142</v>
      </c>
      <c r="EM1">
        <f t="shared" si="2"/>
        <v>143</v>
      </c>
      <c r="EN1">
        <f t="shared" si="2"/>
        <v>144</v>
      </c>
      <c r="EO1">
        <f t="shared" si="2"/>
        <v>145</v>
      </c>
      <c r="EP1">
        <f t="shared" si="2"/>
        <v>146</v>
      </c>
      <c r="EQ1">
        <f t="shared" si="2"/>
        <v>147</v>
      </c>
      <c r="ER1">
        <f t="shared" si="2"/>
        <v>148</v>
      </c>
      <c r="ES1">
        <f t="shared" si="2"/>
        <v>149</v>
      </c>
      <c r="ET1">
        <f t="shared" si="2"/>
        <v>150</v>
      </c>
      <c r="EU1">
        <f t="shared" si="2"/>
        <v>151</v>
      </c>
      <c r="EV1">
        <f t="shared" si="2"/>
        <v>152</v>
      </c>
      <c r="EW1">
        <f t="shared" si="2"/>
        <v>153</v>
      </c>
      <c r="EX1">
        <f t="shared" si="2"/>
        <v>154</v>
      </c>
      <c r="EY1">
        <f t="shared" si="2"/>
        <v>155</v>
      </c>
      <c r="EZ1">
        <f t="shared" si="2"/>
        <v>156</v>
      </c>
      <c r="FA1">
        <f t="shared" si="2"/>
        <v>157</v>
      </c>
      <c r="FB1">
        <f t="shared" si="2"/>
        <v>158</v>
      </c>
      <c r="FC1">
        <f t="shared" si="2"/>
        <v>159</v>
      </c>
      <c r="FD1">
        <f t="shared" si="2"/>
        <v>160</v>
      </c>
      <c r="FE1">
        <f t="shared" si="2"/>
        <v>161</v>
      </c>
      <c r="FF1">
        <f t="shared" si="2"/>
        <v>162</v>
      </c>
      <c r="FG1">
        <f t="shared" si="2"/>
        <v>163</v>
      </c>
      <c r="FH1">
        <f t="shared" si="2"/>
        <v>164</v>
      </c>
      <c r="FI1">
        <f t="shared" si="2"/>
        <v>165</v>
      </c>
      <c r="FJ1">
        <f t="shared" si="2"/>
        <v>166</v>
      </c>
      <c r="FK1">
        <f t="shared" si="2"/>
        <v>167</v>
      </c>
      <c r="FL1">
        <f t="shared" si="2"/>
        <v>168</v>
      </c>
      <c r="FM1">
        <f t="shared" si="2"/>
        <v>169</v>
      </c>
      <c r="FN1">
        <f t="shared" si="2"/>
        <v>170</v>
      </c>
      <c r="FO1">
        <f t="shared" si="2"/>
        <v>171</v>
      </c>
      <c r="FP1">
        <f t="shared" si="2"/>
        <v>172</v>
      </c>
      <c r="FQ1">
        <f t="shared" si="2"/>
        <v>173</v>
      </c>
      <c r="FR1">
        <f t="shared" si="2"/>
        <v>174</v>
      </c>
      <c r="FS1">
        <f t="shared" si="2"/>
        <v>175</v>
      </c>
      <c r="FT1">
        <f t="shared" si="2"/>
        <v>176</v>
      </c>
      <c r="FU1">
        <f t="shared" si="2"/>
        <v>177</v>
      </c>
      <c r="FV1">
        <f t="shared" si="2"/>
        <v>178</v>
      </c>
      <c r="FW1">
        <f t="shared" si="2"/>
        <v>179</v>
      </c>
      <c r="FX1">
        <f t="shared" si="2"/>
        <v>180</v>
      </c>
      <c r="FY1">
        <f t="shared" si="2"/>
        <v>181</v>
      </c>
      <c r="FZ1">
        <f t="shared" si="2"/>
        <v>182</v>
      </c>
      <c r="GA1">
        <f t="shared" si="2"/>
        <v>183</v>
      </c>
      <c r="GB1">
        <f t="shared" si="2"/>
        <v>184</v>
      </c>
      <c r="GC1">
        <f t="shared" si="2"/>
        <v>185</v>
      </c>
      <c r="GD1">
        <f t="shared" si="2"/>
        <v>186</v>
      </c>
      <c r="GE1">
        <f t="shared" si="2"/>
        <v>187</v>
      </c>
      <c r="GF1">
        <f t="shared" si="2"/>
        <v>188</v>
      </c>
      <c r="GG1">
        <f t="shared" si="2"/>
        <v>189</v>
      </c>
      <c r="GH1">
        <f t="shared" si="2"/>
        <v>190</v>
      </c>
      <c r="GI1">
        <f t="shared" si="2"/>
        <v>191</v>
      </c>
      <c r="GJ1">
        <f t="shared" si="2"/>
        <v>192</v>
      </c>
      <c r="GK1">
        <f t="shared" si="2"/>
        <v>193</v>
      </c>
      <c r="GL1">
        <f t="shared" si="2"/>
        <v>194</v>
      </c>
      <c r="GM1">
        <f t="shared" ref="GM1:IX1" si="3">GL1+1</f>
        <v>195</v>
      </c>
      <c r="GN1">
        <f t="shared" si="3"/>
        <v>196</v>
      </c>
      <c r="GO1">
        <f t="shared" si="3"/>
        <v>197</v>
      </c>
      <c r="GP1">
        <f t="shared" si="3"/>
        <v>198</v>
      </c>
      <c r="GQ1">
        <f t="shared" si="3"/>
        <v>199</v>
      </c>
      <c r="GR1">
        <f t="shared" si="3"/>
        <v>200</v>
      </c>
      <c r="GS1">
        <f t="shared" si="3"/>
        <v>201</v>
      </c>
      <c r="GT1">
        <f t="shared" si="3"/>
        <v>202</v>
      </c>
      <c r="GU1">
        <f t="shared" si="3"/>
        <v>203</v>
      </c>
      <c r="GV1">
        <f t="shared" si="3"/>
        <v>204</v>
      </c>
      <c r="GW1">
        <f t="shared" si="3"/>
        <v>205</v>
      </c>
      <c r="GX1">
        <f t="shared" si="3"/>
        <v>206</v>
      </c>
      <c r="GY1">
        <f t="shared" si="3"/>
        <v>207</v>
      </c>
      <c r="GZ1">
        <f t="shared" si="3"/>
        <v>208</v>
      </c>
      <c r="HA1">
        <f t="shared" si="3"/>
        <v>209</v>
      </c>
      <c r="HB1">
        <f t="shared" si="3"/>
        <v>210</v>
      </c>
      <c r="HC1">
        <f t="shared" si="3"/>
        <v>211</v>
      </c>
      <c r="HD1">
        <f t="shared" si="3"/>
        <v>212</v>
      </c>
      <c r="HE1">
        <f t="shared" si="3"/>
        <v>213</v>
      </c>
      <c r="HF1">
        <f t="shared" si="3"/>
        <v>214</v>
      </c>
      <c r="HG1">
        <f t="shared" si="3"/>
        <v>215</v>
      </c>
      <c r="HH1">
        <f t="shared" si="3"/>
        <v>216</v>
      </c>
      <c r="HI1">
        <f t="shared" si="3"/>
        <v>217</v>
      </c>
      <c r="HJ1">
        <f t="shared" si="3"/>
        <v>218</v>
      </c>
      <c r="HK1">
        <f t="shared" si="3"/>
        <v>219</v>
      </c>
      <c r="HL1">
        <f t="shared" si="3"/>
        <v>220</v>
      </c>
      <c r="HM1">
        <f t="shared" si="3"/>
        <v>221</v>
      </c>
      <c r="HN1">
        <f t="shared" si="3"/>
        <v>222</v>
      </c>
      <c r="HO1">
        <f t="shared" si="3"/>
        <v>223</v>
      </c>
      <c r="HP1">
        <f t="shared" si="3"/>
        <v>224</v>
      </c>
      <c r="HQ1">
        <f t="shared" si="3"/>
        <v>225</v>
      </c>
      <c r="HR1">
        <f t="shared" si="3"/>
        <v>226</v>
      </c>
      <c r="HS1">
        <f t="shared" si="3"/>
        <v>227</v>
      </c>
      <c r="HT1">
        <f t="shared" si="3"/>
        <v>228</v>
      </c>
      <c r="HU1">
        <f t="shared" si="3"/>
        <v>229</v>
      </c>
      <c r="HV1">
        <f t="shared" si="3"/>
        <v>230</v>
      </c>
      <c r="HW1">
        <f t="shared" si="3"/>
        <v>231</v>
      </c>
      <c r="HX1">
        <f t="shared" si="3"/>
        <v>232</v>
      </c>
      <c r="HY1">
        <f t="shared" si="3"/>
        <v>233</v>
      </c>
      <c r="HZ1">
        <f t="shared" si="3"/>
        <v>234</v>
      </c>
      <c r="IA1">
        <f t="shared" si="3"/>
        <v>235</v>
      </c>
      <c r="IB1">
        <f t="shared" si="3"/>
        <v>236</v>
      </c>
      <c r="IC1">
        <f t="shared" si="3"/>
        <v>237</v>
      </c>
      <c r="ID1">
        <f t="shared" si="3"/>
        <v>238</v>
      </c>
      <c r="IE1">
        <f t="shared" si="3"/>
        <v>239</v>
      </c>
      <c r="IF1">
        <f t="shared" si="3"/>
        <v>240</v>
      </c>
      <c r="IG1">
        <f t="shared" si="3"/>
        <v>241</v>
      </c>
      <c r="IH1">
        <f t="shared" si="3"/>
        <v>242</v>
      </c>
      <c r="II1">
        <f t="shared" si="3"/>
        <v>243</v>
      </c>
      <c r="IJ1">
        <f t="shared" si="3"/>
        <v>244</v>
      </c>
      <c r="IK1">
        <f t="shared" si="3"/>
        <v>245</v>
      </c>
      <c r="IL1">
        <f t="shared" si="3"/>
        <v>246</v>
      </c>
      <c r="IM1">
        <f t="shared" si="3"/>
        <v>247</v>
      </c>
      <c r="IN1">
        <f t="shared" si="3"/>
        <v>248</v>
      </c>
      <c r="IO1">
        <f t="shared" si="3"/>
        <v>249</v>
      </c>
      <c r="IP1">
        <f t="shared" si="3"/>
        <v>250</v>
      </c>
      <c r="IQ1">
        <f t="shared" si="3"/>
        <v>251</v>
      </c>
      <c r="IR1">
        <f t="shared" si="3"/>
        <v>252</v>
      </c>
      <c r="IS1">
        <f t="shared" si="3"/>
        <v>253</v>
      </c>
      <c r="IT1">
        <f t="shared" si="3"/>
        <v>254</v>
      </c>
      <c r="IU1">
        <f t="shared" si="3"/>
        <v>255</v>
      </c>
      <c r="IV1">
        <f t="shared" si="3"/>
        <v>256</v>
      </c>
      <c r="IW1">
        <f t="shared" si="3"/>
        <v>257</v>
      </c>
      <c r="IX1">
        <f t="shared" si="3"/>
        <v>258</v>
      </c>
      <c r="IY1">
        <f t="shared" ref="IY1:LJ1" si="4">IX1+1</f>
        <v>259</v>
      </c>
      <c r="IZ1">
        <f t="shared" si="4"/>
        <v>260</v>
      </c>
      <c r="JA1">
        <f t="shared" si="4"/>
        <v>261</v>
      </c>
      <c r="JB1">
        <f t="shared" si="4"/>
        <v>262</v>
      </c>
      <c r="JC1">
        <f t="shared" si="4"/>
        <v>263</v>
      </c>
      <c r="JD1">
        <f t="shared" si="4"/>
        <v>264</v>
      </c>
      <c r="JE1">
        <f t="shared" si="4"/>
        <v>265</v>
      </c>
      <c r="JF1">
        <f t="shared" si="4"/>
        <v>266</v>
      </c>
      <c r="JG1">
        <f t="shared" si="4"/>
        <v>267</v>
      </c>
      <c r="JH1">
        <f t="shared" si="4"/>
        <v>268</v>
      </c>
      <c r="JI1">
        <f t="shared" si="4"/>
        <v>269</v>
      </c>
      <c r="JJ1">
        <f t="shared" si="4"/>
        <v>270</v>
      </c>
      <c r="JK1">
        <f t="shared" si="4"/>
        <v>271</v>
      </c>
      <c r="JL1">
        <f t="shared" si="4"/>
        <v>272</v>
      </c>
      <c r="JM1">
        <f t="shared" si="4"/>
        <v>273</v>
      </c>
      <c r="JN1">
        <f t="shared" si="4"/>
        <v>274</v>
      </c>
      <c r="JO1">
        <f t="shared" si="4"/>
        <v>275</v>
      </c>
      <c r="JP1">
        <f t="shared" si="4"/>
        <v>276</v>
      </c>
      <c r="JQ1">
        <f t="shared" si="4"/>
        <v>277</v>
      </c>
      <c r="JR1">
        <f t="shared" si="4"/>
        <v>278</v>
      </c>
      <c r="JS1">
        <f t="shared" si="4"/>
        <v>279</v>
      </c>
      <c r="JT1">
        <f t="shared" si="4"/>
        <v>280</v>
      </c>
      <c r="JU1">
        <f t="shared" si="4"/>
        <v>281</v>
      </c>
      <c r="JV1">
        <f t="shared" si="4"/>
        <v>282</v>
      </c>
      <c r="JW1">
        <f t="shared" si="4"/>
        <v>283</v>
      </c>
      <c r="JX1">
        <f t="shared" si="4"/>
        <v>284</v>
      </c>
      <c r="JY1">
        <f t="shared" si="4"/>
        <v>285</v>
      </c>
      <c r="JZ1">
        <f t="shared" si="4"/>
        <v>286</v>
      </c>
      <c r="KA1">
        <f t="shared" si="4"/>
        <v>287</v>
      </c>
      <c r="KB1">
        <f t="shared" si="4"/>
        <v>288</v>
      </c>
      <c r="KC1">
        <f t="shared" si="4"/>
        <v>289</v>
      </c>
      <c r="KD1">
        <f t="shared" si="4"/>
        <v>290</v>
      </c>
      <c r="KE1">
        <f t="shared" si="4"/>
        <v>291</v>
      </c>
      <c r="KF1">
        <f t="shared" si="4"/>
        <v>292</v>
      </c>
      <c r="KG1">
        <f t="shared" si="4"/>
        <v>293</v>
      </c>
      <c r="KH1">
        <f t="shared" si="4"/>
        <v>294</v>
      </c>
      <c r="KI1">
        <f t="shared" si="4"/>
        <v>295</v>
      </c>
      <c r="KJ1">
        <f t="shared" si="4"/>
        <v>296</v>
      </c>
      <c r="KK1">
        <f t="shared" si="4"/>
        <v>297</v>
      </c>
      <c r="KL1">
        <f t="shared" si="4"/>
        <v>298</v>
      </c>
      <c r="KM1">
        <f t="shared" si="4"/>
        <v>299</v>
      </c>
      <c r="KN1">
        <f t="shared" si="4"/>
        <v>300</v>
      </c>
      <c r="KO1">
        <f t="shared" si="4"/>
        <v>301</v>
      </c>
      <c r="KP1">
        <f t="shared" si="4"/>
        <v>302</v>
      </c>
      <c r="KQ1">
        <f t="shared" si="4"/>
        <v>303</v>
      </c>
      <c r="KR1">
        <f t="shared" si="4"/>
        <v>304</v>
      </c>
      <c r="KS1">
        <f t="shared" si="4"/>
        <v>305</v>
      </c>
      <c r="KT1">
        <f t="shared" si="4"/>
        <v>306</v>
      </c>
      <c r="KU1">
        <f t="shared" si="4"/>
        <v>307</v>
      </c>
      <c r="KV1">
        <f t="shared" si="4"/>
        <v>308</v>
      </c>
      <c r="KW1">
        <f t="shared" si="4"/>
        <v>309</v>
      </c>
      <c r="KX1">
        <f t="shared" si="4"/>
        <v>310</v>
      </c>
      <c r="KY1">
        <f t="shared" si="4"/>
        <v>311</v>
      </c>
      <c r="KZ1">
        <f t="shared" si="4"/>
        <v>312</v>
      </c>
      <c r="LA1">
        <f t="shared" si="4"/>
        <v>313</v>
      </c>
      <c r="LB1">
        <f t="shared" si="4"/>
        <v>314</v>
      </c>
      <c r="LC1">
        <f t="shared" si="4"/>
        <v>315</v>
      </c>
      <c r="LD1">
        <f t="shared" si="4"/>
        <v>316</v>
      </c>
      <c r="LE1">
        <f t="shared" si="4"/>
        <v>317</v>
      </c>
      <c r="LF1">
        <f t="shared" si="4"/>
        <v>318</v>
      </c>
      <c r="LG1">
        <f t="shared" si="4"/>
        <v>319</v>
      </c>
      <c r="LH1">
        <f t="shared" si="4"/>
        <v>320</v>
      </c>
      <c r="LI1">
        <f t="shared" si="4"/>
        <v>321</v>
      </c>
      <c r="LJ1">
        <f t="shared" si="4"/>
        <v>322</v>
      </c>
      <c r="LK1">
        <f t="shared" ref="LK1:MT1" si="5">LJ1+1</f>
        <v>323</v>
      </c>
      <c r="LL1">
        <f t="shared" si="5"/>
        <v>324</v>
      </c>
      <c r="LM1">
        <f t="shared" si="5"/>
        <v>325</v>
      </c>
      <c r="LN1">
        <f t="shared" si="5"/>
        <v>326</v>
      </c>
      <c r="LO1">
        <f t="shared" si="5"/>
        <v>327</v>
      </c>
      <c r="LP1">
        <f t="shared" si="5"/>
        <v>328</v>
      </c>
      <c r="LQ1">
        <f t="shared" si="5"/>
        <v>329</v>
      </c>
      <c r="LR1">
        <f t="shared" si="5"/>
        <v>330</v>
      </c>
      <c r="LS1">
        <f t="shared" si="5"/>
        <v>331</v>
      </c>
      <c r="LT1">
        <f t="shared" si="5"/>
        <v>332</v>
      </c>
      <c r="LU1">
        <f t="shared" si="5"/>
        <v>333</v>
      </c>
      <c r="LV1">
        <f t="shared" si="5"/>
        <v>334</v>
      </c>
      <c r="LW1">
        <f t="shared" si="5"/>
        <v>335</v>
      </c>
      <c r="LX1">
        <f t="shared" si="5"/>
        <v>336</v>
      </c>
      <c r="LY1">
        <f t="shared" si="5"/>
        <v>337</v>
      </c>
      <c r="LZ1">
        <f t="shared" si="5"/>
        <v>338</v>
      </c>
      <c r="MA1">
        <f t="shared" si="5"/>
        <v>339</v>
      </c>
      <c r="MB1">
        <f t="shared" si="5"/>
        <v>340</v>
      </c>
      <c r="MC1">
        <f t="shared" si="5"/>
        <v>341</v>
      </c>
      <c r="MD1">
        <f t="shared" si="5"/>
        <v>342</v>
      </c>
      <c r="ME1">
        <f t="shared" si="5"/>
        <v>343</v>
      </c>
      <c r="MF1">
        <f t="shared" si="5"/>
        <v>344</v>
      </c>
      <c r="MG1">
        <f t="shared" si="5"/>
        <v>345</v>
      </c>
      <c r="MH1">
        <f t="shared" si="5"/>
        <v>346</v>
      </c>
      <c r="MI1">
        <f t="shared" si="5"/>
        <v>347</v>
      </c>
      <c r="MJ1">
        <f t="shared" si="5"/>
        <v>348</v>
      </c>
      <c r="MK1">
        <f t="shared" si="5"/>
        <v>349</v>
      </c>
      <c r="ML1">
        <f t="shared" si="5"/>
        <v>350</v>
      </c>
      <c r="MM1">
        <f t="shared" si="5"/>
        <v>351</v>
      </c>
      <c r="MN1">
        <f t="shared" si="5"/>
        <v>352</v>
      </c>
      <c r="MO1">
        <f t="shared" si="5"/>
        <v>353</v>
      </c>
      <c r="MP1">
        <f t="shared" si="5"/>
        <v>354</v>
      </c>
      <c r="MQ1">
        <f t="shared" si="5"/>
        <v>355</v>
      </c>
      <c r="MR1">
        <f t="shared" si="5"/>
        <v>356</v>
      </c>
      <c r="MS1">
        <f t="shared" si="5"/>
        <v>357</v>
      </c>
      <c r="MT1">
        <f t="shared" si="5"/>
        <v>358</v>
      </c>
    </row>
    <row r="2" spans="1:421" x14ac:dyDescent="0.25">
      <c r="G2"/>
      <c r="X2"/>
      <c r="BB2"/>
      <c r="BK2"/>
      <c r="CM2"/>
      <c r="DO2"/>
      <c r="DP2"/>
      <c r="DQ2"/>
      <c r="DR2"/>
      <c r="DS2"/>
      <c r="DT2"/>
      <c r="DV2"/>
      <c r="EA2"/>
      <c r="EB2"/>
      <c r="EC2"/>
      <c r="EE2"/>
      <c r="EJ2"/>
    </row>
    <row r="3" spans="1:421" x14ac:dyDescent="0.25">
      <c r="B3" s="2" t="s">
        <v>2327</v>
      </c>
      <c r="G3"/>
      <c r="H3" s="83"/>
      <c r="X3"/>
      <c r="Y3" s="83"/>
      <c r="BB3"/>
      <c r="BC3" s="101"/>
      <c r="BK3"/>
      <c r="BL3" s="101"/>
      <c r="CM3"/>
      <c r="DO3"/>
      <c r="DU3" s="101"/>
      <c r="DV3"/>
      <c r="DW3" s="101"/>
      <c r="EA3"/>
      <c r="ED3" s="101"/>
      <c r="EE3"/>
      <c r="EF3" s="101"/>
      <c r="EJ3"/>
      <c r="EK3" s="101"/>
    </row>
    <row r="4" spans="1:421" x14ac:dyDescent="0.25">
      <c r="B4" t="s">
        <v>2144</v>
      </c>
      <c r="E4" t="s">
        <v>2143</v>
      </c>
      <c r="G4"/>
      <c r="H4" t="s">
        <v>2137</v>
      </c>
      <c r="K4" t="s">
        <v>2154</v>
      </c>
      <c r="N4" t="s">
        <v>2237</v>
      </c>
      <c r="Q4" t="s">
        <v>2180</v>
      </c>
      <c r="T4" t="s">
        <v>2134</v>
      </c>
      <c r="W4" t="s">
        <v>2136</v>
      </c>
      <c r="X4"/>
      <c r="Z4" t="s">
        <v>2160</v>
      </c>
      <c r="AC4" t="s">
        <v>2140</v>
      </c>
      <c r="AF4" t="s">
        <v>2181</v>
      </c>
      <c r="AI4" t="s">
        <v>2141</v>
      </c>
      <c r="AL4" t="s">
        <v>2176</v>
      </c>
      <c r="AO4" t="s">
        <v>2183</v>
      </c>
      <c r="AR4" t="s">
        <v>2185</v>
      </c>
      <c r="AU4" t="s">
        <v>2147</v>
      </c>
      <c r="AX4" t="s">
        <v>2158</v>
      </c>
      <c r="BA4" t="s">
        <v>2179</v>
      </c>
      <c r="BB4"/>
      <c r="BD4" t="s">
        <v>2138</v>
      </c>
      <c r="BG4" t="s">
        <v>2219</v>
      </c>
      <c r="BJ4" t="s">
        <v>2162</v>
      </c>
      <c r="BK4"/>
      <c r="BM4" t="s">
        <v>2184</v>
      </c>
      <c r="BP4" t="s">
        <v>2139</v>
      </c>
      <c r="BS4" t="s">
        <v>2142</v>
      </c>
      <c r="BV4" t="s">
        <v>2208</v>
      </c>
      <c r="BY4" t="s">
        <v>2238</v>
      </c>
      <c r="CB4" t="s">
        <v>2170</v>
      </c>
      <c r="CE4" t="s">
        <v>2155</v>
      </c>
      <c r="CH4" t="s">
        <v>2157</v>
      </c>
      <c r="CK4" t="s">
        <v>2161</v>
      </c>
      <c r="CM4"/>
      <c r="CN4" t="s">
        <v>2159</v>
      </c>
      <c r="CQ4" t="s">
        <v>2234</v>
      </c>
      <c r="CT4" t="s">
        <v>2171</v>
      </c>
      <c r="CW4" t="s">
        <v>2182</v>
      </c>
      <c r="CZ4" t="s">
        <v>2172</v>
      </c>
      <c r="DC4" t="s">
        <v>2145</v>
      </c>
      <c r="DF4" t="s">
        <v>2177</v>
      </c>
      <c r="DI4" t="s">
        <v>2178</v>
      </c>
      <c r="DL4" t="s">
        <v>2215</v>
      </c>
      <c r="DO4" t="s">
        <v>2240</v>
      </c>
      <c r="DP4"/>
      <c r="DQ4"/>
      <c r="DR4" t="s">
        <v>2192</v>
      </c>
      <c r="DS4"/>
      <c r="DT4"/>
      <c r="DU4" t="s">
        <v>2135</v>
      </c>
      <c r="DV4"/>
      <c r="DX4" t="s">
        <v>2173</v>
      </c>
      <c r="EA4" t="s">
        <v>2206</v>
      </c>
      <c r="EB4"/>
      <c r="EC4"/>
      <c r="ED4" t="s">
        <v>2151</v>
      </c>
      <c r="EE4"/>
      <c r="EG4" t="s">
        <v>2220</v>
      </c>
      <c r="EJ4" t="s">
        <v>2235</v>
      </c>
      <c r="EM4" t="s">
        <v>2175</v>
      </c>
      <c r="EP4" t="s">
        <v>2207</v>
      </c>
      <c r="ES4" t="s">
        <v>2236</v>
      </c>
      <c r="EV4" t="s">
        <v>2193</v>
      </c>
      <c r="EY4" t="s">
        <v>2216</v>
      </c>
      <c r="FB4" t="s">
        <v>2230</v>
      </c>
      <c r="FE4" t="s">
        <v>714</v>
      </c>
      <c r="FH4" t="s">
        <v>1577</v>
      </c>
      <c r="FK4" t="s">
        <v>2156</v>
      </c>
      <c r="FN4" t="s">
        <v>2229</v>
      </c>
      <c r="FQ4" t="s">
        <v>2231</v>
      </c>
      <c r="FT4" t="s">
        <v>2218</v>
      </c>
      <c r="FW4" t="s">
        <v>2241</v>
      </c>
      <c r="FZ4" t="s">
        <v>1934</v>
      </c>
      <c r="GC4" t="s">
        <v>1722</v>
      </c>
      <c r="GF4" t="s">
        <v>2239</v>
      </c>
      <c r="GI4" t="s">
        <v>2149</v>
      </c>
      <c r="GL4" t="s">
        <v>2210</v>
      </c>
      <c r="GO4" t="s">
        <v>2153</v>
      </c>
      <c r="GR4" t="s">
        <v>2212</v>
      </c>
      <c r="GU4" t="s">
        <v>2174</v>
      </c>
      <c r="GX4" t="s">
        <v>2233</v>
      </c>
      <c r="HA4" t="s">
        <v>2199</v>
      </c>
      <c r="HD4" t="s">
        <v>2198</v>
      </c>
      <c r="HG4" t="s">
        <v>2200</v>
      </c>
      <c r="HJ4" t="s">
        <v>2213</v>
      </c>
      <c r="HM4" t="s">
        <v>2197</v>
      </c>
      <c r="HP4" t="s">
        <v>2211</v>
      </c>
      <c r="HS4" t="s">
        <v>2201</v>
      </c>
      <c r="HV4" t="s">
        <v>2203</v>
      </c>
      <c r="HY4" t="s">
        <v>2202</v>
      </c>
      <c r="IB4" t="s">
        <v>2204</v>
      </c>
      <c r="IE4" t="s">
        <v>2196</v>
      </c>
      <c r="IH4" t="s">
        <v>2205</v>
      </c>
      <c r="IK4" t="s">
        <v>2152</v>
      </c>
      <c r="IN4" t="s">
        <v>2222</v>
      </c>
      <c r="IQ4" t="s">
        <v>2191</v>
      </c>
      <c r="IT4" t="s">
        <v>2195</v>
      </c>
      <c r="IW4" t="s">
        <v>2223</v>
      </c>
      <c r="IZ4" t="s">
        <v>2224</v>
      </c>
      <c r="JC4" t="s">
        <v>2225</v>
      </c>
      <c r="JF4" t="s">
        <v>2167</v>
      </c>
      <c r="JI4" t="s">
        <v>2164</v>
      </c>
      <c r="JL4" t="s">
        <v>2165</v>
      </c>
      <c r="JO4" t="s">
        <v>2148</v>
      </c>
      <c r="JR4" t="s">
        <v>2166</v>
      </c>
      <c r="JU4" t="s">
        <v>2169</v>
      </c>
      <c r="JX4" t="s">
        <v>2168</v>
      </c>
      <c r="KA4" t="s">
        <v>2232</v>
      </c>
      <c r="KD4" t="s">
        <v>2194</v>
      </c>
      <c r="KG4" t="s">
        <v>2214</v>
      </c>
      <c r="KJ4" t="s">
        <v>2228</v>
      </c>
      <c r="KM4" t="s">
        <v>2221</v>
      </c>
      <c r="KP4" t="s">
        <v>1919</v>
      </c>
      <c r="KS4" t="s">
        <v>1580</v>
      </c>
      <c r="KV4" t="s">
        <v>2217</v>
      </c>
      <c r="KY4" t="s">
        <v>2227</v>
      </c>
      <c r="LB4" t="s">
        <v>2226</v>
      </c>
      <c r="LE4" t="s">
        <v>2146</v>
      </c>
      <c r="LH4" t="s">
        <v>2209</v>
      </c>
      <c r="LK4" t="s">
        <v>1867</v>
      </c>
      <c r="LN4" t="s">
        <v>1725</v>
      </c>
      <c r="LQ4" t="s">
        <v>1531</v>
      </c>
      <c r="LT4" t="s">
        <v>2186</v>
      </c>
      <c r="LW4" t="s">
        <v>2188</v>
      </c>
      <c r="LZ4" t="s">
        <v>2150</v>
      </c>
      <c r="MC4" t="s">
        <v>2187</v>
      </c>
      <c r="MF4" t="s">
        <v>2190</v>
      </c>
      <c r="MI4" t="s">
        <v>2163</v>
      </c>
      <c r="ML4" t="s">
        <v>2189</v>
      </c>
      <c r="MO4" t="s">
        <v>2273</v>
      </c>
      <c r="MR4" t="s">
        <v>2328</v>
      </c>
      <c r="MS4" t="s">
        <v>2329</v>
      </c>
      <c r="MT4" t="s">
        <v>2330</v>
      </c>
    </row>
    <row r="5" spans="1:421" x14ac:dyDescent="0.25">
      <c r="A5" s="2" t="s">
        <v>2132</v>
      </c>
      <c r="B5" t="s">
        <v>2258</v>
      </c>
      <c r="C5" t="s">
        <v>2302</v>
      </c>
      <c r="D5" t="s">
        <v>2256</v>
      </c>
      <c r="E5" t="s">
        <v>2258</v>
      </c>
      <c r="F5" t="s">
        <v>2302</v>
      </c>
      <c r="G5" t="s">
        <v>2256</v>
      </c>
      <c r="H5" t="s">
        <v>2258</v>
      </c>
      <c r="I5" t="s">
        <v>2302</v>
      </c>
      <c r="J5" t="s">
        <v>2256</v>
      </c>
      <c r="K5" t="s">
        <v>2258</v>
      </c>
      <c r="L5" t="s">
        <v>2302</v>
      </c>
      <c r="M5" t="s">
        <v>2256</v>
      </c>
      <c r="N5" t="s">
        <v>2258</v>
      </c>
      <c r="O5" t="s">
        <v>2302</v>
      </c>
      <c r="P5" t="s">
        <v>2256</v>
      </c>
      <c r="Q5" t="s">
        <v>2258</v>
      </c>
      <c r="R5" t="s">
        <v>2302</v>
      </c>
      <c r="S5" t="s">
        <v>2256</v>
      </c>
      <c r="T5" t="s">
        <v>2258</v>
      </c>
      <c r="U5" t="s">
        <v>2302</v>
      </c>
      <c r="V5" t="s">
        <v>2256</v>
      </c>
      <c r="W5" t="s">
        <v>2258</v>
      </c>
      <c r="X5" t="s">
        <v>2302</v>
      </c>
      <c r="Y5" t="s">
        <v>2256</v>
      </c>
      <c r="Z5" t="s">
        <v>2258</v>
      </c>
      <c r="AA5" t="s">
        <v>2302</v>
      </c>
      <c r="AB5" t="s">
        <v>2256</v>
      </c>
      <c r="AC5" t="s">
        <v>2258</v>
      </c>
      <c r="AD5" t="s">
        <v>2302</v>
      </c>
      <c r="AE5" t="s">
        <v>2256</v>
      </c>
      <c r="AF5" t="s">
        <v>2258</v>
      </c>
      <c r="AG5" t="s">
        <v>2302</v>
      </c>
      <c r="AH5" t="s">
        <v>2256</v>
      </c>
      <c r="AI5" t="s">
        <v>2258</v>
      </c>
      <c r="AJ5" t="s">
        <v>2302</v>
      </c>
      <c r="AK5" t="s">
        <v>2256</v>
      </c>
      <c r="AL5" t="s">
        <v>2258</v>
      </c>
      <c r="AM5" t="s">
        <v>2302</v>
      </c>
      <c r="AN5" t="s">
        <v>2256</v>
      </c>
      <c r="AO5" t="s">
        <v>2258</v>
      </c>
      <c r="AP5" t="s">
        <v>2302</v>
      </c>
      <c r="AQ5" t="s">
        <v>2256</v>
      </c>
      <c r="AR5" t="s">
        <v>2258</v>
      </c>
      <c r="AS5" t="s">
        <v>2302</v>
      </c>
      <c r="AT5" t="s">
        <v>2256</v>
      </c>
      <c r="AU5" t="s">
        <v>2258</v>
      </c>
      <c r="AV5" t="s">
        <v>2302</v>
      </c>
      <c r="AW5" t="s">
        <v>2256</v>
      </c>
      <c r="AX5" t="s">
        <v>2258</v>
      </c>
      <c r="AY5" t="s">
        <v>2302</v>
      </c>
      <c r="AZ5" t="s">
        <v>2256</v>
      </c>
      <c r="BA5" t="s">
        <v>2258</v>
      </c>
      <c r="BB5" t="s">
        <v>2302</v>
      </c>
      <c r="BC5" t="s">
        <v>2256</v>
      </c>
      <c r="BD5" t="s">
        <v>2258</v>
      </c>
      <c r="BE5" t="s">
        <v>2302</v>
      </c>
      <c r="BF5" t="s">
        <v>2256</v>
      </c>
      <c r="BG5" t="s">
        <v>2258</v>
      </c>
      <c r="BH5" t="s">
        <v>2302</v>
      </c>
      <c r="BI5" t="s">
        <v>2256</v>
      </c>
      <c r="BJ5" t="s">
        <v>2258</v>
      </c>
      <c r="BK5" t="s">
        <v>2302</v>
      </c>
      <c r="BL5" t="s">
        <v>2256</v>
      </c>
      <c r="BM5" t="s">
        <v>2258</v>
      </c>
      <c r="BN5" t="s">
        <v>2302</v>
      </c>
      <c r="BO5" t="s">
        <v>2256</v>
      </c>
      <c r="BP5" t="s">
        <v>2258</v>
      </c>
      <c r="BQ5" t="s">
        <v>2302</v>
      </c>
      <c r="BR5" t="s">
        <v>2256</v>
      </c>
      <c r="BS5" t="s">
        <v>2258</v>
      </c>
      <c r="BT5" t="s">
        <v>2302</v>
      </c>
      <c r="BU5" t="s">
        <v>2256</v>
      </c>
      <c r="BV5" t="s">
        <v>2258</v>
      </c>
      <c r="BW5" t="s">
        <v>2302</v>
      </c>
      <c r="BX5" t="s">
        <v>2256</v>
      </c>
      <c r="BY5" t="s">
        <v>2258</v>
      </c>
      <c r="BZ5" t="s">
        <v>2302</v>
      </c>
      <c r="CA5" t="s">
        <v>2256</v>
      </c>
      <c r="CB5" t="s">
        <v>2258</v>
      </c>
      <c r="CC5" t="s">
        <v>2302</v>
      </c>
      <c r="CD5" t="s">
        <v>2256</v>
      </c>
      <c r="CE5" t="s">
        <v>2258</v>
      </c>
      <c r="CF5" t="s">
        <v>2302</v>
      </c>
      <c r="CG5" t="s">
        <v>2256</v>
      </c>
      <c r="CH5" t="s">
        <v>2258</v>
      </c>
      <c r="CI5" t="s">
        <v>2302</v>
      </c>
      <c r="CJ5" t="s">
        <v>2256</v>
      </c>
      <c r="CK5" t="s">
        <v>2258</v>
      </c>
      <c r="CL5" t="s">
        <v>2302</v>
      </c>
      <c r="CM5" t="s">
        <v>2256</v>
      </c>
      <c r="CN5" t="s">
        <v>2258</v>
      </c>
      <c r="CO5" t="s">
        <v>2302</v>
      </c>
      <c r="CP5" t="s">
        <v>2256</v>
      </c>
      <c r="CQ5" t="s">
        <v>2258</v>
      </c>
      <c r="CR5" t="s">
        <v>2302</v>
      </c>
      <c r="CS5" t="s">
        <v>2256</v>
      </c>
      <c r="CT5" t="s">
        <v>2258</v>
      </c>
      <c r="CU5" t="s">
        <v>2302</v>
      </c>
      <c r="CV5" t="s">
        <v>2256</v>
      </c>
      <c r="CW5" t="s">
        <v>2258</v>
      </c>
      <c r="CX5" t="s">
        <v>2302</v>
      </c>
      <c r="CY5" t="s">
        <v>2256</v>
      </c>
      <c r="CZ5" t="s">
        <v>2258</v>
      </c>
      <c r="DA5" t="s">
        <v>2302</v>
      </c>
      <c r="DB5" t="s">
        <v>2256</v>
      </c>
      <c r="DC5" t="s">
        <v>2258</v>
      </c>
      <c r="DD5" t="s">
        <v>2302</v>
      </c>
      <c r="DE5" t="s">
        <v>2256</v>
      </c>
      <c r="DF5" t="s">
        <v>2258</v>
      </c>
      <c r="DG5" t="s">
        <v>2302</v>
      </c>
      <c r="DH5" t="s">
        <v>2256</v>
      </c>
      <c r="DI5" t="s">
        <v>2258</v>
      </c>
      <c r="DJ5" t="s">
        <v>2302</v>
      </c>
      <c r="DK5" t="s">
        <v>2256</v>
      </c>
      <c r="DL5" t="s">
        <v>2258</v>
      </c>
      <c r="DM5" t="s">
        <v>2302</v>
      </c>
      <c r="DN5" t="s">
        <v>2256</v>
      </c>
      <c r="DO5" t="s">
        <v>2258</v>
      </c>
      <c r="DP5" t="s">
        <v>2302</v>
      </c>
      <c r="DQ5" t="s">
        <v>2256</v>
      </c>
      <c r="DR5" t="s">
        <v>2258</v>
      </c>
      <c r="DS5" t="s">
        <v>2302</v>
      </c>
      <c r="DT5" t="s">
        <v>2256</v>
      </c>
      <c r="DU5" t="s">
        <v>2258</v>
      </c>
      <c r="DV5" t="s">
        <v>2302</v>
      </c>
      <c r="DW5" t="s">
        <v>2256</v>
      </c>
      <c r="DX5" t="s">
        <v>2258</v>
      </c>
      <c r="DY5" t="s">
        <v>2302</v>
      </c>
      <c r="DZ5" t="s">
        <v>2256</v>
      </c>
      <c r="EA5" t="s">
        <v>2258</v>
      </c>
      <c r="EB5" t="s">
        <v>2302</v>
      </c>
      <c r="EC5" t="s">
        <v>2256</v>
      </c>
      <c r="ED5" t="s">
        <v>2258</v>
      </c>
      <c r="EE5" t="s">
        <v>2302</v>
      </c>
      <c r="EF5" t="s">
        <v>2256</v>
      </c>
      <c r="EG5" t="s">
        <v>2258</v>
      </c>
      <c r="EH5" t="s">
        <v>2302</v>
      </c>
      <c r="EI5" t="s">
        <v>2256</v>
      </c>
      <c r="EJ5" t="s">
        <v>2258</v>
      </c>
      <c r="EK5" t="s">
        <v>2302</v>
      </c>
      <c r="EL5" t="s">
        <v>2256</v>
      </c>
      <c r="EM5" t="s">
        <v>2258</v>
      </c>
      <c r="EN5" t="s">
        <v>2302</v>
      </c>
      <c r="EO5" t="s">
        <v>2256</v>
      </c>
      <c r="EP5" t="s">
        <v>2258</v>
      </c>
      <c r="EQ5" t="s">
        <v>2302</v>
      </c>
      <c r="ER5" t="s">
        <v>2256</v>
      </c>
      <c r="ES5" t="s">
        <v>2258</v>
      </c>
      <c r="ET5" t="s">
        <v>2302</v>
      </c>
      <c r="EU5" t="s">
        <v>2256</v>
      </c>
      <c r="EV5" t="s">
        <v>2258</v>
      </c>
      <c r="EW5" t="s">
        <v>2302</v>
      </c>
      <c r="EX5" t="s">
        <v>2256</v>
      </c>
      <c r="EY5" t="s">
        <v>2258</v>
      </c>
      <c r="EZ5" t="s">
        <v>2302</v>
      </c>
      <c r="FA5" t="s">
        <v>2256</v>
      </c>
      <c r="FB5" t="s">
        <v>2258</v>
      </c>
      <c r="FC5" t="s">
        <v>2302</v>
      </c>
      <c r="FD5" t="s">
        <v>2256</v>
      </c>
      <c r="FE5" t="s">
        <v>2258</v>
      </c>
      <c r="FF5" t="s">
        <v>2302</v>
      </c>
      <c r="FG5" t="s">
        <v>2256</v>
      </c>
      <c r="FH5" t="s">
        <v>2258</v>
      </c>
      <c r="FI5" t="s">
        <v>2302</v>
      </c>
      <c r="FJ5" t="s">
        <v>2256</v>
      </c>
      <c r="FK5" t="s">
        <v>2258</v>
      </c>
      <c r="FL5" t="s">
        <v>2302</v>
      </c>
      <c r="FM5" t="s">
        <v>2256</v>
      </c>
      <c r="FN5" t="s">
        <v>2258</v>
      </c>
      <c r="FO5" t="s">
        <v>2302</v>
      </c>
      <c r="FP5" t="s">
        <v>2256</v>
      </c>
      <c r="FQ5" t="s">
        <v>2258</v>
      </c>
      <c r="FR5" t="s">
        <v>2302</v>
      </c>
      <c r="FS5" t="s">
        <v>2256</v>
      </c>
      <c r="FT5" t="s">
        <v>2258</v>
      </c>
      <c r="FU5" t="s">
        <v>2302</v>
      </c>
      <c r="FV5" t="s">
        <v>2256</v>
      </c>
      <c r="FW5" t="s">
        <v>2258</v>
      </c>
      <c r="FX5" t="s">
        <v>2302</v>
      </c>
      <c r="FY5" t="s">
        <v>2256</v>
      </c>
      <c r="FZ5" t="s">
        <v>2258</v>
      </c>
      <c r="GA5" t="s">
        <v>2302</v>
      </c>
      <c r="GB5" t="s">
        <v>2256</v>
      </c>
      <c r="GC5" t="s">
        <v>2258</v>
      </c>
      <c r="GD5" t="s">
        <v>2302</v>
      </c>
      <c r="GE5" t="s">
        <v>2256</v>
      </c>
      <c r="GF5" t="s">
        <v>2258</v>
      </c>
      <c r="GG5" t="s">
        <v>2302</v>
      </c>
      <c r="GH5" t="s">
        <v>2256</v>
      </c>
      <c r="GI5" t="s">
        <v>2258</v>
      </c>
      <c r="GJ5" t="s">
        <v>2302</v>
      </c>
      <c r="GK5" t="s">
        <v>2256</v>
      </c>
      <c r="GL5" t="s">
        <v>2258</v>
      </c>
      <c r="GM5" t="s">
        <v>2302</v>
      </c>
      <c r="GN5" t="s">
        <v>2256</v>
      </c>
      <c r="GO5" t="s">
        <v>2258</v>
      </c>
      <c r="GP5" t="s">
        <v>2302</v>
      </c>
      <c r="GQ5" t="s">
        <v>2256</v>
      </c>
      <c r="GR5" t="s">
        <v>2258</v>
      </c>
      <c r="GS5" t="s">
        <v>2302</v>
      </c>
      <c r="GT5" t="s">
        <v>2256</v>
      </c>
      <c r="GU5" t="s">
        <v>2258</v>
      </c>
      <c r="GV5" t="s">
        <v>2302</v>
      </c>
      <c r="GW5" t="s">
        <v>2256</v>
      </c>
      <c r="GX5" t="s">
        <v>2258</v>
      </c>
      <c r="GY5" t="s">
        <v>2302</v>
      </c>
      <c r="GZ5" t="s">
        <v>2256</v>
      </c>
      <c r="HA5" t="s">
        <v>2258</v>
      </c>
      <c r="HB5" t="s">
        <v>2302</v>
      </c>
      <c r="HC5" t="s">
        <v>2256</v>
      </c>
      <c r="HD5" t="s">
        <v>2258</v>
      </c>
      <c r="HE5" t="s">
        <v>2302</v>
      </c>
      <c r="HF5" t="s">
        <v>2256</v>
      </c>
      <c r="HG5" t="s">
        <v>2258</v>
      </c>
      <c r="HH5" t="s">
        <v>2302</v>
      </c>
      <c r="HI5" t="s">
        <v>2256</v>
      </c>
      <c r="HJ5" t="s">
        <v>2258</v>
      </c>
      <c r="HK5" t="s">
        <v>2302</v>
      </c>
      <c r="HL5" t="s">
        <v>2256</v>
      </c>
      <c r="HM5" t="s">
        <v>2258</v>
      </c>
      <c r="HN5" t="s">
        <v>2302</v>
      </c>
      <c r="HO5" t="s">
        <v>2256</v>
      </c>
      <c r="HP5" t="s">
        <v>2258</v>
      </c>
      <c r="HQ5" t="s">
        <v>2302</v>
      </c>
      <c r="HR5" t="s">
        <v>2256</v>
      </c>
      <c r="HS5" t="s">
        <v>2258</v>
      </c>
      <c r="HT5" t="s">
        <v>2302</v>
      </c>
      <c r="HU5" t="s">
        <v>2256</v>
      </c>
      <c r="HV5" t="s">
        <v>2258</v>
      </c>
      <c r="HW5" t="s">
        <v>2302</v>
      </c>
      <c r="HX5" t="s">
        <v>2256</v>
      </c>
      <c r="HY5" t="s">
        <v>2258</v>
      </c>
      <c r="HZ5" t="s">
        <v>2302</v>
      </c>
      <c r="IA5" t="s">
        <v>2256</v>
      </c>
      <c r="IB5" t="s">
        <v>2258</v>
      </c>
      <c r="IC5" t="s">
        <v>2302</v>
      </c>
      <c r="ID5" t="s">
        <v>2256</v>
      </c>
      <c r="IE5" t="s">
        <v>2258</v>
      </c>
      <c r="IF5" t="s">
        <v>2302</v>
      </c>
      <c r="IG5" t="s">
        <v>2256</v>
      </c>
      <c r="IH5" t="s">
        <v>2258</v>
      </c>
      <c r="II5" t="s">
        <v>2302</v>
      </c>
      <c r="IJ5" t="s">
        <v>2256</v>
      </c>
      <c r="IK5" t="s">
        <v>2258</v>
      </c>
      <c r="IL5" t="s">
        <v>2302</v>
      </c>
      <c r="IM5" t="s">
        <v>2256</v>
      </c>
      <c r="IN5" t="s">
        <v>2258</v>
      </c>
      <c r="IO5" t="s">
        <v>2302</v>
      </c>
      <c r="IP5" t="s">
        <v>2256</v>
      </c>
      <c r="IQ5" t="s">
        <v>2258</v>
      </c>
      <c r="IR5" t="s">
        <v>2302</v>
      </c>
      <c r="IS5" t="s">
        <v>2256</v>
      </c>
      <c r="IT5" t="s">
        <v>2258</v>
      </c>
      <c r="IU5" t="s">
        <v>2302</v>
      </c>
      <c r="IV5" t="s">
        <v>2256</v>
      </c>
      <c r="IW5" t="s">
        <v>2258</v>
      </c>
      <c r="IX5" t="s">
        <v>2302</v>
      </c>
      <c r="IY5" t="s">
        <v>2256</v>
      </c>
      <c r="IZ5" t="s">
        <v>2258</v>
      </c>
      <c r="JA5" t="s">
        <v>2302</v>
      </c>
      <c r="JB5" t="s">
        <v>2256</v>
      </c>
      <c r="JC5" t="s">
        <v>2258</v>
      </c>
      <c r="JD5" t="s">
        <v>2302</v>
      </c>
      <c r="JE5" t="s">
        <v>2256</v>
      </c>
      <c r="JF5" t="s">
        <v>2258</v>
      </c>
      <c r="JG5" t="s">
        <v>2302</v>
      </c>
      <c r="JH5" t="s">
        <v>2256</v>
      </c>
      <c r="JI5" t="s">
        <v>2258</v>
      </c>
      <c r="JJ5" t="s">
        <v>2302</v>
      </c>
      <c r="JK5" t="s">
        <v>2256</v>
      </c>
      <c r="JL5" t="s">
        <v>2258</v>
      </c>
      <c r="JM5" t="s">
        <v>2302</v>
      </c>
      <c r="JN5" t="s">
        <v>2256</v>
      </c>
      <c r="JO5" t="s">
        <v>2258</v>
      </c>
      <c r="JP5" t="s">
        <v>2302</v>
      </c>
      <c r="JQ5" t="s">
        <v>2256</v>
      </c>
      <c r="JR5" t="s">
        <v>2258</v>
      </c>
      <c r="JS5" t="s">
        <v>2302</v>
      </c>
      <c r="JT5" t="s">
        <v>2256</v>
      </c>
      <c r="JU5" t="s">
        <v>2258</v>
      </c>
      <c r="JV5" t="s">
        <v>2302</v>
      </c>
      <c r="JW5" t="s">
        <v>2256</v>
      </c>
      <c r="JX5" t="s">
        <v>2258</v>
      </c>
      <c r="JY5" t="s">
        <v>2302</v>
      </c>
      <c r="JZ5" t="s">
        <v>2256</v>
      </c>
      <c r="KA5" t="s">
        <v>2258</v>
      </c>
      <c r="KB5" t="s">
        <v>2302</v>
      </c>
      <c r="KC5" t="s">
        <v>2256</v>
      </c>
      <c r="KD5" t="s">
        <v>2258</v>
      </c>
      <c r="KE5" t="s">
        <v>2302</v>
      </c>
      <c r="KF5" t="s">
        <v>2256</v>
      </c>
      <c r="KG5" t="s">
        <v>2258</v>
      </c>
      <c r="KH5" t="s">
        <v>2302</v>
      </c>
      <c r="KI5" t="s">
        <v>2256</v>
      </c>
      <c r="KJ5" t="s">
        <v>2258</v>
      </c>
      <c r="KK5" t="s">
        <v>2302</v>
      </c>
      <c r="KL5" t="s">
        <v>2256</v>
      </c>
      <c r="KM5" t="s">
        <v>2258</v>
      </c>
      <c r="KN5" t="s">
        <v>2302</v>
      </c>
      <c r="KO5" t="s">
        <v>2256</v>
      </c>
      <c r="KP5" t="s">
        <v>2258</v>
      </c>
      <c r="KQ5" t="s">
        <v>2302</v>
      </c>
      <c r="KR5" t="s">
        <v>2256</v>
      </c>
      <c r="KS5" t="s">
        <v>2258</v>
      </c>
      <c r="KT5" t="s">
        <v>2302</v>
      </c>
      <c r="KU5" t="s">
        <v>2256</v>
      </c>
      <c r="KV5" t="s">
        <v>2258</v>
      </c>
      <c r="KW5" t="s">
        <v>2302</v>
      </c>
      <c r="KX5" t="s">
        <v>2256</v>
      </c>
      <c r="KY5" t="s">
        <v>2258</v>
      </c>
      <c r="KZ5" t="s">
        <v>2302</v>
      </c>
      <c r="LA5" t="s">
        <v>2256</v>
      </c>
      <c r="LB5" t="s">
        <v>2258</v>
      </c>
      <c r="LC5" t="s">
        <v>2302</v>
      </c>
      <c r="LD5" t="s">
        <v>2256</v>
      </c>
      <c r="LE5" t="s">
        <v>2258</v>
      </c>
      <c r="LF5" t="s">
        <v>2302</v>
      </c>
      <c r="LG5" t="s">
        <v>2256</v>
      </c>
      <c r="LH5" t="s">
        <v>2258</v>
      </c>
      <c r="LI5" t="s">
        <v>2302</v>
      </c>
      <c r="LJ5" t="s">
        <v>2256</v>
      </c>
      <c r="LK5" t="s">
        <v>2258</v>
      </c>
      <c r="LL5" t="s">
        <v>2302</v>
      </c>
      <c r="LM5" t="s">
        <v>2256</v>
      </c>
      <c r="LN5" t="s">
        <v>2258</v>
      </c>
      <c r="LO5" t="s">
        <v>2302</v>
      </c>
      <c r="LP5" t="s">
        <v>2256</v>
      </c>
      <c r="LQ5" t="s">
        <v>2258</v>
      </c>
      <c r="LR5" t="s">
        <v>2302</v>
      </c>
      <c r="LS5" t="s">
        <v>2256</v>
      </c>
      <c r="LT5" t="s">
        <v>2258</v>
      </c>
      <c r="LU5" t="s">
        <v>2302</v>
      </c>
      <c r="LV5" t="s">
        <v>2256</v>
      </c>
      <c r="LW5" t="s">
        <v>2258</v>
      </c>
      <c r="LX5" t="s">
        <v>2302</v>
      </c>
      <c r="LY5" t="s">
        <v>2256</v>
      </c>
      <c r="LZ5" t="s">
        <v>2258</v>
      </c>
      <c r="MA5" t="s">
        <v>2302</v>
      </c>
      <c r="MB5" t="s">
        <v>2256</v>
      </c>
      <c r="MC5" t="s">
        <v>2258</v>
      </c>
      <c r="MD5" t="s">
        <v>2302</v>
      </c>
      <c r="ME5" t="s">
        <v>2256</v>
      </c>
      <c r="MF5" t="s">
        <v>2258</v>
      </c>
      <c r="MG5" t="s">
        <v>2302</v>
      </c>
      <c r="MH5" t="s">
        <v>2256</v>
      </c>
      <c r="MI5" t="s">
        <v>2258</v>
      </c>
      <c r="MJ5" t="s">
        <v>2302</v>
      </c>
      <c r="MK5" t="s">
        <v>2256</v>
      </c>
      <c r="ML5" t="s">
        <v>2258</v>
      </c>
      <c r="MM5" t="s">
        <v>2302</v>
      </c>
      <c r="MN5" t="s">
        <v>2256</v>
      </c>
      <c r="MO5" t="s">
        <v>2258</v>
      </c>
      <c r="MP5" t="s">
        <v>2302</v>
      </c>
      <c r="MQ5" t="s">
        <v>2256</v>
      </c>
    </row>
    <row r="6" spans="1:421" x14ac:dyDescent="0.25">
      <c r="A6" s="3" t="s">
        <v>54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>
        <v>1</v>
      </c>
      <c r="DP6" s="4">
        <v>0</v>
      </c>
      <c r="DQ6" s="4">
        <v>0</v>
      </c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>
        <v>0</v>
      </c>
      <c r="FX6" s="4">
        <v>1</v>
      </c>
      <c r="FY6" s="4">
        <v>0</v>
      </c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>
        <v>1</v>
      </c>
      <c r="MS6" s="4">
        <v>1</v>
      </c>
      <c r="MT6" s="4">
        <v>0</v>
      </c>
    </row>
    <row r="7" spans="1:421" x14ac:dyDescent="0.25">
      <c r="A7" s="3" t="s">
        <v>238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>
        <v>0</v>
      </c>
      <c r="AM7" s="4">
        <v>1</v>
      </c>
      <c r="AN7" s="4">
        <v>0</v>
      </c>
      <c r="AO7" s="4"/>
      <c r="AP7" s="4"/>
      <c r="AQ7" s="4"/>
      <c r="AR7" s="4">
        <v>0</v>
      </c>
      <c r="AS7" s="4">
        <v>1</v>
      </c>
      <c r="AT7" s="4">
        <v>0</v>
      </c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>
        <v>0</v>
      </c>
      <c r="FI7" s="4">
        <v>1</v>
      </c>
      <c r="FJ7" s="4">
        <v>0</v>
      </c>
      <c r="FK7" s="4">
        <v>0</v>
      </c>
      <c r="FL7" s="4">
        <v>1</v>
      </c>
      <c r="FM7" s="4">
        <v>0</v>
      </c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>
        <v>0</v>
      </c>
      <c r="MS7" s="4">
        <v>4</v>
      </c>
      <c r="MT7" s="4">
        <v>0</v>
      </c>
    </row>
    <row r="8" spans="1:421" x14ac:dyDescent="0.25">
      <c r="A8" s="3" t="s">
        <v>1064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>
        <v>1</v>
      </c>
      <c r="U8" s="4">
        <v>0</v>
      </c>
      <c r="V8" s="4">
        <v>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>
        <v>1</v>
      </c>
      <c r="DV8" s="4">
        <v>0</v>
      </c>
      <c r="DW8" s="4">
        <v>0</v>
      </c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"/>
      <c r="MR8" s="4">
        <v>2</v>
      </c>
      <c r="MS8" s="4">
        <v>0</v>
      </c>
      <c r="MT8" s="4">
        <v>0</v>
      </c>
    </row>
    <row r="9" spans="1:421" x14ac:dyDescent="0.25">
      <c r="A9" s="3" t="s">
        <v>1692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>
        <v>1</v>
      </c>
      <c r="X9" s="4">
        <v>0</v>
      </c>
      <c r="Y9" s="4">
        <v>0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4"/>
      <c r="MO9" s="4"/>
      <c r="MP9" s="4"/>
      <c r="MQ9" s="4"/>
      <c r="MR9" s="4">
        <v>1</v>
      </c>
      <c r="MS9" s="4">
        <v>0</v>
      </c>
      <c r="MT9" s="4">
        <v>0</v>
      </c>
    </row>
    <row r="10" spans="1:421" x14ac:dyDescent="0.25">
      <c r="A10" s="3" t="s">
        <v>1721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>
        <v>0</v>
      </c>
      <c r="GD10" s="4">
        <v>0</v>
      </c>
      <c r="GE10" s="4">
        <v>1</v>
      </c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  <c r="MF10" s="4"/>
      <c r="MG10" s="4"/>
      <c r="MH10" s="4"/>
      <c r="MI10" s="4"/>
      <c r="MJ10" s="4"/>
      <c r="MK10" s="4"/>
      <c r="ML10" s="4"/>
      <c r="MM10" s="4"/>
      <c r="MN10" s="4"/>
      <c r="MO10" s="4"/>
      <c r="MP10" s="4"/>
      <c r="MQ10" s="4"/>
      <c r="MR10" s="4">
        <v>0</v>
      </c>
      <c r="MS10" s="4">
        <v>0</v>
      </c>
      <c r="MT10" s="4">
        <v>1</v>
      </c>
    </row>
    <row r="11" spans="1:421" s="101" customFormat="1" x14ac:dyDescent="0.25">
      <c r="A11" s="99" t="s">
        <v>372</v>
      </c>
      <c r="B11" s="100">
        <v>1</v>
      </c>
      <c r="C11" s="100">
        <v>0</v>
      </c>
      <c r="D11" s="100">
        <v>0</v>
      </c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>
        <v>0</v>
      </c>
      <c r="X11" s="100">
        <v>0</v>
      </c>
      <c r="Y11" s="100">
        <v>1</v>
      </c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>
        <v>1</v>
      </c>
      <c r="AV11" s="100">
        <v>0</v>
      </c>
      <c r="AW11" s="100">
        <v>0</v>
      </c>
      <c r="AX11" s="100">
        <v>0</v>
      </c>
      <c r="AY11" s="100">
        <v>1</v>
      </c>
      <c r="AZ11" s="100">
        <v>0</v>
      </c>
      <c r="BA11" s="100"/>
      <c r="BB11" s="100"/>
      <c r="BC11" s="100"/>
      <c r="BD11" s="100"/>
      <c r="BE11" s="100"/>
      <c r="BF11" s="100"/>
      <c r="BG11" s="100"/>
      <c r="BH11" s="100"/>
      <c r="BI11" s="100"/>
      <c r="BJ11" s="100"/>
      <c r="BK11" s="100"/>
      <c r="BL11" s="100"/>
      <c r="BM11" s="100"/>
      <c r="BN11" s="100"/>
      <c r="BO11" s="100"/>
      <c r="BP11" s="100"/>
      <c r="BQ11" s="100"/>
      <c r="BR11" s="100"/>
      <c r="BS11" s="100">
        <v>2</v>
      </c>
      <c r="BT11" s="100">
        <v>0</v>
      </c>
      <c r="BU11" s="100">
        <v>0</v>
      </c>
      <c r="BV11" s="100"/>
      <c r="BW11" s="100"/>
      <c r="BX11" s="100"/>
      <c r="BY11" s="100"/>
      <c r="BZ11" s="100"/>
      <c r="CA11" s="100"/>
      <c r="CB11" s="100"/>
      <c r="CC11" s="100"/>
      <c r="CD11" s="100"/>
      <c r="CE11" s="100"/>
      <c r="CF11" s="100"/>
      <c r="CG11" s="100"/>
      <c r="CH11" s="100"/>
      <c r="CI11" s="100"/>
      <c r="CJ11" s="100"/>
      <c r="CK11" s="100"/>
      <c r="CL11" s="100"/>
      <c r="CM11" s="100"/>
      <c r="CN11" s="100">
        <v>0</v>
      </c>
      <c r="CO11" s="100">
        <v>1</v>
      </c>
      <c r="CP11" s="100">
        <v>0</v>
      </c>
      <c r="CQ11" s="100"/>
      <c r="CR11" s="100"/>
      <c r="CS11" s="100"/>
      <c r="CT11" s="100"/>
      <c r="CU11" s="100"/>
      <c r="CV11" s="100"/>
      <c r="CW11" s="100"/>
      <c r="CX11" s="100"/>
      <c r="CY11" s="100"/>
      <c r="CZ11" s="100"/>
      <c r="DA11" s="100"/>
      <c r="DB11" s="100"/>
      <c r="DC11" s="100"/>
      <c r="DD11" s="100"/>
      <c r="DE11" s="100"/>
      <c r="DF11" s="100"/>
      <c r="DG11" s="100"/>
      <c r="DH11" s="100"/>
      <c r="DI11" s="100"/>
      <c r="DJ11" s="100"/>
      <c r="DK11" s="100"/>
      <c r="DL11" s="100"/>
      <c r="DM11" s="100"/>
      <c r="DN11" s="100"/>
      <c r="DO11" s="100"/>
      <c r="DP11" s="100"/>
      <c r="DQ11" s="100"/>
      <c r="DR11" s="100"/>
      <c r="DS11" s="100"/>
      <c r="DT11" s="100"/>
      <c r="DU11" s="100">
        <v>0</v>
      </c>
      <c r="DV11" s="100">
        <v>4</v>
      </c>
      <c r="DW11" s="100">
        <v>0</v>
      </c>
      <c r="DX11" s="100"/>
      <c r="DY11" s="100"/>
      <c r="DZ11" s="100"/>
      <c r="EA11" s="100"/>
      <c r="EB11" s="100"/>
      <c r="EC11" s="100"/>
      <c r="ED11" s="100"/>
      <c r="EE11" s="100"/>
      <c r="EF11" s="100"/>
      <c r="EG11" s="100"/>
      <c r="EH11" s="100"/>
      <c r="EI11" s="100"/>
      <c r="EJ11" s="100"/>
      <c r="EK11" s="100"/>
      <c r="EL11" s="100"/>
      <c r="EM11" s="100"/>
      <c r="EN11" s="100"/>
      <c r="EO11" s="100"/>
      <c r="EP11" s="100"/>
      <c r="EQ11" s="100"/>
      <c r="ER11" s="100"/>
      <c r="ES11" s="100"/>
      <c r="ET11" s="100"/>
      <c r="EU11" s="100"/>
      <c r="EV11" s="100"/>
      <c r="EW11" s="100"/>
      <c r="EX11" s="100"/>
      <c r="EY11" s="100"/>
      <c r="EZ11" s="100"/>
      <c r="FA11" s="100"/>
      <c r="FB11" s="100"/>
      <c r="FC11" s="100"/>
      <c r="FD11" s="100"/>
      <c r="FE11" s="100"/>
      <c r="FF11" s="100"/>
      <c r="FG11" s="100"/>
      <c r="FH11" s="100"/>
      <c r="FI11" s="100"/>
      <c r="FJ11" s="100"/>
      <c r="FK11" s="100"/>
      <c r="FL11" s="100"/>
      <c r="FM11" s="100"/>
      <c r="FN11" s="100"/>
      <c r="FO11" s="100"/>
      <c r="FP11" s="100"/>
      <c r="FQ11" s="100"/>
      <c r="FR11" s="100"/>
      <c r="FS11" s="100"/>
      <c r="FT11" s="100"/>
      <c r="FU11" s="100"/>
      <c r="FV11" s="100"/>
      <c r="FW11" s="100"/>
      <c r="FX11" s="100"/>
      <c r="FY11" s="100"/>
      <c r="FZ11" s="100"/>
      <c r="GA11" s="100"/>
      <c r="GB11" s="100"/>
      <c r="GC11" s="100"/>
      <c r="GD11" s="100"/>
      <c r="GE11" s="100"/>
      <c r="GF11" s="100">
        <v>0</v>
      </c>
      <c r="GG11" s="100">
        <v>1</v>
      </c>
      <c r="GH11" s="100">
        <v>0</v>
      </c>
      <c r="GI11" s="100"/>
      <c r="GJ11" s="100"/>
      <c r="GK11" s="100"/>
      <c r="GL11" s="100"/>
      <c r="GM11" s="100"/>
      <c r="GN11" s="100"/>
      <c r="GO11" s="100"/>
      <c r="GP11" s="100"/>
      <c r="GQ11" s="100"/>
      <c r="GR11" s="100"/>
      <c r="GS11" s="100"/>
      <c r="GT11" s="100"/>
      <c r="GU11" s="100"/>
      <c r="GV11" s="100"/>
      <c r="GW11" s="100"/>
      <c r="GX11" s="100"/>
      <c r="GY11" s="100"/>
      <c r="GZ11" s="100"/>
      <c r="HA11" s="100"/>
      <c r="HB11" s="100"/>
      <c r="HC11" s="100"/>
      <c r="HD11" s="100"/>
      <c r="HE11" s="100"/>
      <c r="HF11" s="100"/>
      <c r="HG11" s="100"/>
      <c r="HH11" s="100"/>
      <c r="HI11" s="100"/>
      <c r="HJ11" s="100"/>
      <c r="HK11" s="100"/>
      <c r="HL11" s="100"/>
      <c r="HM11" s="100"/>
      <c r="HN11" s="100"/>
      <c r="HO11" s="100"/>
      <c r="HP11" s="100"/>
      <c r="HQ11" s="100"/>
      <c r="HR11" s="100"/>
      <c r="HS11" s="100"/>
      <c r="HT11" s="100"/>
      <c r="HU11" s="100"/>
      <c r="HV11" s="100"/>
      <c r="HW11" s="100"/>
      <c r="HX11" s="100"/>
      <c r="HY11" s="100"/>
      <c r="HZ11" s="100"/>
      <c r="IA11" s="100"/>
      <c r="IB11" s="100"/>
      <c r="IC11" s="100"/>
      <c r="ID11" s="100"/>
      <c r="IE11" s="100"/>
      <c r="IF11" s="100"/>
      <c r="IG11" s="100"/>
      <c r="IH11" s="100"/>
      <c r="II11" s="100"/>
      <c r="IJ11" s="100"/>
      <c r="IK11" s="100">
        <v>2</v>
      </c>
      <c r="IL11" s="100">
        <v>0</v>
      </c>
      <c r="IM11" s="100">
        <v>0</v>
      </c>
      <c r="IN11" s="100"/>
      <c r="IO11" s="100"/>
      <c r="IP11" s="100"/>
      <c r="IQ11" s="100"/>
      <c r="IR11" s="100"/>
      <c r="IS11" s="100"/>
      <c r="IT11" s="100"/>
      <c r="IU11" s="100"/>
      <c r="IV11" s="100"/>
      <c r="IW11" s="100"/>
      <c r="IX11" s="100"/>
      <c r="IY11" s="100"/>
      <c r="IZ11" s="100"/>
      <c r="JA11" s="100"/>
      <c r="JB11" s="100"/>
      <c r="JC11" s="100"/>
      <c r="JD11" s="100"/>
      <c r="JE11" s="100"/>
      <c r="JF11" s="100"/>
      <c r="JG11" s="100"/>
      <c r="JH11" s="100"/>
      <c r="JI11" s="100"/>
      <c r="JJ11" s="100"/>
      <c r="JK11" s="100"/>
      <c r="JL11" s="100"/>
      <c r="JM11" s="100"/>
      <c r="JN11" s="100"/>
      <c r="JO11" s="100"/>
      <c r="JP11" s="100"/>
      <c r="JQ11" s="100"/>
      <c r="JR11" s="100"/>
      <c r="JS11" s="100"/>
      <c r="JT11" s="100"/>
      <c r="JU11" s="100"/>
      <c r="JV11" s="100"/>
      <c r="JW11" s="100"/>
      <c r="JX11" s="100"/>
      <c r="JY11" s="100"/>
      <c r="JZ11" s="100"/>
      <c r="KA11" s="100">
        <v>0</v>
      </c>
      <c r="KB11" s="100">
        <v>1</v>
      </c>
      <c r="KC11" s="100">
        <v>0</v>
      </c>
      <c r="KD11" s="100"/>
      <c r="KE11" s="100"/>
      <c r="KF11" s="100"/>
      <c r="KG11" s="100"/>
      <c r="KH11" s="100"/>
      <c r="KI11" s="100"/>
      <c r="KJ11" s="100"/>
      <c r="KK11" s="100"/>
      <c r="KL11" s="100"/>
      <c r="KM11" s="100"/>
      <c r="KN11" s="100"/>
      <c r="KO11" s="100"/>
      <c r="KP11" s="100"/>
      <c r="KQ11" s="100"/>
      <c r="KR11" s="100"/>
      <c r="KS11" s="100"/>
      <c r="KT11" s="100"/>
      <c r="KU11" s="100"/>
      <c r="KV11" s="100"/>
      <c r="KW11" s="100"/>
      <c r="KX11" s="100"/>
      <c r="KY11" s="100"/>
      <c r="KZ11" s="100"/>
      <c r="LA11" s="100"/>
      <c r="LB11" s="100"/>
      <c r="LC11" s="100"/>
      <c r="LD11" s="100"/>
      <c r="LE11" s="100"/>
      <c r="LF11" s="100"/>
      <c r="LG11" s="100"/>
      <c r="LH11" s="100"/>
      <c r="LI11" s="100"/>
      <c r="LJ11" s="100"/>
      <c r="LK11" s="100"/>
      <c r="LL11" s="100"/>
      <c r="LM11" s="100"/>
      <c r="LN11" s="100"/>
      <c r="LO11" s="100"/>
      <c r="LP11" s="100"/>
      <c r="LQ11" s="100"/>
      <c r="LR11" s="100"/>
      <c r="LS11" s="100"/>
      <c r="LT11" s="100"/>
      <c r="LU11" s="100"/>
      <c r="LV11" s="100"/>
      <c r="LW11" s="100"/>
      <c r="LX11" s="100"/>
      <c r="LY11" s="100"/>
      <c r="LZ11" s="100"/>
      <c r="MA11" s="100"/>
      <c r="MB11" s="100"/>
      <c r="MC11" s="100"/>
      <c r="MD11" s="100"/>
      <c r="ME11" s="100"/>
      <c r="MF11" s="100"/>
      <c r="MG11" s="100"/>
      <c r="MH11" s="100"/>
      <c r="MI11" s="100"/>
      <c r="MJ11" s="100"/>
      <c r="MK11" s="100"/>
      <c r="ML11" s="100"/>
      <c r="MM11" s="100"/>
      <c r="MN11" s="100"/>
      <c r="MO11" s="100"/>
      <c r="MP11" s="100"/>
      <c r="MQ11" s="100"/>
      <c r="MR11" s="100">
        <v>6</v>
      </c>
      <c r="MS11" s="100">
        <v>8</v>
      </c>
      <c r="MT11" s="100">
        <v>1</v>
      </c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</row>
    <row r="12" spans="1:421" x14ac:dyDescent="0.25">
      <c r="A12" s="3" t="s">
        <v>1866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>
        <v>0</v>
      </c>
      <c r="LL12" s="4">
        <v>1</v>
      </c>
      <c r="LM12" s="4">
        <v>0</v>
      </c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>
        <v>0</v>
      </c>
      <c r="MS12" s="4">
        <v>1</v>
      </c>
      <c r="MT12" s="4">
        <v>0</v>
      </c>
    </row>
    <row r="13" spans="1:421" x14ac:dyDescent="0.25">
      <c r="A13" s="3" t="s">
        <v>1066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>
        <v>0</v>
      </c>
      <c r="U13" s="4">
        <v>1</v>
      </c>
      <c r="V13" s="4">
        <v>0</v>
      </c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>
        <v>0</v>
      </c>
      <c r="DV13" s="4">
        <v>1</v>
      </c>
      <c r="DW13" s="4">
        <v>0</v>
      </c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>
        <v>0</v>
      </c>
      <c r="MS13" s="4">
        <v>2</v>
      </c>
      <c r="MT13" s="4">
        <v>0</v>
      </c>
    </row>
    <row r="14" spans="1:421" x14ac:dyDescent="0.25">
      <c r="A14" s="3" t="s">
        <v>1731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0</v>
      </c>
      <c r="BW14" s="4">
        <v>1</v>
      </c>
      <c r="BX14" s="4">
        <v>0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>
        <v>0</v>
      </c>
      <c r="MS14" s="4">
        <v>1</v>
      </c>
      <c r="MT14" s="4">
        <v>0</v>
      </c>
    </row>
    <row r="15" spans="1:421" x14ac:dyDescent="0.25">
      <c r="A15" s="3" t="s">
        <v>67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>
        <v>0</v>
      </c>
      <c r="U15" s="4">
        <v>0</v>
      </c>
      <c r="V15" s="4">
        <v>1</v>
      </c>
      <c r="W15" s="4">
        <v>0</v>
      </c>
      <c r="X15" s="4">
        <v>0</v>
      </c>
      <c r="Y15" s="4">
        <v>1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>
        <v>0</v>
      </c>
      <c r="DV15" s="4">
        <v>2</v>
      </c>
      <c r="DW15" s="4">
        <v>0</v>
      </c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>
        <v>0</v>
      </c>
      <c r="IL15" s="4">
        <v>1</v>
      </c>
      <c r="IM15" s="4">
        <v>0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>
        <v>0</v>
      </c>
      <c r="MS15" s="4">
        <v>3</v>
      </c>
      <c r="MT15" s="4">
        <v>2</v>
      </c>
    </row>
    <row r="16" spans="1:421" x14ac:dyDescent="0.25">
      <c r="A16" s="3" t="s">
        <v>1797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>
        <v>1</v>
      </c>
      <c r="DY16" s="4">
        <v>0</v>
      </c>
      <c r="DZ16" s="4">
        <v>0</v>
      </c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>
        <v>1</v>
      </c>
      <c r="MS16" s="4">
        <v>0</v>
      </c>
      <c r="MT16" s="4">
        <v>0</v>
      </c>
    </row>
    <row r="17" spans="1:358" x14ac:dyDescent="0.25">
      <c r="A17" s="3" t="s">
        <v>1718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>
        <v>0</v>
      </c>
      <c r="X17" s="4">
        <v>2</v>
      </c>
      <c r="Y17" s="4">
        <v>0</v>
      </c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>
        <v>0</v>
      </c>
      <c r="MS17" s="4">
        <v>2</v>
      </c>
      <c r="MT17" s="4">
        <v>0</v>
      </c>
    </row>
    <row r="18" spans="1:358" x14ac:dyDescent="0.25">
      <c r="A18" s="3" t="s">
        <v>480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>
        <v>0</v>
      </c>
      <c r="AV18" s="4">
        <v>1</v>
      </c>
      <c r="AW18" s="4">
        <v>0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>
        <v>0</v>
      </c>
      <c r="GJ18" s="4">
        <v>1</v>
      </c>
      <c r="GK18" s="4">
        <v>0</v>
      </c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>
        <v>0</v>
      </c>
      <c r="MS18" s="4">
        <v>2</v>
      </c>
      <c r="MT18" s="4">
        <v>0</v>
      </c>
    </row>
    <row r="19" spans="1:358" x14ac:dyDescent="0.25">
      <c r="A19" s="3" t="s">
        <v>550</v>
      </c>
      <c r="B19" s="4">
        <v>0</v>
      </c>
      <c r="C19" s="4">
        <v>0</v>
      </c>
      <c r="D19" s="4">
        <v>1</v>
      </c>
      <c r="E19" s="4"/>
      <c r="F19" s="4"/>
      <c r="G19" s="4"/>
      <c r="H19" s="4"/>
      <c r="I19" s="4"/>
      <c r="J19" s="4"/>
      <c r="K19" s="4">
        <v>0</v>
      </c>
      <c r="L19" s="4">
        <v>0</v>
      </c>
      <c r="M19" s="4">
        <v>1</v>
      </c>
      <c r="N19" s="4"/>
      <c r="O19" s="4"/>
      <c r="P19" s="4"/>
      <c r="Q19" s="4"/>
      <c r="R19" s="4"/>
      <c r="S19" s="4"/>
      <c r="T19" s="4">
        <v>0</v>
      </c>
      <c r="U19" s="4">
        <v>0</v>
      </c>
      <c r="V19" s="4">
        <v>1</v>
      </c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>
        <v>0</v>
      </c>
      <c r="MS19" s="4">
        <v>0</v>
      </c>
      <c r="MT19" s="4">
        <v>3</v>
      </c>
    </row>
    <row r="20" spans="1:358" x14ac:dyDescent="0.25">
      <c r="A20" s="3" t="s">
        <v>379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0</v>
      </c>
      <c r="X20" s="4">
        <v>0</v>
      </c>
      <c r="Y20" s="4">
        <v>1</v>
      </c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>
        <v>0</v>
      </c>
      <c r="DV20" s="4">
        <v>2</v>
      </c>
      <c r="DW20" s="4">
        <v>0</v>
      </c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>
        <v>0</v>
      </c>
      <c r="MS20" s="4">
        <v>2</v>
      </c>
      <c r="MT20" s="4">
        <v>1</v>
      </c>
    </row>
    <row r="21" spans="1:358" x14ac:dyDescent="0.25">
      <c r="A21" s="3" t="s">
        <v>1398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>
        <v>1</v>
      </c>
      <c r="U21" s="4">
        <v>0</v>
      </c>
      <c r="V21" s="4">
        <v>0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>
        <v>0</v>
      </c>
      <c r="DV21" s="4">
        <v>1</v>
      </c>
      <c r="DW21" s="4">
        <v>0</v>
      </c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>
        <v>1</v>
      </c>
      <c r="MS21" s="4">
        <v>1</v>
      </c>
      <c r="MT21" s="4">
        <v>0</v>
      </c>
    </row>
    <row r="22" spans="1:358" x14ac:dyDescent="0.25">
      <c r="A22" s="3" t="s">
        <v>1095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>
        <v>0</v>
      </c>
      <c r="U22" s="4">
        <v>1</v>
      </c>
      <c r="V22" s="4">
        <v>0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>
        <v>1</v>
      </c>
      <c r="DV22" s="4">
        <v>0</v>
      </c>
      <c r="DW22" s="4">
        <v>0</v>
      </c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>
        <v>1</v>
      </c>
      <c r="MS22" s="4">
        <v>1</v>
      </c>
      <c r="MT22" s="4">
        <v>0</v>
      </c>
    </row>
    <row r="23" spans="1:358" x14ac:dyDescent="0.25">
      <c r="A23" s="3" t="s">
        <v>610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>
        <v>0</v>
      </c>
      <c r="BT23" s="4">
        <v>1</v>
      </c>
      <c r="BU23" s="4">
        <v>0</v>
      </c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>
        <v>0</v>
      </c>
      <c r="IO23" s="4">
        <v>1</v>
      </c>
      <c r="IP23" s="4">
        <v>0</v>
      </c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>
        <v>0</v>
      </c>
      <c r="MS23" s="4">
        <v>2</v>
      </c>
      <c r="MT23" s="4">
        <v>0</v>
      </c>
    </row>
    <row r="24" spans="1:358" x14ac:dyDescent="0.25">
      <c r="A24" s="3" t="s">
        <v>34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>
        <v>0</v>
      </c>
      <c r="DD24" s="4">
        <v>1</v>
      </c>
      <c r="DE24" s="4">
        <v>0</v>
      </c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>
        <v>0</v>
      </c>
      <c r="LF24" s="4">
        <v>1</v>
      </c>
      <c r="LG24" s="4">
        <v>0</v>
      </c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>
        <v>0</v>
      </c>
      <c r="MS24" s="4">
        <v>2</v>
      </c>
      <c r="MT24" s="4">
        <v>0</v>
      </c>
    </row>
    <row r="25" spans="1:358" x14ac:dyDescent="0.25">
      <c r="A25" s="3" t="s">
        <v>1100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>
        <v>0</v>
      </c>
      <c r="AP25" s="4">
        <v>1</v>
      </c>
      <c r="AQ25" s="4">
        <v>0</v>
      </c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>
        <v>0</v>
      </c>
      <c r="LC25" s="4">
        <v>1</v>
      </c>
      <c r="LD25" s="4">
        <v>0</v>
      </c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>
        <v>0</v>
      </c>
      <c r="MS25" s="4">
        <v>2</v>
      </c>
      <c r="MT25" s="4">
        <v>0</v>
      </c>
    </row>
    <row r="26" spans="1:358" x14ac:dyDescent="0.25">
      <c r="A26" s="3" t="s">
        <v>850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>
        <v>0</v>
      </c>
      <c r="U26" s="4">
        <v>1</v>
      </c>
      <c r="V26" s="4">
        <v>0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>
        <v>0</v>
      </c>
      <c r="DV26" s="4">
        <v>0</v>
      </c>
      <c r="DW26" s="4">
        <v>1</v>
      </c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>
        <v>0</v>
      </c>
      <c r="MS26" s="4">
        <v>1</v>
      </c>
      <c r="MT26" s="4">
        <v>1</v>
      </c>
    </row>
    <row r="27" spans="1:358" x14ac:dyDescent="0.25">
      <c r="A27" s="3" t="s">
        <v>1167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>
        <v>0</v>
      </c>
      <c r="LX27" s="4">
        <v>1</v>
      </c>
      <c r="LY27" s="4">
        <v>0</v>
      </c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>
        <v>0</v>
      </c>
      <c r="MS27" s="4">
        <v>1</v>
      </c>
      <c r="MT27" s="4">
        <v>0</v>
      </c>
    </row>
    <row r="28" spans="1:358" x14ac:dyDescent="0.25">
      <c r="A28" s="3" t="s">
        <v>1206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>
        <v>0</v>
      </c>
      <c r="CI28" s="4">
        <v>0</v>
      </c>
      <c r="CJ28" s="4">
        <v>1</v>
      </c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>
        <v>0</v>
      </c>
      <c r="DV28" s="4">
        <v>1</v>
      </c>
      <c r="DW28" s="4">
        <v>0</v>
      </c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>
        <v>0</v>
      </c>
      <c r="MS28" s="4">
        <v>1</v>
      </c>
      <c r="MT28" s="4">
        <v>1</v>
      </c>
    </row>
    <row r="29" spans="1:358" x14ac:dyDescent="0.25">
      <c r="A29" s="3" t="s">
        <v>2038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>
        <v>1</v>
      </c>
      <c r="DV29" s="4">
        <v>0</v>
      </c>
      <c r="DW29" s="4">
        <v>0</v>
      </c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>
        <v>1</v>
      </c>
      <c r="MS29" s="4">
        <v>0</v>
      </c>
      <c r="MT29" s="4">
        <v>0</v>
      </c>
    </row>
    <row r="30" spans="1:358" x14ac:dyDescent="0.25">
      <c r="A30" s="3" t="s">
        <v>464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>
        <v>0</v>
      </c>
      <c r="AM30" s="4">
        <v>1</v>
      </c>
      <c r="AN30" s="4">
        <v>0</v>
      </c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  <c r="MF30" s="4"/>
      <c r="MG30" s="4"/>
      <c r="MH30" s="4"/>
      <c r="MI30" s="4"/>
      <c r="MJ30" s="4"/>
      <c r="MK30" s="4"/>
      <c r="ML30" s="4"/>
      <c r="MM30" s="4"/>
      <c r="MN30" s="4"/>
      <c r="MO30" s="4"/>
      <c r="MP30" s="4"/>
      <c r="MQ30" s="4"/>
      <c r="MR30" s="4">
        <v>0</v>
      </c>
      <c r="MS30" s="4">
        <v>1</v>
      </c>
      <c r="MT30" s="4">
        <v>0</v>
      </c>
    </row>
    <row r="31" spans="1:358" x14ac:dyDescent="0.25">
      <c r="A31" s="3" t="s">
        <v>281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>
        <v>0</v>
      </c>
      <c r="U31" s="4">
        <v>1</v>
      </c>
      <c r="V31" s="4">
        <v>0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>
        <v>0</v>
      </c>
      <c r="AY31" s="4">
        <v>1</v>
      </c>
      <c r="AZ31" s="4">
        <v>0</v>
      </c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  <c r="MF31" s="4"/>
      <c r="MG31" s="4"/>
      <c r="MH31" s="4"/>
      <c r="MI31" s="4"/>
      <c r="MJ31" s="4"/>
      <c r="MK31" s="4"/>
      <c r="ML31" s="4"/>
      <c r="MM31" s="4"/>
      <c r="MN31" s="4"/>
      <c r="MO31" s="4"/>
      <c r="MP31" s="4"/>
      <c r="MQ31" s="4"/>
      <c r="MR31" s="4">
        <v>0</v>
      </c>
      <c r="MS31" s="4">
        <v>2</v>
      </c>
      <c r="MT31" s="4">
        <v>0</v>
      </c>
    </row>
    <row r="32" spans="1:358" x14ac:dyDescent="0.25">
      <c r="A32" s="3" t="s">
        <v>1745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>
        <v>0</v>
      </c>
      <c r="BQ32" s="4">
        <v>1</v>
      </c>
      <c r="BR32" s="4">
        <v>0</v>
      </c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>
        <v>1</v>
      </c>
      <c r="GD32" s="4">
        <v>0</v>
      </c>
      <c r="GE32" s="4">
        <v>0</v>
      </c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>
        <v>1</v>
      </c>
      <c r="MS32" s="4">
        <v>1</v>
      </c>
      <c r="MT32" s="4">
        <v>0</v>
      </c>
    </row>
    <row r="33" spans="1:421" x14ac:dyDescent="0.25">
      <c r="A33" s="3" t="s">
        <v>2069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>
        <v>0</v>
      </c>
      <c r="O33" s="4">
        <v>1</v>
      </c>
      <c r="P33" s="4">
        <v>0</v>
      </c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>
        <v>0</v>
      </c>
      <c r="MS33" s="4">
        <v>1</v>
      </c>
      <c r="MT33" s="4">
        <v>0</v>
      </c>
    </row>
    <row r="34" spans="1:421" x14ac:dyDescent="0.25">
      <c r="A34" s="3" t="s">
        <v>2064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>
        <v>0</v>
      </c>
      <c r="FL34" s="4">
        <v>1</v>
      </c>
      <c r="FM34" s="4">
        <v>0</v>
      </c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>
        <v>0</v>
      </c>
      <c r="MS34" s="4">
        <v>1</v>
      </c>
      <c r="MT34" s="4">
        <v>0</v>
      </c>
    </row>
    <row r="35" spans="1:421" x14ac:dyDescent="0.25">
      <c r="A35" s="3" t="s">
        <v>884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>
        <v>0</v>
      </c>
      <c r="BW35" s="4">
        <v>1</v>
      </c>
      <c r="BX35" s="4">
        <v>0</v>
      </c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>
        <v>0</v>
      </c>
      <c r="MS35" s="4">
        <v>1</v>
      </c>
      <c r="MT35" s="4">
        <v>0</v>
      </c>
    </row>
    <row r="36" spans="1:421" x14ac:dyDescent="0.25">
      <c r="A36" s="3" t="s">
        <v>406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>
        <v>0</v>
      </c>
      <c r="U36" s="4">
        <v>1</v>
      </c>
      <c r="V36" s="4">
        <v>0</v>
      </c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>
        <v>0</v>
      </c>
      <c r="DV36" s="4">
        <v>1</v>
      </c>
      <c r="DW36" s="4">
        <v>0</v>
      </c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>
        <v>0</v>
      </c>
      <c r="MS36" s="4">
        <v>2</v>
      </c>
      <c r="MT36" s="4">
        <v>0</v>
      </c>
    </row>
    <row r="37" spans="1:421" x14ac:dyDescent="0.25">
      <c r="A37" s="3" t="s">
        <v>1905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>
        <v>0</v>
      </c>
      <c r="U37" s="4">
        <v>1</v>
      </c>
      <c r="V37" s="4">
        <v>0</v>
      </c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>
        <v>0</v>
      </c>
      <c r="LO37" s="4">
        <v>1</v>
      </c>
      <c r="LP37" s="4">
        <v>0</v>
      </c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  <c r="MF37" s="4"/>
      <c r="MG37" s="4"/>
      <c r="MH37" s="4"/>
      <c r="MI37" s="4"/>
      <c r="MJ37" s="4"/>
      <c r="MK37" s="4"/>
      <c r="ML37" s="4"/>
      <c r="MM37" s="4"/>
      <c r="MN37" s="4"/>
      <c r="MO37" s="4"/>
      <c r="MP37" s="4"/>
      <c r="MQ37" s="4"/>
      <c r="MR37" s="4">
        <v>0</v>
      </c>
      <c r="MS37" s="4">
        <v>2</v>
      </c>
      <c r="MT37" s="4">
        <v>0</v>
      </c>
    </row>
    <row r="38" spans="1:421" x14ac:dyDescent="0.25">
      <c r="A38" s="3" t="s">
        <v>707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>
        <v>0</v>
      </c>
      <c r="DM38" s="4">
        <v>1</v>
      </c>
      <c r="DN38" s="4">
        <v>0</v>
      </c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>
        <v>0</v>
      </c>
      <c r="MS38" s="4">
        <v>1</v>
      </c>
      <c r="MT38" s="4">
        <v>0</v>
      </c>
    </row>
    <row r="39" spans="1:421" x14ac:dyDescent="0.25">
      <c r="A39" s="3" t="s">
        <v>1140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>
        <v>0</v>
      </c>
      <c r="BZ39" s="4">
        <v>1</v>
      </c>
      <c r="CA39" s="4">
        <v>0</v>
      </c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>
        <v>0</v>
      </c>
      <c r="JM39" s="4">
        <v>1</v>
      </c>
      <c r="JN39" s="4">
        <v>0</v>
      </c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>
        <v>0</v>
      </c>
      <c r="MS39" s="4">
        <v>2</v>
      </c>
      <c r="MT39" s="4">
        <v>0</v>
      </c>
    </row>
    <row r="40" spans="1:421" x14ac:dyDescent="0.25">
      <c r="A40" s="3" t="s">
        <v>1728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>
        <v>0</v>
      </c>
      <c r="BW40" s="4">
        <v>1</v>
      </c>
      <c r="BX40" s="4">
        <v>0</v>
      </c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>
        <v>0</v>
      </c>
      <c r="MS40" s="4">
        <v>1</v>
      </c>
      <c r="MT40" s="4">
        <v>0</v>
      </c>
    </row>
    <row r="41" spans="1:421" x14ac:dyDescent="0.25">
      <c r="A41" s="3" t="s">
        <v>1986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>
        <v>0</v>
      </c>
      <c r="GM41" s="4">
        <v>1</v>
      </c>
      <c r="GN41" s="4">
        <v>0</v>
      </c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>
        <v>0</v>
      </c>
      <c r="MS41" s="4">
        <v>1</v>
      </c>
      <c r="MT41" s="4">
        <v>0</v>
      </c>
    </row>
    <row r="42" spans="1:421" x14ac:dyDescent="0.25">
      <c r="A42" s="3" t="s">
        <v>1132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>
        <v>0</v>
      </c>
      <c r="HZ42" s="4">
        <v>1</v>
      </c>
      <c r="IA42" s="4">
        <v>0</v>
      </c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>
        <v>0</v>
      </c>
      <c r="MS42" s="4">
        <v>1</v>
      </c>
      <c r="MT42" s="4">
        <v>0</v>
      </c>
    </row>
    <row r="43" spans="1:421" x14ac:dyDescent="0.25">
      <c r="A43" s="3" t="s">
        <v>1415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>
        <v>1</v>
      </c>
      <c r="AV43" s="4">
        <v>0</v>
      </c>
      <c r="AW43" s="4">
        <v>0</v>
      </c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>
        <v>1</v>
      </c>
      <c r="GJ43" s="4">
        <v>0</v>
      </c>
      <c r="GK43" s="4">
        <v>0</v>
      </c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>
        <v>2</v>
      </c>
      <c r="MS43" s="4">
        <v>0</v>
      </c>
      <c r="MT43" s="4">
        <v>0</v>
      </c>
    </row>
    <row r="44" spans="1:421" x14ac:dyDescent="0.25">
      <c r="A44" s="3" t="s">
        <v>768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>
        <v>0</v>
      </c>
      <c r="IL44" s="4">
        <v>0</v>
      </c>
      <c r="IM44" s="4">
        <v>1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>
        <v>0</v>
      </c>
      <c r="MS44" s="4">
        <v>0</v>
      </c>
      <c r="MT44" s="4">
        <v>1</v>
      </c>
    </row>
    <row r="45" spans="1:421" x14ac:dyDescent="0.25">
      <c r="A45" s="3" t="s">
        <v>495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>
        <v>0</v>
      </c>
      <c r="DY45" s="4">
        <v>1</v>
      </c>
      <c r="DZ45" s="4">
        <v>0</v>
      </c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>
        <v>0</v>
      </c>
      <c r="MS45" s="4">
        <v>1</v>
      </c>
      <c r="MT45" s="4">
        <v>0</v>
      </c>
    </row>
    <row r="46" spans="1:421" s="101" customFormat="1" x14ac:dyDescent="0.25">
      <c r="A46" s="3" t="s">
        <v>1290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>
        <v>0</v>
      </c>
      <c r="U46" s="4">
        <v>1</v>
      </c>
      <c r="V46" s="4">
        <v>0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>
        <v>0</v>
      </c>
      <c r="MS46" s="4">
        <v>1</v>
      </c>
      <c r="MT46" s="4">
        <v>0</v>
      </c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</row>
    <row r="47" spans="1:421" x14ac:dyDescent="0.25">
      <c r="A47" s="3" t="s">
        <v>1287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>
        <v>0</v>
      </c>
      <c r="U47" s="4">
        <v>1</v>
      </c>
      <c r="V47" s="4">
        <v>0</v>
      </c>
      <c r="W47" s="4">
        <v>0</v>
      </c>
      <c r="X47" s="4">
        <v>1</v>
      </c>
      <c r="Y47" s="4">
        <v>0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>
        <v>1</v>
      </c>
      <c r="DV47" s="4">
        <v>0</v>
      </c>
      <c r="DW47" s="4">
        <v>0</v>
      </c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  <c r="MF47" s="4"/>
      <c r="MG47" s="4"/>
      <c r="MH47" s="4"/>
      <c r="MI47" s="4"/>
      <c r="MJ47" s="4"/>
      <c r="MK47" s="4"/>
      <c r="ML47" s="4"/>
      <c r="MM47" s="4"/>
      <c r="MN47" s="4"/>
      <c r="MO47" s="4"/>
      <c r="MP47" s="4"/>
      <c r="MQ47" s="4"/>
      <c r="MR47" s="4">
        <v>1</v>
      </c>
      <c r="MS47" s="4">
        <v>2</v>
      </c>
      <c r="MT47" s="4">
        <v>0</v>
      </c>
    </row>
    <row r="48" spans="1:421" x14ac:dyDescent="0.25">
      <c r="A48" s="3" t="s">
        <v>76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>
        <v>0</v>
      </c>
      <c r="FX48" s="4">
        <v>1</v>
      </c>
      <c r="FY48" s="4">
        <v>0</v>
      </c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>
        <v>0</v>
      </c>
      <c r="MS48" s="4">
        <v>1</v>
      </c>
      <c r="MT48" s="4">
        <v>0</v>
      </c>
    </row>
    <row r="49" spans="1:358" x14ac:dyDescent="0.25">
      <c r="A49" s="3" t="s">
        <v>416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>
        <v>0</v>
      </c>
      <c r="U49" s="4">
        <v>1</v>
      </c>
      <c r="V49" s="4">
        <v>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>
        <v>0</v>
      </c>
      <c r="DV49" s="4">
        <v>2</v>
      </c>
      <c r="DW49" s="4">
        <v>0</v>
      </c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>
        <v>0</v>
      </c>
      <c r="MS49" s="4">
        <v>3</v>
      </c>
      <c r="MT49" s="4">
        <v>0</v>
      </c>
    </row>
    <row r="50" spans="1:358" x14ac:dyDescent="0.25">
      <c r="A50" s="3" t="s">
        <v>212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>
        <v>0</v>
      </c>
      <c r="AV50" s="4">
        <v>1</v>
      </c>
      <c r="AW50" s="4">
        <v>0</v>
      </c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>
        <v>0</v>
      </c>
      <c r="MS50" s="4">
        <v>1</v>
      </c>
      <c r="MT50" s="4">
        <v>0</v>
      </c>
    </row>
    <row r="51" spans="1:358" x14ac:dyDescent="0.25">
      <c r="A51" s="3" t="s">
        <v>71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>
        <v>0</v>
      </c>
      <c r="DP51" s="4">
        <v>1</v>
      </c>
      <c r="DQ51" s="4">
        <v>0</v>
      </c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>
        <v>1</v>
      </c>
      <c r="FX51" s="4">
        <v>0</v>
      </c>
      <c r="FY51" s="4">
        <v>0</v>
      </c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>
        <v>1</v>
      </c>
      <c r="MS51" s="4">
        <v>1</v>
      </c>
      <c r="MT51" s="4">
        <v>0</v>
      </c>
    </row>
    <row r="52" spans="1:358" x14ac:dyDescent="0.25">
      <c r="A52" s="3" t="s">
        <v>509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>
        <v>0</v>
      </c>
      <c r="LU52" s="4">
        <v>1</v>
      </c>
      <c r="LV52" s="4">
        <v>0</v>
      </c>
      <c r="LW52" s="4">
        <v>0</v>
      </c>
      <c r="LX52" s="4">
        <v>1</v>
      </c>
      <c r="LY52" s="4">
        <v>0</v>
      </c>
      <c r="LZ52" s="4">
        <v>0</v>
      </c>
      <c r="MA52" s="4">
        <v>1</v>
      </c>
      <c r="MB52" s="4">
        <v>0</v>
      </c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>
        <v>0</v>
      </c>
      <c r="MS52" s="4">
        <v>3</v>
      </c>
      <c r="MT52" s="4">
        <v>0</v>
      </c>
    </row>
    <row r="53" spans="1:358" x14ac:dyDescent="0.25">
      <c r="A53" s="3" t="s">
        <v>518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>
        <v>0</v>
      </c>
      <c r="U53" s="4">
        <v>0</v>
      </c>
      <c r="V53" s="4">
        <v>1</v>
      </c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>
        <v>0</v>
      </c>
      <c r="DV53" s="4">
        <v>0</v>
      </c>
      <c r="DW53" s="4">
        <v>1</v>
      </c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>
        <v>0</v>
      </c>
      <c r="MS53" s="4">
        <v>0</v>
      </c>
      <c r="MT53" s="4">
        <v>2</v>
      </c>
    </row>
    <row r="54" spans="1:358" x14ac:dyDescent="0.25">
      <c r="A54" s="3" t="s">
        <v>446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>
        <v>0</v>
      </c>
      <c r="BT54" s="4">
        <v>1</v>
      </c>
      <c r="BU54" s="4">
        <v>0</v>
      </c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>
        <v>0</v>
      </c>
      <c r="IL54" s="4">
        <v>1</v>
      </c>
      <c r="IM54" s="4">
        <v>0</v>
      </c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>
        <v>0</v>
      </c>
      <c r="JA54" s="4">
        <v>1</v>
      </c>
      <c r="JB54" s="4">
        <v>0</v>
      </c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>
        <v>0</v>
      </c>
      <c r="MS54" s="4">
        <v>3</v>
      </c>
      <c r="MT54" s="4">
        <v>0</v>
      </c>
    </row>
    <row r="55" spans="1:358" x14ac:dyDescent="0.25">
      <c r="A55" s="3" t="s">
        <v>1468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>
        <v>0</v>
      </c>
      <c r="U55" s="4">
        <v>1</v>
      </c>
      <c r="V55" s="4">
        <v>0</v>
      </c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>
        <v>1</v>
      </c>
      <c r="DV55" s="4">
        <v>0</v>
      </c>
      <c r="DW55" s="4">
        <v>0</v>
      </c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>
        <v>1</v>
      </c>
      <c r="MS55" s="4">
        <v>1</v>
      </c>
      <c r="MT55" s="4">
        <v>0</v>
      </c>
    </row>
    <row r="56" spans="1:358" x14ac:dyDescent="0.25">
      <c r="A56" s="3" t="s">
        <v>1809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>
        <v>0</v>
      </c>
      <c r="KZ56" s="4">
        <v>1</v>
      </c>
      <c r="LA56" s="4">
        <v>0</v>
      </c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>
        <v>0</v>
      </c>
      <c r="MS56" s="4">
        <v>1</v>
      </c>
      <c r="MT56" s="4">
        <v>0</v>
      </c>
    </row>
    <row r="57" spans="1:358" x14ac:dyDescent="0.25">
      <c r="A57" s="3" t="s">
        <v>916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>
        <v>1</v>
      </c>
      <c r="U57" s="4">
        <v>0</v>
      </c>
      <c r="V57" s="4">
        <v>0</v>
      </c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>
        <v>0</v>
      </c>
      <c r="DV57" s="4">
        <v>0</v>
      </c>
      <c r="DW57" s="4">
        <v>1</v>
      </c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>
        <v>1</v>
      </c>
      <c r="MS57" s="4">
        <v>0</v>
      </c>
      <c r="MT57" s="4">
        <v>1</v>
      </c>
    </row>
    <row r="58" spans="1:358" x14ac:dyDescent="0.25">
      <c r="A58" s="99" t="s">
        <v>468</v>
      </c>
      <c r="B58" s="100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>
        <v>0</v>
      </c>
      <c r="U58" s="100">
        <v>2</v>
      </c>
      <c r="V58" s="100">
        <v>0</v>
      </c>
      <c r="W58" s="100">
        <v>0</v>
      </c>
      <c r="X58" s="100">
        <v>2</v>
      </c>
      <c r="Y58" s="100">
        <v>0</v>
      </c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100"/>
      <c r="AY58" s="100"/>
      <c r="AZ58" s="100"/>
      <c r="BA58" s="100"/>
      <c r="BB58" s="100"/>
      <c r="BC58" s="100"/>
      <c r="BD58" s="100"/>
      <c r="BE58" s="100"/>
      <c r="BF58" s="100"/>
      <c r="BG58" s="100"/>
      <c r="BH58" s="100"/>
      <c r="BI58" s="100"/>
      <c r="BJ58" s="100"/>
      <c r="BK58" s="100"/>
      <c r="BL58" s="100"/>
      <c r="BM58" s="100"/>
      <c r="BN58" s="100"/>
      <c r="BO58" s="100"/>
      <c r="BP58" s="100"/>
      <c r="BQ58" s="100"/>
      <c r="BR58" s="100"/>
      <c r="BS58" s="100"/>
      <c r="BT58" s="100"/>
      <c r="BU58" s="100"/>
      <c r="BV58" s="100"/>
      <c r="BW58" s="100"/>
      <c r="BX58" s="100"/>
      <c r="BY58" s="100"/>
      <c r="BZ58" s="100"/>
      <c r="CA58" s="100"/>
      <c r="CB58" s="100"/>
      <c r="CC58" s="100"/>
      <c r="CD58" s="100"/>
      <c r="CE58" s="100"/>
      <c r="CF58" s="100"/>
      <c r="CG58" s="100"/>
      <c r="CH58" s="100"/>
      <c r="CI58" s="100"/>
      <c r="CJ58" s="100"/>
      <c r="CK58" s="100"/>
      <c r="CL58" s="100"/>
      <c r="CM58" s="100"/>
      <c r="CN58" s="100"/>
      <c r="CO58" s="100"/>
      <c r="CP58" s="100"/>
      <c r="CQ58" s="100"/>
      <c r="CR58" s="100"/>
      <c r="CS58" s="100"/>
      <c r="CT58" s="100"/>
      <c r="CU58" s="100"/>
      <c r="CV58" s="100"/>
      <c r="CW58" s="100"/>
      <c r="CX58" s="100"/>
      <c r="CY58" s="100"/>
      <c r="CZ58" s="100"/>
      <c r="DA58" s="100"/>
      <c r="DB58" s="100"/>
      <c r="DC58" s="100"/>
      <c r="DD58" s="100"/>
      <c r="DE58" s="100"/>
      <c r="DF58" s="100"/>
      <c r="DG58" s="100"/>
      <c r="DH58" s="100"/>
      <c r="DI58" s="100"/>
      <c r="DJ58" s="100"/>
      <c r="DK58" s="100"/>
      <c r="DL58" s="100"/>
      <c r="DM58" s="100"/>
      <c r="DN58" s="100"/>
      <c r="DO58" s="100"/>
      <c r="DP58" s="100"/>
      <c r="DQ58" s="100"/>
      <c r="DR58" s="100"/>
      <c r="DS58" s="100"/>
      <c r="DT58" s="100"/>
      <c r="DU58" s="100">
        <v>2</v>
      </c>
      <c r="DV58" s="100">
        <v>2</v>
      </c>
      <c r="DW58" s="100">
        <v>0</v>
      </c>
      <c r="DX58" s="100"/>
      <c r="DY58" s="100"/>
      <c r="DZ58" s="100"/>
      <c r="EA58" s="100"/>
      <c r="EB58" s="100"/>
      <c r="EC58" s="100"/>
      <c r="ED58" s="100"/>
      <c r="EE58" s="100"/>
      <c r="EF58" s="100"/>
      <c r="EG58" s="100"/>
      <c r="EH58" s="100"/>
      <c r="EI58" s="100"/>
      <c r="EJ58" s="100"/>
      <c r="EK58" s="100"/>
      <c r="EL58" s="100"/>
      <c r="EM58" s="100"/>
      <c r="EN58" s="100"/>
      <c r="EO58" s="100"/>
      <c r="EP58" s="100"/>
      <c r="EQ58" s="100"/>
      <c r="ER58" s="100"/>
      <c r="ES58" s="100"/>
      <c r="ET58" s="100"/>
      <c r="EU58" s="100"/>
      <c r="EV58" s="100"/>
      <c r="EW58" s="100"/>
      <c r="EX58" s="100"/>
      <c r="EY58" s="100"/>
      <c r="EZ58" s="100"/>
      <c r="FA58" s="100"/>
      <c r="FB58" s="100"/>
      <c r="FC58" s="100"/>
      <c r="FD58" s="100"/>
      <c r="FE58" s="100"/>
      <c r="FF58" s="100"/>
      <c r="FG58" s="100"/>
      <c r="FH58" s="100"/>
      <c r="FI58" s="100"/>
      <c r="FJ58" s="100"/>
      <c r="FK58" s="100"/>
      <c r="FL58" s="100"/>
      <c r="FM58" s="100"/>
      <c r="FN58" s="100"/>
      <c r="FO58" s="100"/>
      <c r="FP58" s="100"/>
      <c r="FQ58" s="100"/>
      <c r="FR58" s="100"/>
      <c r="FS58" s="100"/>
      <c r="FT58" s="100"/>
      <c r="FU58" s="100"/>
      <c r="FV58" s="100"/>
      <c r="FW58" s="100"/>
      <c r="FX58" s="100"/>
      <c r="FY58" s="100"/>
      <c r="FZ58" s="100"/>
      <c r="GA58" s="100"/>
      <c r="GB58" s="100"/>
      <c r="GC58" s="100"/>
      <c r="GD58" s="100"/>
      <c r="GE58" s="100"/>
      <c r="GF58" s="100"/>
      <c r="GG58" s="100"/>
      <c r="GH58" s="100"/>
      <c r="GI58" s="100"/>
      <c r="GJ58" s="100"/>
      <c r="GK58" s="100"/>
      <c r="GL58" s="100"/>
      <c r="GM58" s="100"/>
      <c r="GN58" s="100"/>
      <c r="GO58" s="100"/>
      <c r="GP58" s="100"/>
      <c r="GQ58" s="100"/>
      <c r="GR58" s="100"/>
      <c r="GS58" s="100"/>
      <c r="GT58" s="100"/>
      <c r="GU58" s="100"/>
      <c r="GV58" s="100"/>
      <c r="GW58" s="100"/>
      <c r="GX58" s="100"/>
      <c r="GY58" s="100"/>
      <c r="GZ58" s="100"/>
      <c r="HA58" s="100"/>
      <c r="HB58" s="100"/>
      <c r="HC58" s="100"/>
      <c r="HD58" s="100"/>
      <c r="HE58" s="100"/>
      <c r="HF58" s="100"/>
      <c r="HG58" s="100"/>
      <c r="HH58" s="100"/>
      <c r="HI58" s="100"/>
      <c r="HJ58" s="100"/>
      <c r="HK58" s="100"/>
      <c r="HL58" s="100"/>
      <c r="HM58" s="100"/>
      <c r="HN58" s="100"/>
      <c r="HO58" s="100"/>
      <c r="HP58" s="100"/>
      <c r="HQ58" s="100"/>
      <c r="HR58" s="100"/>
      <c r="HS58" s="100"/>
      <c r="HT58" s="100"/>
      <c r="HU58" s="100"/>
      <c r="HV58" s="100"/>
      <c r="HW58" s="100"/>
      <c r="HX58" s="100"/>
      <c r="HY58" s="100"/>
      <c r="HZ58" s="100"/>
      <c r="IA58" s="100"/>
      <c r="IB58" s="100"/>
      <c r="IC58" s="100"/>
      <c r="ID58" s="100"/>
      <c r="IE58" s="100"/>
      <c r="IF58" s="100"/>
      <c r="IG58" s="100"/>
      <c r="IH58" s="100"/>
      <c r="II58" s="100"/>
      <c r="IJ58" s="100"/>
      <c r="IK58" s="100"/>
      <c r="IL58" s="100"/>
      <c r="IM58" s="100"/>
      <c r="IN58" s="100"/>
      <c r="IO58" s="100"/>
      <c r="IP58" s="100"/>
      <c r="IQ58" s="100"/>
      <c r="IR58" s="100"/>
      <c r="IS58" s="100"/>
      <c r="IT58" s="100"/>
      <c r="IU58" s="100"/>
      <c r="IV58" s="100"/>
      <c r="IW58" s="100"/>
      <c r="IX58" s="100"/>
      <c r="IY58" s="100"/>
      <c r="IZ58" s="100"/>
      <c r="JA58" s="100"/>
      <c r="JB58" s="100"/>
      <c r="JC58" s="100"/>
      <c r="JD58" s="100"/>
      <c r="JE58" s="100"/>
      <c r="JF58" s="100"/>
      <c r="JG58" s="100"/>
      <c r="JH58" s="100"/>
      <c r="JI58" s="100"/>
      <c r="JJ58" s="100"/>
      <c r="JK58" s="100"/>
      <c r="JL58" s="100"/>
      <c r="JM58" s="100"/>
      <c r="JN58" s="100"/>
      <c r="JO58" s="100"/>
      <c r="JP58" s="100"/>
      <c r="JQ58" s="100"/>
      <c r="JR58" s="100"/>
      <c r="JS58" s="100"/>
      <c r="JT58" s="100"/>
      <c r="JU58" s="100"/>
      <c r="JV58" s="100"/>
      <c r="JW58" s="100"/>
      <c r="JX58" s="100"/>
      <c r="JY58" s="100"/>
      <c r="JZ58" s="100"/>
      <c r="KA58" s="100"/>
      <c r="KB58" s="100"/>
      <c r="KC58" s="100"/>
      <c r="KD58" s="100"/>
      <c r="KE58" s="100"/>
      <c r="KF58" s="100"/>
      <c r="KG58" s="100"/>
      <c r="KH58" s="100"/>
      <c r="KI58" s="100"/>
      <c r="KJ58" s="100"/>
      <c r="KK58" s="100"/>
      <c r="KL58" s="100"/>
      <c r="KM58" s="100"/>
      <c r="KN58" s="100"/>
      <c r="KO58" s="100"/>
      <c r="KP58" s="100"/>
      <c r="KQ58" s="100"/>
      <c r="KR58" s="100"/>
      <c r="KS58" s="100"/>
      <c r="KT58" s="100"/>
      <c r="KU58" s="100"/>
      <c r="KV58" s="100"/>
      <c r="KW58" s="100"/>
      <c r="KX58" s="100"/>
      <c r="KY58" s="100"/>
      <c r="KZ58" s="100"/>
      <c r="LA58" s="100"/>
      <c r="LB58" s="100"/>
      <c r="LC58" s="100"/>
      <c r="LD58" s="100"/>
      <c r="LE58" s="100"/>
      <c r="LF58" s="100"/>
      <c r="LG58" s="100"/>
      <c r="LH58" s="100"/>
      <c r="LI58" s="100"/>
      <c r="LJ58" s="100"/>
      <c r="LK58" s="100"/>
      <c r="LL58" s="100"/>
      <c r="LM58" s="100"/>
      <c r="LN58" s="100"/>
      <c r="LO58" s="100"/>
      <c r="LP58" s="100"/>
      <c r="LQ58" s="100"/>
      <c r="LR58" s="100"/>
      <c r="LS58" s="100"/>
      <c r="LT58" s="100"/>
      <c r="LU58" s="100"/>
      <c r="LV58" s="100"/>
      <c r="LW58" s="100"/>
      <c r="LX58" s="100"/>
      <c r="LY58" s="100"/>
      <c r="LZ58" s="100"/>
      <c r="MA58" s="100"/>
      <c r="MB58" s="100"/>
      <c r="MC58" s="100"/>
      <c r="MD58" s="100"/>
      <c r="ME58" s="100"/>
      <c r="MF58" s="100"/>
      <c r="MG58" s="100"/>
      <c r="MH58" s="100"/>
      <c r="MI58" s="100"/>
      <c r="MJ58" s="100"/>
      <c r="MK58" s="100"/>
      <c r="ML58" s="100"/>
      <c r="MM58" s="100"/>
      <c r="MN58" s="100"/>
      <c r="MO58" s="100"/>
      <c r="MP58" s="100"/>
      <c r="MQ58" s="100"/>
      <c r="MR58" s="100">
        <v>2</v>
      </c>
      <c r="MS58" s="100">
        <v>6</v>
      </c>
      <c r="MT58" s="100">
        <v>0</v>
      </c>
    </row>
    <row r="59" spans="1:358" x14ac:dyDescent="0.25">
      <c r="A59" s="3" t="s">
        <v>1153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>
        <v>0</v>
      </c>
      <c r="BK59" s="4">
        <v>1</v>
      </c>
      <c r="BL59" s="4">
        <v>0</v>
      </c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>
        <v>0</v>
      </c>
      <c r="MS59" s="4">
        <v>1</v>
      </c>
      <c r="MT59" s="4">
        <v>0</v>
      </c>
    </row>
    <row r="60" spans="1:358" x14ac:dyDescent="0.25">
      <c r="A60" s="3" t="s">
        <v>717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>
        <v>0</v>
      </c>
      <c r="AV60" s="4">
        <v>1</v>
      </c>
      <c r="AW60" s="4">
        <v>0</v>
      </c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>
        <v>0</v>
      </c>
      <c r="EE60" s="4">
        <v>0</v>
      </c>
      <c r="EF60" s="4">
        <v>1</v>
      </c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>
        <v>0</v>
      </c>
      <c r="GJ60" s="4">
        <v>1</v>
      </c>
      <c r="GK60" s="4">
        <v>0</v>
      </c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>
        <v>0</v>
      </c>
      <c r="HT60" s="4">
        <v>1</v>
      </c>
      <c r="HU60" s="4">
        <v>0</v>
      </c>
      <c r="HV60" s="4"/>
      <c r="HW60" s="4"/>
      <c r="HX60" s="4"/>
      <c r="HY60" s="4"/>
      <c r="HZ60" s="4"/>
      <c r="IA60" s="4"/>
      <c r="IB60" s="4">
        <v>0</v>
      </c>
      <c r="IC60" s="4">
        <v>1</v>
      </c>
      <c r="ID60" s="4">
        <v>0</v>
      </c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>
        <v>0</v>
      </c>
      <c r="IU60" s="4">
        <v>0</v>
      </c>
      <c r="IV60" s="4">
        <v>1</v>
      </c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>
        <v>0</v>
      </c>
      <c r="MD60" s="4">
        <v>1</v>
      </c>
      <c r="ME60" s="4">
        <v>0</v>
      </c>
      <c r="MF60" s="4"/>
      <c r="MG60" s="4"/>
      <c r="MH60" s="4"/>
      <c r="MI60" s="4"/>
      <c r="MJ60" s="4"/>
      <c r="MK60" s="4"/>
      <c r="ML60" s="4">
        <v>0</v>
      </c>
      <c r="MM60" s="4">
        <v>1</v>
      </c>
      <c r="MN60" s="4">
        <v>0</v>
      </c>
      <c r="MO60" s="4"/>
      <c r="MP60" s="4"/>
      <c r="MQ60" s="4"/>
      <c r="MR60" s="4">
        <v>0</v>
      </c>
      <c r="MS60" s="4">
        <v>6</v>
      </c>
      <c r="MT60" s="4">
        <v>2</v>
      </c>
    </row>
    <row r="61" spans="1:358" x14ac:dyDescent="0.25">
      <c r="A61" s="3" t="s">
        <v>1767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>
        <v>1</v>
      </c>
      <c r="X61" s="4">
        <v>0</v>
      </c>
      <c r="Y61" s="4">
        <v>0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>
        <v>1</v>
      </c>
      <c r="MS61" s="4">
        <v>0</v>
      </c>
      <c r="MT61" s="4">
        <v>0</v>
      </c>
    </row>
    <row r="62" spans="1:358" x14ac:dyDescent="0.25">
      <c r="A62" s="3" t="s">
        <v>110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>
        <v>1</v>
      </c>
      <c r="BZ62" s="4">
        <v>0</v>
      </c>
      <c r="CA62" s="4">
        <v>0</v>
      </c>
      <c r="CB62" s="4">
        <v>0</v>
      </c>
      <c r="CC62" s="4">
        <v>1</v>
      </c>
      <c r="CD62" s="4">
        <v>0</v>
      </c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>
        <v>0</v>
      </c>
      <c r="JM62" s="4">
        <v>1</v>
      </c>
      <c r="JN62" s="4">
        <v>0</v>
      </c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>
        <v>1</v>
      </c>
      <c r="MS62" s="4">
        <v>2</v>
      </c>
      <c r="MT62" s="4">
        <v>0</v>
      </c>
    </row>
    <row r="63" spans="1:358" x14ac:dyDescent="0.25">
      <c r="A63" s="3" t="s">
        <v>432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>
        <v>0</v>
      </c>
      <c r="CU63" s="4">
        <v>1</v>
      </c>
      <c r="CV63" s="4">
        <v>0</v>
      </c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>
        <v>0</v>
      </c>
      <c r="KH63" s="4">
        <v>1</v>
      </c>
      <c r="KI63" s="4">
        <v>0</v>
      </c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>
        <v>0</v>
      </c>
      <c r="MS63" s="4">
        <v>2</v>
      </c>
      <c r="MT63" s="4">
        <v>0</v>
      </c>
    </row>
    <row r="64" spans="1:358" x14ac:dyDescent="0.25">
      <c r="A64" s="3" t="s">
        <v>1091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>
        <v>1</v>
      </c>
      <c r="CI64" s="4">
        <v>0</v>
      </c>
      <c r="CJ64" s="4">
        <v>0</v>
      </c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>
        <v>0</v>
      </c>
      <c r="HW64" s="4">
        <v>1</v>
      </c>
      <c r="HX64" s="4">
        <v>0</v>
      </c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>
        <v>1</v>
      </c>
      <c r="MS64" s="4">
        <v>1</v>
      </c>
      <c r="MT64" s="4">
        <v>0</v>
      </c>
    </row>
    <row r="65" spans="1:358" x14ac:dyDescent="0.25">
      <c r="A65" s="3" t="s">
        <v>978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>
        <v>0</v>
      </c>
      <c r="O65" s="4">
        <v>1</v>
      </c>
      <c r="P65" s="4">
        <v>0</v>
      </c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  <c r="MF65" s="4"/>
      <c r="MG65" s="4"/>
      <c r="MH65" s="4"/>
      <c r="MI65" s="4"/>
      <c r="MJ65" s="4"/>
      <c r="MK65" s="4"/>
      <c r="ML65" s="4"/>
      <c r="MM65" s="4"/>
      <c r="MN65" s="4"/>
      <c r="MO65" s="4"/>
      <c r="MP65" s="4"/>
      <c r="MQ65" s="4"/>
      <c r="MR65" s="4">
        <v>0</v>
      </c>
      <c r="MS65" s="4">
        <v>1</v>
      </c>
      <c r="MT65" s="4">
        <v>0</v>
      </c>
    </row>
    <row r="66" spans="1:358" x14ac:dyDescent="0.25">
      <c r="A66" s="3" t="s">
        <v>451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>
        <v>0</v>
      </c>
      <c r="U66" s="4">
        <v>1</v>
      </c>
      <c r="V66" s="4">
        <v>0</v>
      </c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>
        <v>0</v>
      </c>
      <c r="DV66" s="4">
        <v>1</v>
      </c>
      <c r="DW66" s="4">
        <v>0</v>
      </c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  <c r="MF66" s="4"/>
      <c r="MG66" s="4"/>
      <c r="MH66" s="4"/>
      <c r="MI66" s="4"/>
      <c r="MJ66" s="4"/>
      <c r="MK66" s="4"/>
      <c r="ML66" s="4"/>
      <c r="MM66" s="4"/>
      <c r="MN66" s="4"/>
      <c r="MO66" s="4"/>
      <c r="MP66" s="4"/>
      <c r="MQ66" s="4"/>
      <c r="MR66" s="4">
        <v>0</v>
      </c>
      <c r="MS66" s="4">
        <v>2</v>
      </c>
      <c r="MT66" s="4">
        <v>0</v>
      </c>
    </row>
    <row r="67" spans="1:358" x14ac:dyDescent="0.25">
      <c r="A67" s="99" t="s">
        <v>1010</v>
      </c>
      <c r="B67" s="100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>
        <v>1</v>
      </c>
      <c r="U67" s="100">
        <v>4</v>
      </c>
      <c r="V67" s="100">
        <v>0</v>
      </c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  <c r="BI67" s="100"/>
      <c r="BJ67" s="100"/>
      <c r="BK67" s="100"/>
      <c r="BL67" s="100"/>
      <c r="BM67" s="100"/>
      <c r="BN67" s="100"/>
      <c r="BO67" s="100"/>
      <c r="BP67" s="100"/>
      <c r="BQ67" s="100"/>
      <c r="BR67" s="100"/>
      <c r="BS67" s="100"/>
      <c r="BT67" s="100"/>
      <c r="BU67" s="100"/>
      <c r="BV67" s="100"/>
      <c r="BW67" s="100"/>
      <c r="BX67" s="100"/>
      <c r="BY67" s="100"/>
      <c r="BZ67" s="100"/>
      <c r="CA67" s="100"/>
      <c r="CB67" s="100"/>
      <c r="CC67" s="100"/>
      <c r="CD67" s="100"/>
      <c r="CE67" s="100"/>
      <c r="CF67" s="100"/>
      <c r="CG67" s="100"/>
      <c r="CH67" s="100"/>
      <c r="CI67" s="100"/>
      <c r="CJ67" s="100"/>
      <c r="CK67" s="100"/>
      <c r="CL67" s="100"/>
      <c r="CM67" s="100"/>
      <c r="CN67" s="100"/>
      <c r="CO67" s="100"/>
      <c r="CP67" s="100"/>
      <c r="CQ67" s="100"/>
      <c r="CR67" s="100"/>
      <c r="CS67" s="100"/>
      <c r="CT67" s="100"/>
      <c r="CU67" s="100"/>
      <c r="CV67" s="100"/>
      <c r="CW67" s="100"/>
      <c r="CX67" s="100"/>
      <c r="CY67" s="100"/>
      <c r="CZ67" s="100"/>
      <c r="DA67" s="100"/>
      <c r="DB67" s="100"/>
      <c r="DC67" s="100"/>
      <c r="DD67" s="100"/>
      <c r="DE67" s="100"/>
      <c r="DF67" s="100"/>
      <c r="DG67" s="100"/>
      <c r="DH67" s="100"/>
      <c r="DI67" s="100"/>
      <c r="DJ67" s="100"/>
      <c r="DK67" s="100"/>
      <c r="DL67" s="100"/>
      <c r="DM67" s="100"/>
      <c r="DN67" s="100"/>
      <c r="DO67" s="100"/>
      <c r="DP67" s="100"/>
      <c r="DQ67" s="100"/>
      <c r="DR67" s="100"/>
      <c r="DS67" s="100"/>
      <c r="DT67" s="100"/>
      <c r="DU67" s="100">
        <v>3</v>
      </c>
      <c r="DV67" s="100">
        <v>4</v>
      </c>
      <c r="DW67" s="100">
        <v>0</v>
      </c>
      <c r="DX67" s="100"/>
      <c r="DY67" s="100"/>
      <c r="DZ67" s="100"/>
      <c r="EA67" s="100"/>
      <c r="EB67" s="100"/>
      <c r="EC67" s="100"/>
      <c r="ED67" s="100"/>
      <c r="EE67" s="100"/>
      <c r="EF67" s="100"/>
      <c r="EG67" s="100"/>
      <c r="EH67" s="100"/>
      <c r="EI67" s="100"/>
      <c r="EJ67" s="100"/>
      <c r="EK67" s="100"/>
      <c r="EL67" s="100"/>
      <c r="EM67" s="100"/>
      <c r="EN67" s="100"/>
      <c r="EO67" s="100"/>
      <c r="EP67" s="100"/>
      <c r="EQ67" s="100"/>
      <c r="ER67" s="100"/>
      <c r="ES67" s="100"/>
      <c r="ET67" s="100"/>
      <c r="EU67" s="100"/>
      <c r="EV67" s="100"/>
      <c r="EW67" s="100"/>
      <c r="EX67" s="100"/>
      <c r="EY67" s="100"/>
      <c r="EZ67" s="100"/>
      <c r="FA67" s="100"/>
      <c r="FB67" s="100"/>
      <c r="FC67" s="100"/>
      <c r="FD67" s="100"/>
      <c r="FE67" s="100"/>
      <c r="FF67" s="100"/>
      <c r="FG67" s="100"/>
      <c r="FH67" s="100"/>
      <c r="FI67" s="100"/>
      <c r="FJ67" s="100"/>
      <c r="FK67" s="100"/>
      <c r="FL67" s="100"/>
      <c r="FM67" s="100"/>
      <c r="FN67" s="100"/>
      <c r="FO67" s="100"/>
      <c r="FP67" s="100"/>
      <c r="FQ67" s="100"/>
      <c r="FR67" s="100"/>
      <c r="FS67" s="100"/>
      <c r="FT67" s="100"/>
      <c r="FU67" s="100"/>
      <c r="FV67" s="100"/>
      <c r="FW67" s="100"/>
      <c r="FX67" s="100"/>
      <c r="FY67" s="100"/>
      <c r="FZ67" s="100"/>
      <c r="GA67" s="100"/>
      <c r="GB67" s="100"/>
      <c r="GC67" s="100"/>
      <c r="GD67" s="100"/>
      <c r="GE67" s="100"/>
      <c r="GF67" s="100"/>
      <c r="GG67" s="100"/>
      <c r="GH67" s="100"/>
      <c r="GI67" s="100"/>
      <c r="GJ67" s="100"/>
      <c r="GK67" s="100"/>
      <c r="GL67" s="100"/>
      <c r="GM67" s="100"/>
      <c r="GN67" s="100"/>
      <c r="GO67" s="100"/>
      <c r="GP67" s="100"/>
      <c r="GQ67" s="100"/>
      <c r="GR67" s="100"/>
      <c r="GS67" s="100"/>
      <c r="GT67" s="100"/>
      <c r="GU67" s="100"/>
      <c r="GV67" s="100"/>
      <c r="GW67" s="100"/>
      <c r="GX67" s="100"/>
      <c r="GY67" s="100"/>
      <c r="GZ67" s="100"/>
      <c r="HA67" s="100"/>
      <c r="HB67" s="100"/>
      <c r="HC67" s="100"/>
      <c r="HD67" s="100"/>
      <c r="HE67" s="100"/>
      <c r="HF67" s="100"/>
      <c r="HG67" s="100"/>
      <c r="HH67" s="100"/>
      <c r="HI67" s="100"/>
      <c r="HJ67" s="100"/>
      <c r="HK67" s="100"/>
      <c r="HL67" s="100"/>
      <c r="HM67" s="100"/>
      <c r="HN67" s="100"/>
      <c r="HO67" s="100"/>
      <c r="HP67" s="100"/>
      <c r="HQ67" s="100"/>
      <c r="HR67" s="100"/>
      <c r="HS67" s="100"/>
      <c r="HT67" s="100"/>
      <c r="HU67" s="100"/>
      <c r="HV67" s="100"/>
      <c r="HW67" s="100"/>
      <c r="HX67" s="100"/>
      <c r="HY67" s="100"/>
      <c r="HZ67" s="100"/>
      <c r="IA67" s="100"/>
      <c r="IB67" s="100"/>
      <c r="IC67" s="100"/>
      <c r="ID67" s="100"/>
      <c r="IE67" s="100"/>
      <c r="IF67" s="100"/>
      <c r="IG67" s="100"/>
      <c r="IH67" s="100"/>
      <c r="II67" s="100"/>
      <c r="IJ67" s="100"/>
      <c r="IK67" s="100"/>
      <c r="IL67" s="100"/>
      <c r="IM67" s="100"/>
      <c r="IN67" s="100"/>
      <c r="IO67" s="100"/>
      <c r="IP67" s="100"/>
      <c r="IQ67" s="100"/>
      <c r="IR67" s="100"/>
      <c r="IS67" s="100"/>
      <c r="IT67" s="100"/>
      <c r="IU67" s="100"/>
      <c r="IV67" s="100"/>
      <c r="IW67" s="100"/>
      <c r="IX67" s="100"/>
      <c r="IY67" s="100"/>
      <c r="IZ67" s="100"/>
      <c r="JA67" s="100"/>
      <c r="JB67" s="100"/>
      <c r="JC67" s="100"/>
      <c r="JD67" s="100"/>
      <c r="JE67" s="100"/>
      <c r="JF67" s="100"/>
      <c r="JG67" s="100"/>
      <c r="JH67" s="100"/>
      <c r="JI67" s="100"/>
      <c r="JJ67" s="100"/>
      <c r="JK67" s="100"/>
      <c r="JL67" s="100"/>
      <c r="JM67" s="100"/>
      <c r="JN67" s="100"/>
      <c r="JO67" s="100"/>
      <c r="JP67" s="100"/>
      <c r="JQ67" s="100"/>
      <c r="JR67" s="100"/>
      <c r="JS67" s="100"/>
      <c r="JT67" s="100"/>
      <c r="JU67" s="100"/>
      <c r="JV67" s="100"/>
      <c r="JW67" s="100"/>
      <c r="JX67" s="100"/>
      <c r="JY67" s="100"/>
      <c r="JZ67" s="100"/>
      <c r="KA67" s="100"/>
      <c r="KB67" s="100"/>
      <c r="KC67" s="100"/>
      <c r="KD67" s="100"/>
      <c r="KE67" s="100"/>
      <c r="KF67" s="100"/>
      <c r="KG67" s="100"/>
      <c r="KH67" s="100"/>
      <c r="KI67" s="100"/>
      <c r="KJ67" s="100"/>
      <c r="KK67" s="100"/>
      <c r="KL67" s="100"/>
      <c r="KM67" s="100"/>
      <c r="KN67" s="100"/>
      <c r="KO67" s="100"/>
      <c r="KP67" s="100"/>
      <c r="KQ67" s="100"/>
      <c r="KR67" s="100"/>
      <c r="KS67" s="100"/>
      <c r="KT67" s="100"/>
      <c r="KU67" s="100"/>
      <c r="KV67" s="100"/>
      <c r="KW67" s="100"/>
      <c r="KX67" s="100"/>
      <c r="KY67" s="100"/>
      <c r="KZ67" s="100"/>
      <c r="LA67" s="100"/>
      <c r="LB67" s="100"/>
      <c r="LC67" s="100"/>
      <c r="LD67" s="100"/>
      <c r="LE67" s="100"/>
      <c r="LF67" s="100"/>
      <c r="LG67" s="100"/>
      <c r="LH67" s="100"/>
      <c r="LI67" s="100"/>
      <c r="LJ67" s="100"/>
      <c r="LK67" s="100"/>
      <c r="LL67" s="100"/>
      <c r="LM67" s="100"/>
      <c r="LN67" s="100"/>
      <c r="LO67" s="100"/>
      <c r="LP67" s="100"/>
      <c r="LQ67" s="100"/>
      <c r="LR67" s="100"/>
      <c r="LS67" s="100"/>
      <c r="LT67" s="100"/>
      <c r="LU67" s="100"/>
      <c r="LV67" s="100"/>
      <c r="LW67" s="100"/>
      <c r="LX67" s="100"/>
      <c r="LY67" s="100"/>
      <c r="LZ67" s="100"/>
      <c r="MA67" s="100"/>
      <c r="MB67" s="100"/>
      <c r="MC67" s="100"/>
      <c r="MD67" s="100"/>
      <c r="ME67" s="100"/>
      <c r="MF67" s="100"/>
      <c r="MG67" s="100"/>
      <c r="MH67" s="100"/>
      <c r="MI67" s="100">
        <v>0</v>
      </c>
      <c r="MJ67" s="100">
        <v>1</v>
      </c>
      <c r="MK67" s="100">
        <v>0</v>
      </c>
      <c r="ML67" s="100"/>
      <c r="MM67" s="100"/>
      <c r="MN67" s="100"/>
      <c r="MO67" s="100"/>
      <c r="MP67" s="100"/>
      <c r="MQ67" s="100"/>
      <c r="MR67" s="100">
        <v>4</v>
      </c>
      <c r="MS67" s="100">
        <v>9</v>
      </c>
      <c r="MT67" s="100">
        <v>0</v>
      </c>
    </row>
    <row r="68" spans="1:358" x14ac:dyDescent="0.25">
      <c r="A68" s="3" t="s">
        <v>613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>
        <v>0</v>
      </c>
      <c r="R68" s="4">
        <v>1</v>
      </c>
      <c r="S68" s="4">
        <v>0</v>
      </c>
      <c r="T68" s="4">
        <v>0</v>
      </c>
      <c r="U68" s="4">
        <v>0</v>
      </c>
      <c r="V68" s="4">
        <v>1</v>
      </c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>
        <v>0</v>
      </c>
      <c r="DV68" s="4">
        <v>0</v>
      </c>
      <c r="DW68" s="4">
        <v>2</v>
      </c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>
        <v>0</v>
      </c>
      <c r="MS68" s="4">
        <v>1</v>
      </c>
      <c r="MT68" s="4">
        <v>3</v>
      </c>
    </row>
    <row r="69" spans="1:358" x14ac:dyDescent="0.25">
      <c r="A69" s="3" t="s">
        <v>1308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>
        <v>0</v>
      </c>
      <c r="DA69" s="4">
        <v>1</v>
      </c>
      <c r="DB69" s="4">
        <v>0</v>
      </c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>
        <v>0</v>
      </c>
      <c r="MS69" s="4">
        <v>1</v>
      </c>
      <c r="MT69" s="4">
        <v>0</v>
      </c>
    </row>
    <row r="70" spans="1:358" x14ac:dyDescent="0.25">
      <c r="A70" s="3" t="s">
        <v>389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>
        <v>0</v>
      </c>
      <c r="X70" s="4">
        <v>1</v>
      </c>
      <c r="Y70" s="4">
        <v>0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>
        <v>0</v>
      </c>
      <c r="MS70" s="4">
        <v>1</v>
      </c>
      <c r="MT70" s="4">
        <v>0</v>
      </c>
    </row>
    <row r="71" spans="1:358" x14ac:dyDescent="0.25">
      <c r="A71" s="3" t="s">
        <v>1036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>
        <v>0</v>
      </c>
      <c r="U71" s="4">
        <v>1</v>
      </c>
      <c r="V71" s="4">
        <v>0</v>
      </c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>
        <v>0</v>
      </c>
      <c r="EH71" s="4">
        <v>0</v>
      </c>
      <c r="EI71" s="4">
        <v>1</v>
      </c>
      <c r="EJ71" s="4"/>
      <c r="EK71" s="4"/>
      <c r="EL71" s="4"/>
      <c r="EM71" s="4"/>
      <c r="EN71" s="4"/>
      <c r="EO71" s="4"/>
      <c r="EP71" s="4">
        <v>0</v>
      </c>
      <c r="EQ71" s="4">
        <v>1</v>
      </c>
      <c r="ER71" s="4">
        <v>0</v>
      </c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>
        <v>0</v>
      </c>
      <c r="MS71" s="4">
        <v>2</v>
      </c>
      <c r="MT71" s="4">
        <v>1</v>
      </c>
    </row>
    <row r="72" spans="1:358" x14ac:dyDescent="0.25">
      <c r="A72" s="3" t="s">
        <v>1872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>
        <v>0</v>
      </c>
      <c r="ET72" s="4">
        <v>1</v>
      </c>
      <c r="EU72" s="4">
        <v>0</v>
      </c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>
        <v>0</v>
      </c>
      <c r="GY72" s="4">
        <v>1</v>
      </c>
      <c r="GZ72" s="4">
        <v>0</v>
      </c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>
        <v>0</v>
      </c>
      <c r="HN72" s="4">
        <v>1</v>
      </c>
      <c r="HO72" s="4">
        <v>0</v>
      </c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>
        <v>0</v>
      </c>
      <c r="MS72" s="4">
        <v>3</v>
      </c>
      <c r="MT72" s="4">
        <v>0</v>
      </c>
    </row>
    <row r="73" spans="1:358" x14ac:dyDescent="0.25">
      <c r="A73" s="3" t="s">
        <v>1381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>
        <v>0</v>
      </c>
      <c r="IL73" s="4">
        <v>1</v>
      </c>
      <c r="IM73" s="4">
        <v>0</v>
      </c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>
        <v>0</v>
      </c>
      <c r="MS73" s="4">
        <v>1</v>
      </c>
      <c r="MT73" s="4">
        <v>0</v>
      </c>
    </row>
    <row r="74" spans="1:358" x14ac:dyDescent="0.25">
      <c r="A74" s="3" t="s">
        <v>1547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>
        <v>0</v>
      </c>
      <c r="X74" s="4">
        <v>2</v>
      </c>
      <c r="Y74" s="4">
        <v>0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>
        <v>0</v>
      </c>
      <c r="MS74" s="4">
        <v>2</v>
      </c>
      <c r="MT74" s="4">
        <v>0</v>
      </c>
    </row>
    <row r="75" spans="1:358" x14ac:dyDescent="0.25">
      <c r="A75" s="3" t="s">
        <v>954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>
        <v>0</v>
      </c>
      <c r="AY75" s="4">
        <v>1</v>
      </c>
      <c r="AZ75" s="4">
        <v>0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>
        <v>1</v>
      </c>
      <c r="GJ75" s="4">
        <v>0</v>
      </c>
      <c r="GK75" s="4">
        <v>0</v>
      </c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>
        <v>1</v>
      </c>
      <c r="MS75" s="4">
        <v>1</v>
      </c>
      <c r="MT75" s="4">
        <v>0</v>
      </c>
    </row>
    <row r="76" spans="1:358" x14ac:dyDescent="0.25">
      <c r="A76" s="3" t="s">
        <v>1231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>
        <v>3</v>
      </c>
      <c r="V76" s="4">
        <v>0</v>
      </c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>
        <v>0</v>
      </c>
      <c r="BH76" s="4">
        <v>1</v>
      </c>
      <c r="BI76" s="4">
        <v>0</v>
      </c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>
        <v>1</v>
      </c>
      <c r="DV76" s="4">
        <v>4</v>
      </c>
      <c r="DW76" s="4">
        <v>0</v>
      </c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>
        <v>2</v>
      </c>
      <c r="MS76" s="4">
        <v>8</v>
      </c>
      <c r="MT76" s="4">
        <v>0</v>
      </c>
    </row>
    <row r="77" spans="1:358" x14ac:dyDescent="0.25">
      <c r="A77" s="3" t="s">
        <v>2077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>
        <v>0</v>
      </c>
      <c r="DY77" s="4">
        <v>0</v>
      </c>
      <c r="DZ77" s="4">
        <v>1</v>
      </c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  <c r="MF77" s="4"/>
      <c r="MG77" s="4"/>
      <c r="MH77" s="4"/>
      <c r="MI77" s="4"/>
      <c r="MJ77" s="4"/>
      <c r="MK77" s="4"/>
      <c r="ML77" s="4"/>
      <c r="MM77" s="4"/>
      <c r="MN77" s="4"/>
      <c r="MO77" s="4"/>
      <c r="MP77" s="4"/>
      <c r="MQ77" s="4"/>
      <c r="MR77" s="4">
        <v>0</v>
      </c>
      <c r="MS77" s="4">
        <v>0</v>
      </c>
      <c r="MT77" s="4">
        <v>1</v>
      </c>
    </row>
    <row r="78" spans="1:358" x14ac:dyDescent="0.25">
      <c r="A78" s="3" t="s">
        <v>729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>
        <v>0</v>
      </c>
      <c r="U78" s="4">
        <v>0</v>
      </c>
      <c r="V78" s="4">
        <v>1</v>
      </c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>
        <v>0</v>
      </c>
      <c r="EB78" s="4">
        <v>1</v>
      </c>
      <c r="EC78" s="4">
        <v>0</v>
      </c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>
        <v>0</v>
      </c>
      <c r="FU78" s="4">
        <v>1</v>
      </c>
      <c r="FV78" s="4">
        <v>0</v>
      </c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>
        <v>0</v>
      </c>
      <c r="KW78" s="4">
        <v>1</v>
      </c>
      <c r="KX78" s="4">
        <v>0</v>
      </c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  <c r="MF78" s="4"/>
      <c r="MG78" s="4"/>
      <c r="MH78" s="4"/>
      <c r="MI78" s="4"/>
      <c r="MJ78" s="4"/>
      <c r="MK78" s="4"/>
      <c r="ML78" s="4"/>
      <c r="MM78" s="4"/>
      <c r="MN78" s="4"/>
      <c r="MO78" s="4"/>
      <c r="MP78" s="4"/>
      <c r="MQ78" s="4"/>
      <c r="MR78" s="4">
        <v>0</v>
      </c>
      <c r="MS78" s="4">
        <v>3</v>
      </c>
      <c r="MT78" s="4">
        <v>1</v>
      </c>
    </row>
    <row r="79" spans="1:358" x14ac:dyDescent="0.25">
      <c r="A79" s="3" t="s">
        <v>1054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>
        <v>1</v>
      </c>
      <c r="U79" s="4">
        <v>0</v>
      </c>
      <c r="V79" s="4">
        <v>0</v>
      </c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>
        <v>0</v>
      </c>
      <c r="DV79" s="4">
        <v>1</v>
      </c>
      <c r="DW79" s="4">
        <v>0</v>
      </c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  <c r="MF79" s="4"/>
      <c r="MG79" s="4"/>
      <c r="MH79" s="4"/>
      <c r="MI79" s="4"/>
      <c r="MJ79" s="4"/>
      <c r="MK79" s="4"/>
      <c r="ML79" s="4"/>
      <c r="MM79" s="4"/>
      <c r="MN79" s="4"/>
      <c r="MO79" s="4"/>
      <c r="MP79" s="4"/>
      <c r="MQ79" s="4"/>
      <c r="MR79" s="4">
        <v>1</v>
      </c>
      <c r="MS79" s="4">
        <v>1</v>
      </c>
      <c r="MT79" s="4">
        <v>0</v>
      </c>
    </row>
    <row r="80" spans="1:358" x14ac:dyDescent="0.25">
      <c r="A80" s="3" t="s">
        <v>1187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>
        <v>0</v>
      </c>
      <c r="AG80" s="4">
        <v>1</v>
      </c>
      <c r="AH80" s="4">
        <v>0</v>
      </c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  <c r="MF80" s="4"/>
      <c r="MG80" s="4"/>
      <c r="MH80" s="4"/>
      <c r="MI80" s="4"/>
      <c r="MJ80" s="4"/>
      <c r="MK80" s="4"/>
      <c r="ML80" s="4"/>
      <c r="MM80" s="4"/>
      <c r="MN80" s="4"/>
      <c r="MO80" s="4"/>
      <c r="MP80" s="4"/>
      <c r="MQ80" s="4"/>
      <c r="MR80" s="4">
        <v>0</v>
      </c>
      <c r="MS80" s="4">
        <v>1</v>
      </c>
      <c r="MT80" s="4">
        <v>0</v>
      </c>
    </row>
    <row r="81" spans="1:358" x14ac:dyDescent="0.25">
      <c r="A81" s="3" t="s">
        <v>244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>
        <v>0</v>
      </c>
      <c r="FL81" s="4">
        <v>1</v>
      </c>
      <c r="FM81" s="4">
        <v>0</v>
      </c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  <c r="MF81" s="4"/>
      <c r="MG81" s="4"/>
      <c r="MH81" s="4"/>
      <c r="MI81" s="4"/>
      <c r="MJ81" s="4"/>
      <c r="MK81" s="4"/>
      <c r="ML81" s="4"/>
      <c r="MM81" s="4"/>
      <c r="MN81" s="4"/>
      <c r="MO81" s="4"/>
      <c r="MP81" s="4"/>
      <c r="MQ81" s="4"/>
      <c r="MR81" s="4">
        <v>0</v>
      </c>
      <c r="MS81" s="4">
        <v>1</v>
      </c>
      <c r="MT81" s="4">
        <v>0</v>
      </c>
    </row>
    <row r="82" spans="1:358" x14ac:dyDescent="0.25">
      <c r="A82" s="3" t="s">
        <v>1081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>
        <v>0</v>
      </c>
      <c r="O82" s="4">
        <v>1</v>
      </c>
      <c r="P82" s="4">
        <v>0</v>
      </c>
      <c r="Q82" s="4"/>
      <c r="R82" s="4"/>
      <c r="S82" s="4"/>
      <c r="T82" s="4"/>
      <c r="U82" s="4"/>
      <c r="V82" s="4"/>
      <c r="W82" s="4">
        <v>0</v>
      </c>
      <c r="X82" s="4">
        <v>0</v>
      </c>
      <c r="Y82" s="4">
        <v>1</v>
      </c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>
        <v>0</v>
      </c>
      <c r="AV82" s="4">
        <v>1</v>
      </c>
      <c r="AW82" s="4">
        <v>0</v>
      </c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  <c r="MF82" s="4"/>
      <c r="MG82" s="4"/>
      <c r="MH82" s="4"/>
      <c r="MI82" s="4"/>
      <c r="MJ82" s="4"/>
      <c r="MK82" s="4"/>
      <c r="ML82" s="4"/>
      <c r="MM82" s="4"/>
      <c r="MN82" s="4"/>
      <c r="MO82" s="4"/>
      <c r="MP82" s="4"/>
      <c r="MQ82" s="4"/>
      <c r="MR82" s="4">
        <v>0</v>
      </c>
      <c r="MS82" s="4">
        <v>2</v>
      </c>
      <c r="MT82" s="4">
        <v>1</v>
      </c>
    </row>
    <row r="83" spans="1:358" x14ac:dyDescent="0.25">
      <c r="A83" s="3" t="s">
        <v>1020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>
        <v>0</v>
      </c>
      <c r="U83" s="4">
        <v>2</v>
      </c>
      <c r="V83" s="4">
        <v>0</v>
      </c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>
        <v>0</v>
      </c>
      <c r="CU83" s="4">
        <v>1</v>
      </c>
      <c r="CV83" s="4">
        <v>0</v>
      </c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>
        <v>1</v>
      </c>
      <c r="DV83" s="4">
        <v>0</v>
      </c>
      <c r="DW83" s="4">
        <v>0</v>
      </c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>
        <v>0</v>
      </c>
      <c r="KH83" s="4">
        <v>1</v>
      </c>
      <c r="KI83" s="4">
        <v>0</v>
      </c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  <c r="MF83" s="4"/>
      <c r="MG83" s="4"/>
      <c r="MH83" s="4"/>
      <c r="MI83" s="4"/>
      <c r="MJ83" s="4"/>
      <c r="MK83" s="4"/>
      <c r="ML83" s="4"/>
      <c r="MM83" s="4"/>
      <c r="MN83" s="4"/>
      <c r="MO83" s="4"/>
      <c r="MP83" s="4"/>
      <c r="MQ83" s="4"/>
      <c r="MR83" s="4">
        <v>1</v>
      </c>
      <c r="MS83" s="4">
        <v>4</v>
      </c>
      <c r="MT83" s="4">
        <v>0</v>
      </c>
    </row>
    <row r="84" spans="1:358" x14ac:dyDescent="0.25">
      <c r="A84" s="3" t="s">
        <v>113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>
        <v>0</v>
      </c>
      <c r="CC84" s="4">
        <v>1</v>
      </c>
      <c r="CD84" s="4">
        <v>0</v>
      </c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  <c r="MF84" s="4"/>
      <c r="MG84" s="4"/>
      <c r="MH84" s="4"/>
      <c r="MI84" s="4"/>
      <c r="MJ84" s="4"/>
      <c r="MK84" s="4"/>
      <c r="ML84" s="4"/>
      <c r="MM84" s="4"/>
      <c r="MN84" s="4"/>
      <c r="MO84" s="4"/>
      <c r="MP84" s="4"/>
      <c r="MQ84" s="4"/>
      <c r="MR84" s="4">
        <v>0</v>
      </c>
      <c r="MS84" s="4">
        <v>1</v>
      </c>
      <c r="MT84" s="4">
        <v>0</v>
      </c>
    </row>
    <row r="85" spans="1:358" x14ac:dyDescent="0.25">
      <c r="A85" s="3" t="s">
        <v>2112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>
        <v>0</v>
      </c>
      <c r="U85" s="4">
        <v>0</v>
      </c>
      <c r="V85" s="4">
        <v>1</v>
      </c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>
        <v>0</v>
      </c>
      <c r="DV85" s="4">
        <v>0</v>
      </c>
      <c r="DW85" s="4">
        <v>1</v>
      </c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>
        <v>0</v>
      </c>
      <c r="MS85" s="4">
        <v>0</v>
      </c>
      <c r="MT85" s="4">
        <v>2</v>
      </c>
    </row>
    <row r="86" spans="1:358" x14ac:dyDescent="0.25">
      <c r="A86" s="3" t="s">
        <v>1918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>
        <v>0</v>
      </c>
      <c r="KQ86" s="4">
        <v>1</v>
      </c>
      <c r="KR86" s="4">
        <v>0</v>
      </c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  <c r="MF86" s="4"/>
      <c r="MG86" s="4"/>
      <c r="MH86" s="4"/>
      <c r="MI86" s="4"/>
      <c r="MJ86" s="4"/>
      <c r="MK86" s="4"/>
      <c r="ML86" s="4"/>
      <c r="MM86" s="4"/>
      <c r="MN86" s="4"/>
      <c r="MO86" s="4"/>
      <c r="MP86" s="4"/>
      <c r="MQ86" s="4"/>
      <c r="MR86" s="4">
        <v>0</v>
      </c>
      <c r="MS86" s="4">
        <v>1</v>
      </c>
      <c r="MT86" s="4">
        <v>0</v>
      </c>
    </row>
    <row r="87" spans="1:358" x14ac:dyDescent="0.25">
      <c r="A87" s="3" t="s">
        <v>104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>
        <v>0</v>
      </c>
      <c r="DP87" s="4">
        <v>1</v>
      </c>
      <c r="DQ87" s="4">
        <v>0</v>
      </c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>
        <v>0</v>
      </c>
      <c r="FX87" s="4">
        <v>1</v>
      </c>
      <c r="FY87" s="4">
        <v>0</v>
      </c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  <c r="MF87" s="4"/>
      <c r="MG87" s="4"/>
      <c r="MH87" s="4"/>
      <c r="MI87" s="4"/>
      <c r="MJ87" s="4"/>
      <c r="MK87" s="4"/>
      <c r="ML87" s="4"/>
      <c r="MM87" s="4"/>
      <c r="MN87" s="4"/>
      <c r="MO87" s="4"/>
      <c r="MP87" s="4"/>
      <c r="MQ87" s="4"/>
      <c r="MR87" s="4">
        <v>0</v>
      </c>
      <c r="MS87" s="4">
        <v>2</v>
      </c>
      <c r="MT87" s="4">
        <v>0</v>
      </c>
    </row>
    <row r="88" spans="1:358" x14ac:dyDescent="0.25">
      <c r="A88" s="3" t="s">
        <v>1891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>
        <v>0</v>
      </c>
      <c r="U88" s="4">
        <v>1</v>
      </c>
      <c r="V88" s="4">
        <v>0</v>
      </c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>
        <v>0</v>
      </c>
      <c r="DJ88" s="4">
        <v>0</v>
      </c>
      <c r="DK88" s="4">
        <v>1</v>
      </c>
      <c r="DL88" s="4"/>
      <c r="DM88" s="4"/>
      <c r="DN88" s="4"/>
      <c r="DO88" s="4"/>
      <c r="DP88" s="4"/>
      <c r="DQ88" s="4"/>
      <c r="DR88" s="4"/>
      <c r="DS88" s="4"/>
      <c r="DT88" s="4"/>
      <c r="DU88" s="4">
        <v>1</v>
      </c>
      <c r="DV88" s="4">
        <v>0</v>
      </c>
      <c r="DW88" s="4">
        <v>0</v>
      </c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  <c r="MF88" s="4"/>
      <c r="MG88" s="4"/>
      <c r="MH88" s="4"/>
      <c r="MI88" s="4"/>
      <c r="MJ88" s="4"/>
      <c r="MK88" s="4"/>
      <c r="ML88" s="4"/>
      <c r="MM88" s="4"/>
      <c r="MN88" s="4"/>
      <c r="MO88" s="4"/>
      <c r="MP88" s="4"/>
      <c r="MQ88" s="4"/>
      <c r="MR88" s="4">
        <v>1</v>
      </c>
      <c r="MS88" s="4">
        <v>1</v>
      </c>
      <c r="MT88" s="4">
        <v>1</v>
      </c>
    </row>
    <row r="89" spans="1:358" x14ac:dyDescent="0.25">
      <c r="A89" s="3" t="s">
        <v>778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>
        <v>4</v>
      </c>
      <c r="V89" s="4">
        <v>1</v>
      </c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>
        <v>0</v>
      </c>
      <c r="DV89" s="4">
        <v>0</v>
      </c>
      <c r="DW89" s="4">
        <v>1</v>
      </c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  <c r="MF89" s="4"/>
      <c r="MG89" s="4"/>
      <c r="MH89" s="4"/>
      <c r="MI89" s="4"/>
      <c r="MJ89" s="4"/>
      <c r="MK89" s="4"/>
      <c r="ML89" s="4"/>
      <c r="MM89" s="4"/>
      <c r="MN89" s="4"/>
      <c r="MO89" s="4"/>
      <c r="MP89" s="4"/>
      <c r="MQ89" s="4"/>
      <c r="MR89" s="4">
        <v>1</v>
      </c>
      <c r="MS89" s="4">
        <v>4</v>
      </c>
      <c r="MT89" s="4">
        <v>2</v>
      </c>
    </row>
    <row r="90" spans="1:358" x14ac:dyDescent="0.25">
      <c r="A90" s="3" t="s">
        <v>194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>
        <v>0</v>
      </c>
      <c r="AV90" s="4">
        <v>3</v>
      </c>
      <c r="AW90" s="4">
        <v>0</v>
      </c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>
        <v>0</v>
      </c>
      <c r="GM90" s="4">
        <v>0</v>
      </c>
      <c r="GN90" s="4">
        <v>1</v>
      </c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  <c r="MF90" s="4"/>
      <c r="MG90" s="4"/>
      <c r="MH90" s="4"/>
      <c r="MI90" s="4"/>
      <c r="MJ90" s="4"/>
      <c r="MK90" s="4"/>
      <c r="ML90" s="4"/>
      <c r="MM90" s="4"/>
      <c r="MN90" s="4"/>
      <c r="MO90" s="4"/>
      <c r="MP90" s="4"/>
      <c r="MQ90" s="4"/>
      <c r="MR90" s="4">
        <v>0</v>
      </c>
      <c r="MS90" s="4">
        <v>3</v>
      </c>
      <c r="MT90" s="4">
        <v>1</v>
      </c>
    </row>
    <row r="91" spans="1:358" x14ac:dyDescent="0.25">
      <c r="A91" s="3" t="s">
        <v>554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>
        <v>0</v>
      </c>
      <c r="X91" s="4">
        <v>1</v>
      </c>
      <c r="Y91" s="4">
        <v>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>
        <v>0</v>
      </c>
      <c r="AV91" s="4">
        <v>1</v>
      </c>
      <c r="AW91" s="4">
        <v>0</v>
      </c>
      <c r="AX91" s="4">
        <v>1</v>
      </c>
      <c r="AY91" s="4">
        <v>0</v>
      </c>
      <c r="AZ91" s="4">
        <v>0</v>
      </c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>
        <v>0</v>
      </c>
      <c r="DV91" s="4">
        <v>3</v>
      </c>
      <c r="DW91" s="4">
        <v>0</v>
      </c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>
        <v>0</v>
      </c>
      <c r="GA91" s="4">
        <v>1</v>
      </c>
      <c r="GB91" s="4">
        <v>0</v>
      </c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>
        <v>0</v>
      </c>
      <c r="LR91" s="4">
        <v>1</v>
      </c>
      <c r="LS91" s="4">
        <v>0</v>
      </c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  <c r="MF91" s="4"/>
      <c r="MG91" s="4"/>
      <c r="MH91" s="4"/>
      <c r="MI91" s="4"/>
      <c r="MJ91" s="4"/>
      <c r="MK91" s="4"/>
      <c r="ML91" s="4"/>
      <c r="MM91" s="4"/>
      <c r="MN91" s="4"/>
      <c r="MO91" s="4"/>
      <c r="MP91" s="4"/>
      <c r="MQ91" s="4"/>
      <c r="MR91" s="4">
        <v>1</v>
      </c>
      <c r="MS91" s="4">
        <v>7</v>
      </c>
      <c r="MT91" s="4">
        <v>0</v>
      </c>
    </row>
    <row r="92" spans="1:358" x14ac:dyDescent="0.25">
      <c r="A92" s="3" t="s">
        <v>2024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>
        <v>0</v>
      </c>
      <c r="X92" s="4">
        <v>1</v>
      </c>
      <c r="Y92" s="4">
        <v>0</v>
      </c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>
        <v>1</v>
      </c>
      <c r="AV92" s="4">
        <v>0</v>
      </c>
      <c r="AW92" s="4">
        <v>0</v>
      </c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>
        <v>0</v>
      </c>
      <c r="CF92" s="4">
        <v>1</v>
      </c>
      <c r="CG92" s="4">
        <v>0</v>
      </c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>
        <v>0</v>
      </c>
      <c r="DV92" s="4">
        <v>1</v>
      </c>
      <c r="DW92" s="4">
        <v>0</v>
      </c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  <c r="MF92" s="4"/>
      <c r="MG92" s="4"/>
      <c r="MH92" s="4"/>
      <c r="MI92" s="4"/>
      <c r="MJ92" s="4"/>
      <c r="MK92" s="4"/>
      <c r="ML92" s="4"/>
      <c r="MM92" s="4"/>
      <c r="MN92" s="4"/>
      <c r="MO92" s="4"/>
      <c r="MP92" s="4"/>
      <c r="MQ92" s="4"/>
      <c r="MR92" s="4">
        <v>1</v>
      </c>
      <c r="MS92" s="4">
        <v>3</v>
      </c>
      <c r="MT92" s="4">
        <v>0</v>
      </c>
    </row>
    <row r="93" spans="1:358" x14ac:dyDescent="0.25">
      <c r="A93" s="3" t="s">
        <v>1505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>
        <v>1</v>
      </c>
      <c r="AV93" s="4">
        <v>0</v>
      </c>
      <c r="AW93" s="4">
        <v>0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>
        <v>1</v>
      </c>
      <c r="GJ93" s="4">
        <v>0</v>
      </c>
      <c r="GK93" s="4">
        <v>0</v>
      </c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  <c r="MF93" s="4"/>
      <c r="MG93" s="4"/>
      <c r="MH93" s="4"/>
      <c r="MI93" s="4"/>
      <c r="MJ93" s="4"/>
      <c r="MK93" s="4"/>
      <c r="ML93" s="4"/>
      <c r="MM93" s="4"/>
      <c r="MN93" s="4"/>
      <c r="MO93" s="4"/>
      <c r="MP93" s="4"/>
      <c r="MQ93" s="4"/>
      <c r="MR93" s="4">
        <v>2</v>
      </c>
      <c r="MS93" s="4">
        <v>0</v>
      </c>
      <c r="MT93" s="4">
        <v>0</v>
      </c>
    </row>
    <row r="94" spans="1:358" x14ac:dyDescent="0.25">
      <c r="A94" s="3" t="s">
        <v>1800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>
        <v>0</v>
      </c>
      <c r="DY94" s="4">
        <v>1</v>
      </c>
      <c r="DZ94" s="4">
        <v>0</v>
      </c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  <c r="MF94" s="4"/>
      <c r="MG94" s="4"/>
      <c r="MH94" s="4"/>
      <c r="MI94" s="4"/>
      <c r="MJ94" s="4"/>
      <c r="MK94" s="4"/>
      <c r="ML94" s="4"/>
      <c r="MM94" s="4"/>
      <c r="MN94" s="4"/>
      <c r="MO94" s="4"/>
      <c r="MP94" s="4"/>
      <c r="MQ94" s="4"/>
      <c r="MR94" s="4">
        <v>0</v>
      </c>
      <c r="MS94" s="4">
        <v>1</v>
      </c>
      <c r="MT94" s="4">
        <v>0</v>
      </c>
    </row>
    <row r="95" spans="1:358" x14ac:dyDescent="0.25">
      <c r="A95" s="3" t="s">
        <v>1456</v>
      </c>
      <c r="B95" s="103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  <c r="AA95" s="103"/>
      <c r="AB95" s="103"/>
      <c r="AC95" s="103"/>
      <c r="AD95" s="103"/>
      <c r="AE95" s="103"/>
      <c r="AF95" s="103"/>
      <c r="AG95" s="103"/>
      <c r="AH95" s="103"/>
      <c r="AI95" s="103"/>
      <c r="AJ95" s="103"/>
      <c r="AK95" s="103"/>
      <c r="AL95" s="103"/>
      <c r="AM95" s="103"/>
      <c r="AN95" s="103"/>
      <c r="AO95" s="103"/>
      <c r="AP95" s="103"/>
      <c r="AQ95" s="103"/>
      <c r="AR95" s="103"/>
      <c r="AS95" s="103"/>
      <c r="AT95" s="103"/>
      <c r="AU95" s="103">
        <v>1</v>
      </c>
      <c r="AV95" s="103">
        <v>0</v>
      </c>
      <c r="AW95" s="103">
        <v>0</v>
      </c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  <c r="BM95" s="103"/>
      <c r="BN95" s="103"/>
      <c r="BO95" s="103"/>
      <c r="BP95" s="103"/>
      <c r="BQ95" s="103"/>
      <c r="BR95" s="103"/>
      <c r="BS95" s="103"/>
      <c r="BT95" s="103"/>
      <c r="BU95" s="103"/>
      <c r="BV95" s="103"/>
      <c r="BW95" s="103"/>
      <c r="BX95" s="103"/>
      <c r="BY95" s="103"/>
      <c r="BZ95" s="103"/>
      <c r="CA95" s="103"/>
      <c r="CB95" s="103"/>
      <c r="CC95" s="103"/>
      <c r="CD95" s="103"/>
      <c r="CE95" s="103"/>
      <c r="CF95" s="103"/>
      <c r="CG95" s="103"/>
      <c r="CH95" s="103"/>
      <c r="CI95" s="103"/>
      <c r="CJ95" s="103"/>
      <c r="CK95" s="103"/>
      <c r="CL95" s="103"/>
      <c r="CM95" s="103"/>
      <c r="CN95" s="103"/>
      <c r="CO95" s="103"/>
      <c r="CP95" s="103"/>
      <c r="CQ95" s="103"/>
      <c r="CR95" s="103"/>
      <c r="CS95" s="103"/>
      <c r="CT95" s="103"/>
      <c r="CU95" s="103"/>
      <c r="CV95" s="103"/>
      <c r="CW95" s="103"/>
      <c r="CX95" s="103"/>
      <c r="CY95" s="103"/>
      <c r="CZ95" s="103"/>
      <c r="DA95" s="103"/>
      <c r="DB95" s="103"/>
      <c r="DC95" s="103"/>
      <c r="DD95" s="103"/>
      <c r="DE95" s="103"/>
      <c r="DF95" s="103"/>
      <c r="DG95" s="103"/>
      <c r="DH95" s="103"/>
      <c r="DI95" s="103"/>
      <c r="DJ95" s="103"/>
      <c r="DK95" s="103"/>
      <c r="DL95" s="103"/>
      <c r="DM95" s="103"/>
      <c r="DN95" s="103"/>
      <c r="DO95" s="103"/>
      <c r="DP95" s="103"/>
      <c r="DQ95" s="103"/>
      <c r="DR95" s="103"/>
      <c r="DS95" s="103"/>
      <c r="DT95" s="103"/>
      <c r="DU95" s="103"/>
      <c r="DV95" s="103"/>
      <c r="DW95" s="103"/>
      <c r="DX95" s="103"/>
      <c r="DY95" s="103"/>
      <c r="DZ95" s="103"/>
      <c r="EA95" s="103"/>
      <c r="EB95" s="103"/>
      <c r="EC95" s="103"/>
      <c r="ED95" s="103"/>
      <c r="EE95" s="103"/>
      <c r="EF95" s="103"/>
      <c r="EG95" s="103"/>
      <c r="EH95" s="103"/>
      <c r="EI95" s="103"/>
      <c r="EJ95" s="103"/>
      <c r="EK95" s="103"/>
      <c r="EL95" s="103"/>
      <c r="EM95" s="103"/>
      <c r="EN95" s="103"/>
      <c r="EO95" s="103"/>
      <c r="EP95" s="103"/>
      <c r="EQ95" s="103"/>
      <c r="ER95" s="103"/>
      <c r="ES95" s="103"/>
      <c r="ET95" s="103"/>
      <c r="EU95" s="103"/>
      <c r="EV95" s="103"/>
      <c r="EW95" s="103"/>
      <c r="EX95" s="103"/>
      <c r="EY95" s="103"/>
      <c r="EZ95" s="103"/>
      <c r="FA95" s="103"/>
      <c r="FB95" s="103"/>
      <c r="FC95" s="103"/>
      <c r="FD95" s="103"/>
      <c r="FE95" s="103"/>
      <c r="FF95" s="103"/>
      <c r="FG95" s="103"/>
      <c r="FH95" s="103"/>
      <c r="FI95" s="103"/>
      <c r="FJ95" s="103"/>
      <c r="FK95" s="103"/>
      <c r="FL95" s="103"/>
      <c r="FM95" s="103"/>
      <c r="FN95" s="103"/>
      <c r="FO95" s="103"/>
      <c r="FP95" s="103"/>
      <c r="FQ95" s="103"/>
      <c r="FR95" s="103"/>
      <c r="FS95" s="103"/>
      <c r="FT95" s="103"/>
      <c r="FU95" s="103"/>
      <c r="FV95" s="103"/>
      <c r="FW95" s="103"/>
      <c r="FX95" s="103"/>
      <c r="FY95" s="103"/>
      <c r="FZ95" s="103"/>
      <c r="GA95" s="103"/>
      <c r="GB95" s="103"/>
      <c r="GC95" s="103"/>
      <c r="GD95" s="103"/>
      <c r="GE95" s="103"/>
      <c r="GF95" s="103"/>
      <c r="GG95" s="103"/>
      <c r="GH95" s="103"/>
      <c r="GI95" s="103">
        <v>0</v>
      </c>
      <c r="GJ95" s="103">
        <v>1</v>
      </c>
      <c r="GK95" s="103">
        <v>0</v>
      </c>
      <c r="GL95" s="103"/>
      <c r="GM95" s="103"/>
      <c r="GN95" s="103"/>
      <c r="GO95" s="103"/>
      <c r="GP95" s="103"/>
      <c r="GQ95" s="103"/>
      <c r="GR95" s="103"/>
      <c r="GS95" s="103"/>
      <c r="GT95" s="103"/>
      <c r="GU95" s="103"/>
      <c r="GV95" s="103"/>
      <c r="GW95" s="103"/>
      <c r="GX95" s="103"/>
      <c r="GY95" s="103"/>
      <c r="GZ95" s="103"/>
      <c r="HA95" s="103"/>
      <c r="HB95" s="103"/>
      <c r="HC95" s="103"/>
      <c r="HD95" s="103"/>
      <c r="HE95" s="103"/>
      <c r="HF95" s="103"/>
      <c r="HG95" s="103"/>
      <c r="HH95" s="103"/>
      <c r="HI95" s="103"/>
      <c r="HJ95" s="103"/>
      <c r="HK95" s="103"/>
      <c r="HL95" s="103"/>
      <c r="HM95" s="103"/>
      <c r="HN95" s="103"/>
      <c r="HO95" s="103"/>
      <c r="HP95" s="103"/>
      <c r="HQ95" s="103"/>
      <c r="HR95" s="103"/>
      <c r="HS95" s="103"/>
      <c r="HT95" s="103"/>
      <c r="HU95" s="103"/>
      <c r="HV95" s="103"/>
      <c r="HW95" s="103"/>
      <c r="HX95" s="103"/>
      <c r="HY95" s="103"/>
      <c r="HZ95" s="103"/>
      <c r="IA95" s="103"/>
      <c r="IB95" s="103"/>
      <c r="IC95" s="103"/>
      <c r="ID95" s="103"/>
      <c r="IE95" s="103"/>
      <c r="IF95" s="103"/>
      <c r="IG95" s="103"/>
      <c r="IH95" s="103"/>
      <c r="II95" s="103"/>
      <c r="IJ95" s="103"/>
      <c r="IK95" s="103"/>
      <c r="IL95" s="103"/>
      <c r="IM95" s="103"/>
      <c r="IN95" s="103"/>
      <c r="IO95" s="103"/>
      <c r="IP95" s="103"/>
      <c r="IQ95" s="103"/>
      <c r="IR95" s="103"/>
      <c r="IS95" s="103"/>
      <c r="IT95" s="103"/>
      <c r="IU95" s="103"/>
      <c r="IV95" s="103"/>
      <c r="IW95" s="103"/>
      <c r="IX95" s="103"/>
      <c r="IY95" s="103"/>
      <c r="IZ95" s="103"/>
      <c r="JA95" s="103"/>
      <c r="JB95" s="103"/>
      <c r="JC95" s="103"/>
      <c r="JD95" s="103"/>
      <c r="JE95" s="103"/>
      <c r="JF95" s="103"/>
      <c r="JG95" s="103"/>
      <c r="JH95" s="103"/>
      <c r="JI95" s="103"/>
      <c r="JJ95" s="103"/>
      <c r="JK95" s="103"/>
      <c r="JL95" s="103"/>
      <c r="JM95" s="103"/>
      <c r="JN95" s="103"/>
      <c r="JO95" s="103"/>
      <c r="JP95" s="103"/>
      <c r="JQ95" s="103"/>
      <c r="JR95" s="103"/>
      <c r="JS95" s="103"/>
      <c r="JT95" s="103"/>
      <c r="JU95" s="103"/>
      <c r="JV95" s="103"/>
      <c r="JW95" s="103"/>
      <c r="JX95" s="103"/>
      <c r="JY95" s="103"/>
      <c r="JZ95" s="103"/>
      <c r="KA95" s="103"/>
      <c r="KB95" s="103"/>
      <c r="KC95" s="103"/>
      <c r="KD95" s="103"/>
      <c r="KE95" s="103"/>
      <c r="KF95" s="103"/>
      <c r="KG95" s="103"/>
      <c r="KH95" s="103"/>
      <c r="KI95" s="103"/>
      <c r="KJ95" s="103"/>
      <c r="KK95" s="103"/>
      <c r="KL95" s="103"/>
      <c r="KM95" s="103"/>
      <c r="KN95" s="103"/>
      <c r="KO95" s="103"/>
      <c r="KP95" s="103"/>
      <c r="KQ95" s="103"/>
      <c r="KR95" s="103"/>
      <c r="KS95" s="103"/>
      <c r="KT95" s="103"/>
      <c r="KU95" s="103"/>
      <c r="KV95" s="103"/>
      <c r="KW95" s="103"/>
      <c r="KX95" s="103"/>
      <c r="KY95" s="103"/>
      <c r="KZ95" s="103"/>
      <c r="LA95" s="103"/>
      <c r="LB95" s="103"/>
      <c r="LC95" s="103"/>
      <c r="LD95" s="103"/>
      <c r="LE95" s="103"/>
      <c r="LF95" s="103"/>
      <c r="LG95" s="103"/>
      <c r="LH95" s="103"/>
      <c r="LI95" s="103"/>
      <c r="LJ95" s="103"/>
      <c r="LK95" s="103"/>
      <c r="LL95" s="103"/>
      <c r="LM95" s="103"/>
      <c r="LN95" s="103"/>
      <c r="LO95" s="103"/>
      <c r="LP95" s="103"/>
      <c r="LQ95" s="103"/>
      <c r="LR95" s="103"/>
      <c r="LS95" s="103"/>
      <c r="LT95" s="103"/>
      <c r="LU95" s="103"/>
      <c r="LV95" s="103"/>
      <c r="LW95" s="103"/>
      <c r="LX95" s="103"/>
      <c r="LY95" s="103"/>
      <c r="LZ95" s="103"/>
      <c r="MA95" s="103"/>
      <c r="MB95" s="103"/>
      <c r="MC95" s="103"/>
      <c r="MD95" s="103"/>
      <c r="ME95" s="103"/>
      <c r="MF95" s="103"/>
      <c r="MG95" s="103"/>
      <c r="MH95" s="103"/>
      <c r="MI95" s="103"/>
      <c r="MJ95" s="103"/>
      <c r="MK95" s="103"/>
      <c r="ML95" s="103"/>
      <c r="MM95" s="103"/>
      <c r="MN95" s="103"/>
      <c r="MO95" s="103"/>
      <c r="MP95" s="103"/>
      <c r="MQ95" s="103"/>
      <c r="MR95" s="103">
        <v>1</v>
      </c>
      <c r="MS95" s="103">
        <v>1</v>
      </c>
      <c r="MT95" s="103">
        <v>0</v>
      </c>
    </row>
    <row r="96" spans="1:358" x14ac:dyDescent="0.25">
      <c r="A96" s="3" t="s">
        <v>79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>
        <v>0</v>
      </c>
      <c r="DP96" s="4">
        <v>1</v>
      </c>
      <c r="DQ96" s="4">
        <v>0</v>
      </c>
      <c r="DR96" s="4"/>
      <c r="DS96" s="4"/>
      <c r="DT96" s="4"/>
      <c r="DU96" s="4">
        <v>0</v>
      </c>
      <c r="DV96" s="4">
        <v>1</v>
      </c>
      <c r="DW96" s="4">
        <v>0</v>
      </c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  <c r="MF96" s="4"/>
      <c r="MG96" s="4"/>
      <c r="MH96" s="4"/>
      <c r="MI96" s="4"/>
      <c r="MJ96" s="4"/>
      <c r="MK96" s="4"/>
      <c r="ML96" s="4"/>
      <c r="MM96" s="4"/>
      <c r="MN96" s="4"/>
      <c r="MO96" s="4"/>
      <c r="MP96" s="4"/>
      <c r="MQ96" s="4"/>
      <c r="MR96" s="4">
        <v>0</v>
      </c>
      <c r="MS96" s="4">
        <v>2</v>
      </c>
      <c r="MT96" s="4">
        <v>0</v>
      </c>
    </row>
    <row r="97" spans="1:358" x14ac:dyDescent="0.25">
      <c r="A97" s="3" t="s">
        <v>1948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>
        <v>0</v>
      </c>
      <c r="AY97" s="4">
        <v>2</v>
      </c>
      <c r="AZ97" s="4">
        <v>0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  <c r="MF97" s="4"/>
      <c r="MG97" s="4"/>
      <c r="MH97" s="4"/>
      <c r="MI97" s="4"/>
      <c r="MJ97" s="4"/>
      <c r="MK97" s="4"/>
      <c r="ML97" s="4"/>
      <c r="MM97" s="4"/>
      <c r="MN97" s="4"/>
      <c r="MO97" s="4"/>
      <c r="MP97" s="4"/>
      <c r="MQ97" s="4"/>
      <c r="MR97" s="4">
        <v>0</v>
      </c>
      <c r="MS97" s="4">
        <v>2</v>
      </c>
      <c r="MT97" s="4">
        <v>0</v>
      </c>
    </row>
    <row r="98" spans="1:358" x14ac:dyDescent="0.25">
      <c r="A98" s="3" t="s">
        <v>514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>
        <v>0</v>
      </c>
      <c r="U98" s="4">
        <v>0</v>
      </c>
      <c r="V98" s="4">
        <v>1</v>
      </c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>
        <v>0</v>
      </c>
      <c r="CX98" s="4">
        <v>1</v>
      </c>
      <c r="CY98" s="4">
        <v>0</v>
      </c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>
        <v>0</v>
      </c>
      <c r="DV98" s="4">
        <v>0</v>
      </c>
      <c r="DW98" s="4">
        <v>1</v>
      </c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  <c r="MF98" s="4"/>
      <c r="MG98" s="4"/>
      <c r="MH98" s="4"/>
      <c r="MI98" s="4"/>
      <c r="MJ98" s="4"/>
      <c r="MK98" s="4"/>
      <c r="ML98" s="4"/>
      <c r="MM98" s="4"/>
      <c r="MN98" s="4"/>
      <c r="MO98" s="4"/>
      <c r="MP98" s="4"/>
      <c r="MQ98" s="4"/>
      <c r="MR98" s="4">
        <v>0</v>
      </c>
      <c r="MS98" s="4">
        <v>1</v>
      </c>
      <c r="MT98" s="4">
        <v>2</v>
      </c>
    </row>
    <row r="99" spans="1:358" x14ac:dyDescent="0.25">
      <c r="A99" s="3" t="s">
        <v>347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>
        <v>0</v>
      </c>
      <c r="X99" s="4">
        <v>1</v>
      </c>
      <c r="Y99" s="4">
        <v>0</v>
      </c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  <c r="MF99" s="4"/>
      <c r="MG99" s="4"/>
      <c r="MH99" s="4"/>
      <c r="MI99" s="4"/>
      <c r="MJ99" s="4"/>
      <c r="MK99" s="4"/>
      <c r="ML99" s="4"/>
      <c r="MM99" s="4"/>
      <c r="MN99" s="4"/>
      <c r="MO99" s="4"/>
      <c r="MP99" s="4"/>
      <c r="MQ99" s="4"/>
      <c r="MR99" s="4">
        <v>0</v>
      </c>
      <c r="MS99" s="4">
        <v>1</v>
      </c>
      <c r="MT99" s="4">
        <v>0</v>
      </c>
    </row>
    <row r="100" spans="1:358" x14ac:dyDescent="0.25">
      <c r="A100" s="3" t="s">
        <v>157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>
        <v>0</v>
      </c>
      <c r="U100" s="4">
        <v>2</v>
      </c>
      <c r="V100" s="4">
        <v>0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>
        <v>1</v>
      </c>
      <c r="DV100" s="4">
        <v>0</v>
      </c>
      <c r="DW100" s="4">
        <v>0</v>
      </c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4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  <c r="MF100" s="4"/>
      <c r="MG100" s="4"/>
      <c r="MH100" s="4"/>
      <c r="MI100" s="4"/>
      <c r="MJ100" s="4"/>
      <c r="MK100" s="4"/>
      <c r="ML100" s="4"/>
      <c r="MM100" s="4"/>
      <c r="MN100" s="4"/>
      <c r="MO100" s="4"/>
      <c r="MP100" s="4"/>
      <c r="MQ100" s="4"/>
      <c r="MR100" s="4">
        <v>1</v>
      </c>
      <c r="MS100" s="4">
        <v>2</v>
      </c>
      <c r="MT100" s="4">
        <v>0</v>
      </c>
    </row>
    <row r="101" spans="1:358" x14ac:dyDescent="0.25">
      <c r="A101" s="3" t="s">
        <v>28</v>
      </c>
      <c r="B101" s="4"/>
      <c r="C101" s="4"/>
      <c r="D101" s="4"/>
      <c r="E101" s="4">
        <v>0</v>
      </c>
      <c r="F101" s="4">
        <v>1</v>
      </c>
      <c r="G101" s="4">
        <v>0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>
        <v>0</v>
      </c>
      <c r="U101" s="4">
        <v>0</v>
      </c>
      <c r="V101" s="4">
        <v>2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>
        <v>1</v>
      </c>
      <c r="DS101" s="4">
        <v>0</v>
      </c>
      <c r="DT101" s="4">
        <v>0</v>
      </c>
      <c r="DU101" s="4">
        <v>0</v>
      </c>
      <c r="DV101" s="4">
        <v>1</v>
      </c>
      <c r="DW101" s="4">
        <v>1</v>
      </c>
      <c r="DX101" s="4">
        <v>1</v>
      </c>
      <c r="DY101" s="4">
        <v>0</v>
      </c>
      <c r="DZ101" s="4">
        <v>0</v>
      </c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>
        <v>2</v>
      </c>
      <c r="MS101" s="4">
        <v>2</v>
      </c>
      <c r="MT101" s="4">
        <v>3</v>
      </c>
    </row>
    <row r="102" spans="1:358" x14ac:dyDescent="0.25">
      <c r="A102" s="3" t="s">
        <v>1263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>
        <v>0</v>
      </c>
      <c r="DV102" s="4">
        <v>1</v>
      </c>
      <c r="DW102" s="4">
        <v>0</v>
      </c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>
        <v>0</v>
      </c>
      <c r="MS102" s="4">
        <v>1</v>
      </c>
      <c r="MT102" s="4">
        <v>0</v>
      </c>
    </row>
    <row r="103" spans="1:358" x14ac:dyDescent="0.25">
      <c r="A103" s="3" t="s">
        <v>284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>
        <v>0</v>
      </c>
      <c r="AY103" s="4">
        <v>1</v>
      </c>
      <c r="AZ103" s="4">
        <v>0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  <c r="MF103" s="4"/>
      <c r="MG103" s="4"/>
      <c r="MH103" s="4"/>
      <c r="MI103" s="4"/>
      <c r="MJ103" s="4"/>
      <c r="MK103" s="4"/>
      <c r="ML103" s="4"/>
      <c r="MM103" s="4"/>
      <c r="MN103" s="4"/>
      <c r="MO103" s="4"/>
      <c r="MP103" s="4"/>
      <c r="MQ103" s="4"/>
      <c r="MR103" s="4">
        <v>0</v>
      </c>
      <c r="MS103" s="4">
        <v>1</v>
      </c>
      <c r="MT103" s="4">
        <v>0</v>
      </c>
    </row>
    <row r="104" spans="1:358" x14ac:dyDescent="0.25">
      <c r="A104" s="3" t="s">
        <v>1859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>
        <v>0</v>
      </c>
      <c r="U104" s="4">
        <v>1</v>
      </c>
      <c r="V104" s="4">
        <v>0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  <c r="MF104" s="4"/>
      <c r="MG104" s="4"/>
      <c r="MH104" s="4"/>
      <c r="MI104" s="4"/>
      <c r="MJ104" s="4"/>
      <c r="MK104" s="4"/>
      <c r="ML104" s="4"/>
      <c r="MM104" s="4"/>
      <c r="MN104" s="4"/>
      <c r="MO104" s="4"/>
      <c r="MP104" s="4"/>
      <c r="MQ104" s="4"/>
      <c r="MR104" s="4">
        <v>0</v>
      </c>
      <c r="MS104" s="4">
        <v>1</v>
      </c>
      <c r="MT104" s="4">
        <v>0</v>
      </c>
    </row>
    <row r="105" spans="1:358" x14ac:dyDescent="0.25">
      <c r="A105" s="3" t="s">
        <v>1454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>
        <v>0</v>
      </c>
      <c r="BW105" s="4">
        <v>1</v>
      </c>
      <c r="BX105" s="4">
        <v>0</v>
      </c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  <c r="MF105" s="4"/>
      <c r="MG105" s="4"/>
      <c r="MH105" s="4"/>
      <c r="MI105" s="4"/>
      <c r="MJ105" s="4"/>
      <c r="MK105" s="4"/>
      <c r="ML105" s="4"/>
      <c r="MM105" s="4"/>
      <c r="MN105" s="4"/>
      <c r="MO105" s="4"/>
      <c r="MP105" s="4"/>
      <c r="MQ105" s="4"/>
      <c r="MR105" s="4">
        <v>0</v>
      </c>
      <c r="MS105" s="4">
        <v>1</v>
      </c>
      <c r="MT105" s="4">
        <v>0</v>
      </c>
    </row>
    <row r="106" spans="1:358" x14ac:dyDescent="0.25">
      <c r="A106" s="3" t="s">
        <v>40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>
        <v>1</v>
      </c>
      <c r="AV106" s="4">
        <v>0</v>
      </c>
      <c r="AW106" s="4">
        <v>0</v>
      </c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>
        <v>0</v>
      </c>
      <c r="DP106" s="4">
        <v>1</v>
      </c>
      <c r="DQ106" s="4">
        <v>0</v>
      </c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>
        <v>0</v>
      </c>
      <c r="FX106" s="4">
        <v>1</v>
      </c>
      <c r="FY106" s="4">
        <v>1</v>
      </c>
      <c r="FZ106" s="4"/>
      <c r="GA106" s="4"/>
      <c r="GB106" s="4"/>
      <c r="GC106" s="4"/>
      <c r="GD106" s="4"/>
      <c r="GE106" s="4"/>
      <c r="GF106" s="4"/>
      <c r="GG106" s="4"/>
      <c r="GH106" s="4"/>
      <c r="GI106" s="4">
        <v>0</v>
      </c>
      <c r="GJ106" s="4">
        <v>1</v>
      </c>
      <c r="GK106" s="4">
        <v>0</v>
      </c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  <c r="MF106" s="4"/>
      <c r="MG106" s="4"/>
      <c r="MH106" s="4"/>
      <c r="MI106" s="4"/>
      <c r="MJ106" s="4"/>
      <c r="MK106" s="4"/>
      <c r="ML106" s="4"/>
      <c r="MM106" s="4"/>
      <c r="MN106" s="4"/>
      <c r="MO106" s="4"/>
      <c r="MP106" s="4"/>
      <c r="MQ106" s="4"/>
      <c r="MR106" s="4">
        <v>1</v>
      </c>
      <c r="MS106" s="4">
        <v>3</v>
      </c>
      <c r="MT106" s="4">
        <v>1</v>
      </c>
    </row>
    <row r="107" spans="1:358" x14ac:dyDescent="0.25">
      <c r="A107" s="3" t="s">
        <v>1553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>
        <v>0</v>
      </c>
      <c r="JG107" s="4">
        <v>1</v>
      </c>
      <c r="JH107" s="4">
        <v>0</v>
      </c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  <c r="MF107" s="4"/>
      <c r="MG107" s="4"/>
      <c r="MH107" s="4"/>
      <c r="MI107" s="4"/>
      <c r="MJ107" s="4"/>
      <c r="MK107" s="4"/>
      <c r="ML107" s="4"/>
      <c r="MM107" s="4"/>
      <c r="MN107" s="4"/>
      <c r="MO107" s="4"/>
      <c r="MP107" s="4"/>
      <c r="MQ107" s="4"/>
      <c r="MR107" s="4">
        <v>0</v>
      </c>
      <c r="MS107" s="4">
        <v>1</v>
      </c>
      <c r="MT107" s="4">
        <v>0</v>
      </c>
    </row>
    <row r="108" spans="1:358" x14ac:dyDescent="0.25">
      <c r="A108" s="3" t="s">
        <v>152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>
        <v>1</v>
      </c>
      <c r="U108" s="4">
        <v>0</v>
      </c>
      <c r="V108" s="4">
        <v>0</v>
      </c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>
        <v>0</v>
      </c>
      <c r="DV108" s="4">
        <v>1</v>
      </c>
      <c r="DW108" s="4">
        <v>0</v>
      </c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  <c r="MF108" s="4"/>
      <c r="MG108" s="4"/>
      <c r="MH108" s="4"/>
      <c r="MI108" s="4"/>
      <c r="MJ108" s="4"/>
      <c r="MK108" s="4"/>
      <c r="ML108" s="4"/>
      <c r="MM108" s="4"/>
      <c r="MN108" s="4"/>
      <c r="MO108" s="4"/>
      <c r="MP108" s="4"/>
      <c r="MQ108" s="4"/>
      <c r="MR108" s="4">
        <v>1</v>
      </c>
      <c r="MS108" s="4">
        <v>1</v>
      </c>
      <c r="MT108" s="4">
        <v>0</v>
      </c>
    </row>
    <row r="109" spans="1:358" x14ac:dyDescent="0.25">
      <c r="A109" s="3" t="s">
        <v>1642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>
        <v>0</v>
      </c>
      <c r="GP109" s="4">
        <v>1</v>
      </c>
      <c r="GQ109" s="4">
        <v>0</v>
      </c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  <c r="MF109" s="4"/>
      <c r="MG109" s="4"/>
      <c r="MH109" s="4"/>
      <c r="MI109" s="4"/>
      <c r="MJ109" s="4"/>
      <c r="MK109" s="4"/>
      <c r="ML109" s="4"/>
      <c r="MM109" s="4"/>
      <c r="MN109" s="4"/>
      <c r="MO109" s="4"/>
      <c r="MP109" s="4"/>
      <c r="MQ109" s="4"/>
      <c r="MR109" s="4">
        <v>0</v>
      </c>
      <c r="MS109" s="4">
        <v>1</v>
      </c>
      <c r="MT109" s="4">
        <v>0</v>
      </c>
    </row>
    <row r="110" spans="1:358" x14ac:dyDescent="0.25">
      <c r="A110" s="3" t="s">
        <v>897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>
        <v>1</v>
      </c>
      <c r="DV110" s="4">
        <v>0</v>
      </c>
      <c r="DW110" s="4">
        <v>0</v>
      </c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  <c r="MF110" s="4"/>
      <c r="MG110" s="4"/>
      <c r="MH110" s="4"/>
      <c r="MI110" s="4"/>
      <c r="MJ110" s="4"/>
      <c r="MK110" s="4"/>
      <c r="ML110" s="4"/>
      <c r="MM110" s="4"/>
      <c r="MN110" s="4"/>
      <c r="MO110" s="4"/>
      <c r="MP110" s="4"/>
      <c r="MQ110" s="4"/>
      <c r="MR110" s="4">
        <v>1</v>
      </c>
      <c r="MS110" s="4">
        <v>0</v>
      </c>
      <c r="MT110" s="4">
        <v>0</v>
      </c>
    </row>
    <row r="111" spans="1:358" x14ac:dyDescent="0.25">
      <c r="A111" s="3" t="s">
        <v>22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>
        <v>1</v>
      </c>
      <c r="U111" s="4">
        <v>2</v>
      </c>
      <c r="V111" s="4">
        <v>3</v>
      </c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>
        <v>1</v>
      </c>
      <c r="DV111" s="4">
        <v>2</v>
      </c>
      <c r="DW111" s="4">
        <v>3</v>
      </c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  <c r="MF111" s="4"/>
      <c r="MG111" s="4"/>
      <c r="MH111" s="4"/>
      <c r="MI111" s="4"/>
      <c r="MJ111" s="4"/>
      <c r="MK111" s="4"/>
      <c r="ML111" s="4"/>
      <c r="MM111" s="4"/>
      <c r="MN111" s="4"/>
      <c r="MO111" s="4"/>
      <c r="MP111" s="4"/>
      <c r="MQ111" s="4"/>
      <c r="MR111" s="4">
        <v>2</v>
      </c>
      <c r="MS111" s="4">
        <v>4</v>
      </c>
      <c r="MT111" s="4">
        <v>6</v>
      </c>
    </row>
    <row r="112" spans="1:358" x14ac:dyDescent="0.25">
      <c r="A112" s="3" t="s">
        <v>737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0</v>
      </c>
      <c r="BT112" s="4">
        <v>0</v>
      </c>
      <c r="BU112" s="4">
        <v>1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>
        <v>0</v>
      </c>
      <c r="IL112" s="4">
        <v>0</v>
      </c>
      <c r="IM112" s="4">
        <v>1</v>
      </c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  <c r="MF112" s="4"/>
      <c r="MG112" s="4"/>
      <c r="MH112" s="4"/>
      <c r="MI112" s="4"/>
      <c r="MJ112" s="4"/>
      <c r="MK112" s="4"/>
      <c r="ML112" s="4"/>
      <c r="MM112" s="4"/>
      <c r="MN112" s="4"/>
      <c r="MO112" s="4"/>
      <c r="MP112" s="4"/>
      <c r="MQ112" s="4"/>
      <c r="MR112" s="4">
        <v>0</v>
      </c>
      <c r="MS112" s="4">
        <v>0</v>
      </c>
      <c r="MT112" s="4">
        <v>2</v>
      </c>
    </row>
    <row r="113" spans="1:358" x14ac:dyDescent="0.25">
      <c r="A113" s="3" t="s">
        <v>205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>
        <v>0</v>
      </c>
      <c r="O113" s="4">
        <v>1</v>
      </c>
      <c r="P113" s="4">
        <v>0</v>
      </c>
      <c r="Q113" s="4"/>
      <c r="R113" s="4"/>
      <c r="S113" s="4"/>
      <c r="T113" s="4"/>
      <c r="U113" s="4"/>
      <c r="V113" s="4"/>
      <c r="W113" s="4">
        <v>0</v>
      </c>
      <c r="X113" s="4">
        <v>0</v>
      </c>
      <c r="Y113" s="4">
        <v>1</v>
      </c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>
        <v>0</v>
      </c>
      <c r="AY113" s="4">
        <v>1</v>
      </c>
      <c r="AZ113" s="4">
        <v>0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>
        <v>0</v>
      </c>
      <c r="DV113" s="4">
        <v>1</v>
      </c>
      <c r="DW113" s="4">
        <v>0</v>
      </c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  <c r="MF113" s="4"/>
      <c r="MG113" s="4"/>
      <c r="MH113" s="4"/>
      <c r="MI113" s="4"/>
      <c r="MJ113" s="4"/>
      <c r="MK113" s="4"/>
      <c r="ML113" s="4"/>
      <c r="MM113" s="4"/>
      <c r="MN113" s="4"/>
      <c r="MO113" s="4"/>
      <c r="MP113" s="4"/>
      <c r="MQ113" s="4"/>
      <c r="MR113" s="4">
        <v>0</v>
      </c>
      <c r="MS113" s="4">
        <v>3</v>
      </c>
      <c r="MT113" s="4">
        <v>1</v>
      </c>
    </row>
    <row r="114" spans="1:358" x14ac:dyDescent="0.25">
      <c r="A114" s="3" t="s">
        <v>905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>
        <v>0</v>
      </c>
      <c r="CU114" s="4">
        <v>1</v>
      </c>
      <c r="CV114" s="4">
        <v>0</v>
      </c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  <c r="MF114" s="4"/>
      <c r="MG114" s="4"/>
      <c r="MH114" s="4"/>
      <c r="MI114" s="4"/>
      <c r="MJ114" s="4"/>
      <c r="MK114" s="4"/>
      <c r="ML114" s="4"/>
      <c r="MM114" s="4"/>
      <c r="MN114" s="4"/>
      <c r="MO114" s="4"/>
      <c r="MP114" s="4"/>
      <c r="MQ114" s="4"/>
      <c r="MR114" s="4">
        <v>0</v>
      </c>
      <c r="MS114" s="4">
        <v>1</v>
      </c>
      <c r="MT114" s="4">
        <v>0</v>
      </c>
    </row>
    <row r="115" spans="1:358" x14ac:dyDescent="0.25">
      <c r="A115" s="3" t="s">
        <v>1493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>
        <v>1</v>
      </c>
      <c r="AY115" s="4">
        <v>1</v>
      </c>
      <c r="AZ115" s="4">
        <v>0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  <c r="MF115" s="4"/>
      <c r="MG115" s="4"/>
      <c r="MH115" s="4"/>
      <c r="MI115" s="4"/>
      <c r="MJ115" s="4"/>
      <c r="MK115" s="4"/>
      <c r="ML115" s="4"/>
      <c r="MM115" s="4"/>
      <c r="MN115" s="4"/>
      <c r="MO115" s="4"/>
      <c r="MP115" s="4"/>
      <c r="MQ115" s="4"/>
      <c r="MR115" s="4">
        <v>1</v>
      </c>
      <c r="MS115" s="4">
        <v>1</v>
      </c>
      <c r="MT115" s="4">
        <v>0</v>
      </c>
    </row>
    <row r="116" spans="1:358" x14ac:dyDescent="0.25">
      <c r="A116" s="3" t="s">
        <v>868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>
        <v>0</v>
      </c>
      <c r="AV116" s="4">
        <v>2</v>
      </c>
      <c r="AW116" s="4">
        <v>0</v>
      </c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>
        <v>1</v>
      </c>
      <c r="DV116" s="4">
        <v>0</v>
      </c>
      <c r="DW116" s="4">
        <v>0</v>
      </c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>
        <v>0</v>
      </c>
      <c r="GM116" s="4">
        <v>1</v>
      </c>
      <c r="GN116" s="4">
        <v>0</v>
      </c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  <c r="MF116" s="4"/>
      <c r="MG116" s="4"/>
      <c r="MH116" s="4"/>
      <c r="MI116" s="4"/>
      <c r="MJ116" s="4"/>
      <c r="MK116" s="4"/>
      <c r="ML116" s="4"/>
      <c r="MM116" s="4"/>
      <c r="MN116" s="4"/>
      <c r="MO116" s="4"/>
      <c r="MP116" s="4"/>
      <c r="MQ116" s="4"/>
      <c r="MR116" s="4">
        <v>1</v>
      </c>
      <c r="MS116" s="4">
        <v>3</v>
      </c>
      <c r="MT116" s="4">
        <v>0</v>
      </c>
    </row>
    <row r="117" spans="1:358" x14ac:dyDescent="0.25">
      <c r="A117" s="3" t="s">
        <v>506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>
        <v>1</v>
      </c>
      <c r="JJ117" s="4">
        <v>0</v>
      </c>
      <c r="JK117" s="4">
        <v>1</v>
      </c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  <c r="MF117" s="4"/>
      <c r="MG117" s="4"/>
      <c r="MH117" s="4"/>
      <c r="MI117" s="4"/>
      <c r="MJ117" s="4"/>
      <c r="MK117" s="4"/>
      <c r="ML117" s="4"/>
      <c r="MM117" s="4"/>
      <c r="MN117" s="4"/>
      <c r="MO117" s="4"/>
      <c r="MP117" s="4"/>
      <c r="MQ117" s="4"/>
      <c r="MR117" s="4">
        <v>1</v>
      </c>
      <c r="MS117" s="4">
        <v>0</v>
      </c>
      <c r="MT117" s="4">
        <v>1</v>
      </c>
    </row>
    <row r="118" spans="1:358" x14ac:dyDescent="0.25">
      <c r="A118" s="3" t="s">
        <v>2109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0</v>
      </c>
      <c r="BW118" s="4">
        <v>1</v>
      </c>
      <c r="BX118" s="4">
        <v>0</v>
      </c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>
        <v>0</v>
      </c>
      <c r="IR118" s="4">
        <v>0</v>
      </c>
      <c r="IS118" s="4">
        <v>1</v>
      </c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  <c r="MF118" s="4"/>
      <c r="MG118" s="4"/>
      <c r="MH118" s="4"/>
      <c r="MI118" s="4"/>
      <c r="MJ118" s="4"/>
      <c r="MK118" s="4"/>
      <c r="ML118" s="4"/>
      <c r="MM118" s="4"/>
      <c r="MN118" s="4"/>
      <c r="MO118" s="4"/>
      <c r="MP118" s="4"/>
      <c r="MQ118" s="4"/>
      <c r="MR118" s="4">
        <v>0</v>
      </c>
      <c r="MS118" s="4">
        <v>1</v>
      </c>
      <c r="MT118" s="4">
        <v>1</v>
      </c>
    </row>
    <row r="119" spans="1:358" x14ac:dyDescent="0.25">
      <c r="A119" s="3" t="s">
        <v>2273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4"/>
      <c r="MT119" s="4"/>
    </row>
    <row r="120" spans="1:358" x14ac:dyDescent="0.25">
      <c r="A120" s="3" t="s">
        <v>2275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>
        <v>0</v>
      </c>
      <c r="O120" s="4">
        <v>1</v>
      </c>
      <c r="P120" s="4">
        <v>0</v>
      </c>
      <c r="Q120" s="4"/>
      <c r="R120" s="4"/>
      <c r="S120" s="4"/>
      <c r="T120" s="4">
        <v>1</v>
      </c>
      <c r="U120" s="4">
        <v>1</v>
      </c>
      <c r="V120" s="4">
        <v>0</v>
      </c>
      <c r="W120" s="4">
        <v>0</v>
      </c>
      <c r="X120" s="4">
        <v>1</v>
      </c>
      <c r="Y120" s="4">
        <v>2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>
        <v>1</v>
      </c>
      <c r="AY120" s="4">
        <v>3</v>
      </c>
      <c r="AZ120" s="4">
        <v>0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>
        <v>0</v>
      </c>
      <c r="BQ120" s="4">
        <v>1</v>
      </c>
      <c r="BR120" s="4">
        <v>0</v>
      </c>
      <c r="BS120" s="4">
        <v>0</v>
      </c>
      <c r="BT120" s="4">
        <v>0</v>
      </c>
      <c r="BU120" s="4">
        <v>1</v>
      </c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>
        <v>0</v>
      </c>
      <c r="DV120" s="4">
        <v>1</v>
      </c>
      <c r="DW120" s="4">
        <v>0</v>
      </c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>
        <v>0</v>
      </c>
      <c r="IL120" s="4">
        <v>1</v>
      </c>
      <c r="IM120" s="4">
        <v>0</v>
      </c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  <c r="MF120" s="4"/>
      <c r="MG120" s="4"/>
      <c r="MH120" s="4"/>
      <c r="MI120" s="4"/>
      <c r="MJ120" s="4"/>
      <c r="MK120" s="4"/>
      <c r="ML120" s="4"/>
      <c r="MM120" s="4"/>
      <c r="MN120" s="4"/>
      <c r="MO120" s="4"/>
      <c r="MP120" s="4"/>
      <c r="MQ120" s="4"/>
      <c r="MR120" s="4">
        <v>2</v>
      </c>
      <c r="MS120" s="4">
        <v>9</v>
      </c>
      <c r="MT120" s="4">
        <v>3</v>
      </c>
    </row>
    <row r="121" spans="1:358" x14ac:dyDescent="0.25">
      <c r="A121" s="3" t="s">
        <v>2274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>
        <v>1</v>
      </c>
      <c r="U121" s="4">
        <v>2</v>
      </c>
      <c r="V121" s="4">
        <v>0</v>
      </c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>
        <v>0</v>
      </c>
      <c r="BW121" s="4">
        <v>1</v>
      </c>
      <c r="BX121" s="4">
        <v>0</v>
      </c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>
        <v>0</v>
      </c>
      <c r="DV121" s="4">
        <v>3</v>
      </c>
      <c r="DW121" s="4">
        <v>1</v>
      </c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>
        <v>0</v>
      </c>
      <c r="EN121" s="4">
        <v>0</v>
      </c>
      <c r="EO121" s="4">
        <v>1</v>
      </c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>
        <v>0</v>
      </c>
      <c r="II121" s="4">
        <v>1</v>
      </c>
      <c r="IJ121" s="4">
        <v>0</v>
      </c>
      <c r="IK121" s="4"/>
      <c r="IL121" s="4"/>
      <c r="IM121" s="4"/>
      <c r="IN121" s="4"/>
      <c r="IO121" s="4"/>
      <c r="IP121" s="4"/>
      <c r="IQ121" s="4">
        <v>0</v>
      </c>
      <c r="IR121" s="4">
        <v>1</v>
      </c>
      <c r="IS121" s="4">
        <v>0</v>
      </c>
      <c r="IT121" s="4"/>
      <c r="IU121" s="4"/>
      <c r="IV121" s="4"/>
      <c r="IW121" s="4">
        <v>0</v>
      </c>
      <c r="IX121" s="4">
        <v>1</v>
      </c>
      <c r="IY121" s="4">
        <v>0</v>
      </c>
      <c r="IZ121" s="4"/>
      <c r="JA121" s="4"/>
      <c r="JB121" s="4"/>
      <c r="JC121" s="4">
        <v>0</v>
      </c>
      <c r="JD121" s="4">
        <v>1</v>
      </c>
      <c r="JE121" s="4">
        <v>0</v>
      </c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  <c r="MF121" s="4"/>
      <c r="MG121" s="4"/>
      <c r="MH121" s="4"/>
      <c r="MI121" s="4"/>
      <c r="MJ121" s="4"/>
      <c r="MK121" s="4"/>
      <c r="ML121" s="4"/>
      <c r="MM121" s="4"/>
      <c r="MN121" s="4"/>
      <c r="MO121" s="4"/>
      <c r="MP121" s="4"/>
      <c r="MQ121" s="4"/>
      <c r="MR121" s="4">
        <v>1</v>
      </c>
      <c r="MS121" s="4">
        <v>10</v>
      </c>
      <c r="MT121" s="4">
        <v>2</v>
      </c>
    </row>
    <row r="122" spans="1:358" x14ac:dyDescent="0.25">
      <c r="A122" s="3" t="s">
        <v>2277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>
        <v>0</v>
      </c>
      <c r="U122" s="4">
        <v>1</v>
      </c>
      <c r="V122" s="4">
        <v>0</v>
      </c>
      <c r="W122" s="4">
        <v>0</v>
      </c>
      <c r="X122" s="4">
        <v>1</v>
      </c>
      <c r="Y122" s="4">
        <v>0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>
        <v>0</v>
      </c>
      <c r="CF122" s="4">
        <v>0</v>
      </c>
      <c r="CG122" s="4">
        <v>1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>
        <v>1</v>
      </c>
      <c r="DJ122" s="4">
        <v>0</v>
      </c>
      <c r="DK122" s="4">
        <v>0</v>
      </c>
      <c r="DL122" s="4"/>
      <c r="DM122" s="4"/>
      <c r="DN122" s="4"/>
      <c r="DO122" s="4"/>
      <c r="DP122" s="4"/>
      <c r="DQ122" s="4"/>
      <c r="DR122" s="4"/>
      <c r="DS122" s="4"/>
      <c r="DT122" s="4"/>
      <c r="DU122" s="4">
        <v>0</v>
      </c>
      <c r="DV122" s="4">
        <v>0</v>
      </c>
      <c r="DW122" s="4">
        <v>1</v>
      </c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  <c r="MF122" s="4"/>
      <c r="MG122" s="4"/>
      <c r="MH122" s="4"/>
      <c r="MI122" s="4"/>
      <c r="MJ122" s="4"/>
      <c r="MK122" s="4"/>
      <c r="ML122" s="4"/>
      <c r="MM122" s="4"/>
      <c r="MN122" s="4"/>
      <c r="MO122" s="4"/>
      <c r="MP122" s="4"/>
      <c r="MQ122" s="4"/>
      <c r="MR122" s="4">
        <v>1</v>
      </c>
      <c r="MS122" s="4">
        <v>2</v>
      </c>
      <c r="MT122" s="4">
        <v>2</v>
      </c>
    </row>
    <row r="123" spans="1:358" x14ac:dyDescent="0.25">
      <c r="A123" s="99" t="s">
        <v>2276</v>
      </c>
      <c r="B123" s="100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>
        <v>1</v>
      </c>
      <c r="U123" s="100">
        <v>3</v>
      </c>
      <c r="V123" s="100">
        <v>0</v>
      </c>
      <c r="W123" s="100"/>
      <c r="X123" s="100"/>
      <c r="Y123" s="100"/>
      <c r="Z123" s="100">
        <v>0</v>
      </c>
      <c r="AA123" s="100">
        <v>1</v>
      </c>
      <c r="AB123" s="100">
        <v>0</v>
      </c>
      <c r="AC123" s="100"/>
      <c r="AD123" s="100"/>
      <c r="AE123" s="100"/>
      <c r="AF123" s="100"/>
      <c r="AG123" s="100"/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>
        <v>1</v>
      </c>
      <c r="AV123" s="100">
        <v>2</v>
      </c>
      <c r="AW123" s="100">
        <v>0</v>
      </c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  <c r="BI123" s="100"/>
      <c r="BJ123" s="100"/>
      <c r="BK123" s="100"/>
      <c r="BL123" s="100"/>
      <c r="BM123" s="100"/>
      <c r="BN123" s="100"/>
      <c r="BO123" s="100"/>
      <c r="BP123" s="100"/>
      <c r="BQ123" s="100"/>
      <c r="BR123" s="100"/>
      <c r="BS123" s="100">
        <v>0</v>
      </c>
      <c r="BT123" s="100">
        <v>1</v>
      </c>
      <c r="BU123" s="100">
        <v>0</v>
      </c>
      <c r="BV123" s="100"/>
      <c r="BW123" s="100"/>
      <c r="BX123" s="100"/>
      <c r="BY123" s="100"/>
      <c r="BZ123" s="100"/>
      <c r="CA123" s="100"/>
      <c r="CB123" s="100"/>
      <c r="CC123" s="100"/>
      <c r="CD123" s="100"/>
      <c r="CE123" s="100"/>
      <c r="CF123" s="100"/>
      <c r="CG123" s="100"/>
      <c r="CH123" s="100"/>
      <c r="CI123" s="100"/>
      <c r="CJ123" s="100"/>
      <c r="CK123" s="100"/>
      <c r="CL123" s="100"/>
      <c r="CM123" s="100"/>
      <c r="CN123" s="100"/>
      <c r="CO123" s="100"/>
      <c r="CP123" s="100"/>
      <c r="CQ123" s="100"/>
      <c r="CR123" s="100"/>
      <c r="CS123" s="100"/>
      <c r="CT123" s="100"/>
      <c r="CU123" s="100"/>
      <c r="CV123" s="100"/>
      <c r="CW123" s="100"/>
      <c r="CX123" s="100"/>
      <c r="CY123" s="100"/>
      <c r="CZ123" s="100"/>
      <c r="DA123" s="100"/>
      <c r="DB123" s="100"/>
      <c r="DC123" s="100"/>
      <c r="DD123" s="100"/>
      <c r="DE123" s="100"/>
      <c r="DF123" s="100"/>
      <c r="DG123" s="100"/>
      <c r="DH123" s="100"/>
      <c r="DI123" s="100"/>
      <c r="DJ123" s="100"/>
      <c r="DK123" s="100"/>
      <c r="DL123" s="100"/>
      <c r="DM123" s="100"/>
      <c r="DN123" s="100"/>
      <c r="DO123" s="100"/>
      <c r="DP123" s="100"/>
      <c r="DQ123" s="100"/>
      <c r="DR123" s="100"/>
      <c r="DS123" s="100"/>
      <c r="DT123" s="100"/>
      <c r="DU123" s="100">
        <v>1</v>
      </c>
      <c r="DV123" s="100">
        <v>2</v>
      </c>
      <c r="DW123" s="100">
        <v>1</v>
      </c>
      <c r="DX123" s="100"/>
      <c r="DY123" s="100"/>
      <c r="DZ123" s="100"/>
      <c r="EA123" s="100"/>
      <c r="EB123" s="100"/>
      <c r="EC123" s="100"/>
      <c r="ED123" s="100">
        <v>0</v>
      </c>
      <c r="EE123" s="100">
        <v>4</v>
      </c>
      <c r="EF123" s="100">
        <v>0</v>
      </c>
      <c r="EG123" s="100"/>
      <c r="EH123" s="100"/>
      <c r="EI123" s="100"/>
      <c r="EJ123" s="100"/>
      <c r="EK123" s="100"/>
      <c r="EL123" s="100"/>
      <c r="EM123" s="100"/>
      <c r="EN123" s="100"/>
      <c r="EO123" s="100"/>
      <c r="EP123" s="100"/>
      <c r="EQ123" s="100"/>
      <c r="ER123" s="100"/>
      <c r="ES123" s="100"/>
      <c r="ET123" s="100"/>
      <c r="EU123" s="100"/>
      <c r="EV123" s="100"/>
      <c r="EW123" s="100"/>
      <c r="EX123" s="100"/>
      <c r="EY123" s="100"/>
      <c r="EZ123" s="100"/>
      <c r="FA123" s="100"/>
      <c r="FB123" s="100"/>
      <c r="FC123" s="100"/>
      <c r="FD123" s="100"/>
      <c r="FE123" s="100"/>
      <c r="FF123" s="100"/>
      <c r="FG123" s="100"/>
      <c r="FH123" s="100"/>
      <c r="FI123" s="100"/>
      <c r="FJ123" s="100"/>
      <c r="FK123" s="100"/>
      <c r="FL123" s="100"/>
      <c r="FM123" s="100"/>
      <c r="FN123" s="100"/>
      <c r="FO123" s="100"/>
      <c r="FP123" s="100"/>
      <c r="FQ123" s="100"/>
      <c r="FR123" s="100"/>
      <c r="FS123" s="100"/>
      <c r="FT123" s="100"/>
      <c r="FU123" s="100"/>
      <c r="FV123" s="100"/>
      <c r="FW123" s="100"/>
      <c r="FX123" s="100"/>
      <c r="FY123" s="100"/>
      <c r="FZ123" s="100">
        <v>0</v>
      </c>
      <c r="GA123" s="100">
        <v>1</v>
      </c>
      <c r="GB123" s="100">
        <v>0</v>
      </c>
      <c r="GC123" s="100"/>
      <c r="GD123" s="100"/>
      <c r="GE123" s="100"/>
      <c r="GF123" s="100"/>
      <c r="GG123" s="100"/>
      <c r="GH123" s="100"/>
      <c r="GI123" s="100">
        <v>2</v>
      </c>
      <c r="GJ123" s="100">
        <v>3</v>
      </c>
      <c r="GK123" s="100">
        <v>0</v>
      </c>
      <c r="GL123" s="100"/>
      <c r="GM123" s="100"/>
      <c r="GN123" s="100"/>
      <c r="GO123" s="100">
        <v>0</v>
      </c>
      <c r="GP123" s="100">
        <v>2</v>
      </c>
      <c r="GQ123" s="100">
        <v>0</v>
      </c>
      <c r="GR123" s="100"/>
      <c r="GS123" s="100"/>
      <c r="GT123" s="100"/>
      <c r="GU123" s="100"/>
      <c r="GV123" s="100"/>
      <c r="GW123" s="100"/>
      <c r="GX123" s="100"/>
      <c r="GY123" s="100"/>
      <c r="GZ123" s="100"/>
      <c r="HA123" s="100"/>
      <c r="HB123" s="100"/>
      <c r="HC123" s="100"/>
      <c r="HD123" s="100"/>
      <c r="HE123" s="100"/>
      <c r="HF123" s="100"/>
      <c r="HG123" s="100"/>
      <c r="HH123" s="100"/>
      <c r="HI123" s="100"/>
      <c r="HJ123" s="100"/>
      <c r="HK123" s="100"/>
      <c r="HL123" s="100"/>
      <c r="HM123" s="100"/>
      <c r="HN123" s="100"/>
      <c r="HO123" s="100"/>
      <c r="HP123" s="100"/>
      <c r="HQ123" s="100"/>
      <c r="HR123" s="100"/>
      <c r="HS123" s="100"/>
      <c r="HT123" s="100"/>
      <c r="HU123" s="100"/>
      <c r="HV123" s="100"/>
      <c r="HW123" s="100"/>
      <c r="HX123" s="100"/>
      <c r="HY123" s="100"/>
      <c r="HZ123" s="100"/>
      <c r="IA123" s="100"/>
      <c r="IB123" s="100"/>
      <c r="IC123" s="100"/>
      <c r="ID123" s="100"/>
      <c r="IE123" s="100"/>
      <c r="IF123" s="100"/>
      <c r="IG123" s="100"/>
      <c r="IH123" s="100"/>
      <c r="II123" s="100"/>
      <c r="IJ123" s="100"/>
      <c r="IK123" s="100">
        <v>1</v>
      </c>
      <c r="IL123" s="100">
        <v>0</v>
      </c>
      <c r="IM123" s="100">
        <v>0</v>
      </c>
      <c r="IN123" s="100"/>
      <c r="IO123" s="100"/>
      <c r="IP123" s="100"/>
      <c r="IQ123" s="100"/>
      <c r="IR123" s="100"/>
      <c r="IS123" s="100"/>
      <c r="IT123" s="100">
        <v>1</v>
      </c>
      <c r="IU123" s="100">
        <v>0</v>
      </c>
      <c r="IV123" s="100">
        <v>0</v>
      </c>
      <c r="IW123" s="100"/>
      <c r="IX123" s="100"/>
      <c r="IY123" s="100"/>
      <c r="IZ123" s="100"/>
      <c r="JA123" s="100"/>
      <c r="JB123" s="100"/>
      <c r="JC123" s="100"/>
      <c r="JD123" s="100"/>
      <c r="JE123" s="100"/>
      <c r="JF123" s="100"/>
      <c r="JG123" s="100"/>
      <c r="JH123" s="100"/>
      <c r="JI123" s="100"/>
      <c r="JJ123" s="100"/>
      <c r="JK123" s="100"/>
      <c r="JL123" s="100"/>
      <c r="JM123" s="100"/>
      <c r="JN123" s="100"/>
      <c r="JO123" s="100"/>
      <c r="JP123" s="100"/>
      <c r="JQ123" s="100"/>
      <c r="JR123" s="100"/>
      <c r="JS123" s="100"/>
      <c r="JT123" s="100"/>
      <c r="JU123" s="100"/>
      <c r="JV123" s="100"/>
      <c r="JW123" s="100"/>
      <c r="JX123" s="100"/>
      <c r="JY123" s="100"/>
      <c r="JZ123" s="100"/>
      <c r="KA123" s="100"/>
      <c r="KB123" s="100"/>
      <c r="KC123" s="100"/>
      <c r="KD123" s="100"/>
      <c r="KE123" s="100"/>
      <c r="KF123" s="100"/>
      <c r="KG123" s="100"/>
      <c r="KH123" s="100"/>
      <c r="KI123" s="100"/>
      <c r="KJ123" s="100"/>
      <c r="KK123" s="100"/>
      <c r="KL123" s="100"/>
      <c r="KM123" s="100"/>
      <c r="KN123" s="100"/>
      <c r="KO123" s="100"/>
      <c r="KP123" s="100"/>
      <c r="KQ123" s="100"/>
      <c r="KR123" s="100"/>
      <c r="KS123" s="100"/>
      <c r="KT123" s="100"/>
      <c r="KU123" s="100"/>
      <c r="KV123" s="100"/>
      <c r="KW123" s="100"/>
      <c r="KX123" s="100"/>
      <c r="KY123" s="100"/>
      <c r="KZ123" s="100"/>
      <c r="LA123" s="100"/>
      <c r="LB123" s="100"/>
      <c r="LC123" s="100"/>
      <c r="LD123" s="100"/>
      <c r="LE123" s="100"/>
      <c r="LF123" s="100"/>
      <c r="LG123" s="100"/>
      <c r="LH123" s="100"/>
      <c r="LI123" s="100"/>
      <c r="LJ123" s="100"/>
      <c r="LK123" s="100"/>
      <c r="LL123" s="100"/>
      <c r="LM123" s="100"/>
      <c r="LN123" s="100"/>
      <c r="LO123" s="100"/>
      <c r="LP123" s="100"/>
      <c r="LQ123" s="100"/>
      <c r="LR123" s="100"/>
      <c r="LS123" s="100"/>
      <c r="LT123" s="100"/>
      <c r="LU123" s="100"/>
      <c r="LV123" s="100"/>
      <c r="LW123" s="100"/>
      <c r="LX123" s="100"/>
      <c r="LY123" s="100"/>
      <c r="LZ123" s="100"/>
      <c r="MA123" s="100"/>
      <c r="MB123" s="100"/>
      <c r="MC123" s="100"/>
      <c r="MD123" s="100"/>
      <c r="ME123" s="100"/>
      <c r="MF123" s="100"/>
      <c r="MG123" s="100"/>
      <c r="MH123" s="100"/>
      <c r="MI123" s="100"/>
      <c r="MJ123" s="100"/>
      <c r="MK123" s="100"/>
      <c r="ML123" s="100"/>
      <c r="MM123" s="100"/>
      <c r="MN123" s="100"/>
      <c r="MO123" s="100"/>
      <c r="MP123" s="100"/>
      <c r="MQ123" s="100"/>
      <c r="MR123" s="100">
        <v>7</v>
      </c>
      <c r="MS123" s="100">
        <v>19</v>
      </c>
      <c r="MT123" s="100">
        <v>1</v>
      </c>
    </row>
    <row r="124" spans="1:358" x14ac:dyDescent="0.25">
      <c r="A124" s="99" t="s">
        <v>2278</v>
      </c>
      <c r="B124" s="100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>
        <v>2</v>
      </c>
      <c r="U124" s="100">
        <v>1</v>
      </c>
      <c r="V124" s="100">
        <v>1</v>
      </c>
      <c r="W124" s="100">
        <v>0</v>
      </c>
      <c r="X124" s="100">
        <v>2</v>
      </c>
      <c r="Y124" s="100">
        <v>0</v>
      </c>
      <c r="Z124" s="100"/>
      <c r="AA124" s="100"/>
      <c r="AB124" s="100"/>
      <c r="AC124" s="100">
        <v>0</v>
      </c>
      <c r="AD124" s="100">
        <v>1</v>
      </c>
      <c r="AE124" s="100">
        <v>0</v>
      </c>
      <c r="AF124" s="100"/>
      <c r="AG124" s="100"/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>
        <v>0</v>
      </c>
      <c r="AY124" s="100">
        <v>2</v>
      </c>
      <c r="AZ124" s="100">
        <v>0</v>
      </c>
      <c r="BA124" s="100"/>
      <c r="BB124" s="100"/>
      <c r="BC124" s="100"/>
      <c r="BD124" s="100"/>
      <c r="BE124" s="100"/>
      <c r="BF124" s="100"/>
      <c r="BG124" s="100"/>
      <c r="BH124" s="100"/>
      <c r="BI124" s="100"/>
      <c r="BJ124" s="100"/>
      <c r="BK124" s="100"/>
      <c r="BL124" s="100"/>
      <c r="BM124" s="100"/>
      <c r="BN124" s="100"/>
      <c r="BO124" s="100"/>
      <c r="BP124" s="100"/>
      <c r="BQ124" s="100"/>
      <c r="BR124" s="100"/>
      <c r="BS124" s="100"/>
      <c r="BT124" s="100"/>
      <c r="BU124" s="100"/>
      <c r="BV124" s="100"/>
      <c r="BW124" s="100"/>
      <c r="BX124" s="100"/>
      <c r="BY124" s="100"/>
      <c r="BZ124" s="100"/>
      <c r="CA124" s="100"/>
      <c r="CB124" s="100"/>
      <c r="CC124" s="100"/>
      <c r="CD124" s="100"/>
      <c r="CE124" s="100"/>
      <c r="CF124" s="100"/>
      <c r="CG124" s="100"/>
      <c r="CH124" s="100"/>
      <c r="CI124" s="100"/>
      <c r="CJ124" s="100"/>
      <c r="CK124" s="100"/>
      <c r="CL124" s="100"/>
      <c r="CM124" s="100"/>
      <c r="CN124" s="100"/>
      <c r="CO124" s="100"/>
      <c r="CP124" s="100"/>
      <c r="CQ124" s="100"/>
      <c r="CR124" s="100"/>
      <c r="CS124" s="100"/>
      <c r="CT124" s="100"/>
      <c r="CU124" s="100"/>
      <c r="CV124" s="100"/>
      <c r="CW124" s="100"/>
      <c r="CX124" s="100"/>
      <c r="CY124" s="100"/>
      <c r="CZ124" s="100"/>
      <c r="DA124" s="100"/>
      <c r="DB124" s="100"/>
      <c r="DC124" s="100"/>
      <c r="DD124" s="100"/>
      <c r="DE124" s="100"/>
      <c r="DF124" s="100"/>
      <c r="DG124" s="100"/>
      <c r="DH124" s="100"/>
      <c r="DI124" s="100">
        <v>0</v>
      </c>
      <c r="DJ124" s="100">
        <v>3</v>
      </c>
      <c r="DK124" s="100">
        <v>1</v>
      </c>
      <c r="DL124" s="100"/>
      <c r="DM124" s="100"/>
      <c r="DN124" s="100"/>
      <c r="DO124" s="100"/>
      <c r="DP124" s="100"/>
      <c r="DQ124" s="100"/>
      <c r="DR124" s="100"/>
      <c r="DS124" s="100"/>
      <c r="DT124" s="100"/>
      <c r="DU124" s="100">
        <v>3</v>
      </c>
      <c r="DV124" s="100">
        <v>2</v>
      </c>
      <c r="DW124" s="100">
        <v>1</v>
      </c>
      <c r="DX124" s="100"/>
      <c r="DY124" s="100"/>
      <c r="DZ124" s="100"/>
      <c r="EA124" s="100"/>
      <c r="EB124" s="100"/>
      <c r="EC124" s="100"/>
      <c r="ED124" s="100"/>
      <c r="EE124" s="100"/>
      <c r="EF124" s="100"/>
      <c r="EG124" s="100"/>
      <c r="EH124" s="100"/>
      <c r="EI124" s="100"/>
      <c r="EJ124" s="100"/>
      <c r="EK124" s="100"/>
      <c r="EL124" s="100"/>
      <c r="EM124" s="100"/>
      <c r="EN124" s="100"/>
      <c r="EO124" s="100"/>
      <c r="EP124" s="100"/>
      <c r="EQ124" s="100"/>
      <c r="ER124" s="100"/>
      <c r="ES124" s="100"/>
      <c r="ET124" s="100"/>
      <c r="EU124" s="100"/>
      <c r="EV124" s="100"/>
      <c r="EW124" s="100"/>
      <c r="EX124" s="100"/>
      <c r="EY124" s="100"/>
      <c r="EZ124" s="100"/>
      <c r="FA124" s="100"/>
      <c r="FB124" s="100"/>
      <c r="FC124" s="100"/>
      <c r="FD124" s="100"/>
      <c r="FE124" s="100"/>
      <c r="FF124" s="100"/>
      <c r="FG124" s="100"/>
      <c r="FH124" s="100"/>
      <c r="FI124" s="100"/>
      <c r="FJ124" s="100"/>
      <c r="FK124" s="100"/>
      <c r="FL124" s="100"/>
      <c r="FM124" s="100"/>
      <c r="FN124" s="100"/>
      <c r="FO124" s="100"/>
      <c r="FP124" s="100"/>
      <c r="FQ124" s="100"/>
      <c r="FR124" s="100"/>
      <c r="FS124" s="100"/>
      <c r="FT124" s="100"/>
      <c r="FU124" s="100"/>
      <c r="FV124" s="100"/>
      <c r="FW124" s="100"/>
      <c r="FX124" s="100"/>
      <c r="FY124" s="100"/>
      <c r="FZ124" s="100"/>
      <c r="GA124" s="100"/>
      <c r="GB124" s="100"/>
      <c r="GC124" s="100"/>
      <c r="GD124" s="100"/>
      <c r="GE124" s="100"/>
      <c r="GF124" s="100"/>
      <c r="GG124" s="100"/>
      <c r="GH124" s="100"/>
      <c r="GI124" s="100">
        <v>0</v>
      </c>
      <c r="GJ124" s="100">
        <v>1</v>
      </c>
      <c r="GK124" s="100">
        <v>0</v>
      </c>
      <c r="GL124" s="100"/>
      <c r="GM124" s="100"/>
      <c r="GN124" s="100"/>
      <c r="GO124" s="100"/>
      <c r="GP124" s="100"/>
      <c r="GQ124" s="100"/>
      <c r="GR124" s="100"/>
      <c r="GS124" s="100"/>
      <c r="GT124" s="100"/>
      <c r="GU124" s="100"/>
      <c r="GV124" s="100"/>
      <c r="GW124" s="100"/>
      <c r="GX124" s="100"/>
      <c r="GY124" s="100"/>
      <c r="GZ124" s="100"/>
      <c r="HA124" s="100"/>
      <c r="HB124" s="100"/>
      <c r="HC124" s="100"/>
      <c r="HD124" s="100"/>
      <c r="HE124" s="100"/>
      <c r="HF124" s="100"/>
      <c r="HG124" s="100"/>
      <c r="HH124" s="100"/>
      <c r="HI124" s="100"/>
      <c r="HJ124" s="100"/>
      <c r="HK124" s="100"/>
      <c r="HL124" s="100"/>
      <c r="HM124" s="100"/>
      <c r="HN124" s="100"/>
      <c r="HO124" s="100"/>
      <c r="HP124" s="100"/>
      <c r="HQ124" s="100"/>
      <c r="HR124" s="100"/>
      <c r="HS124" s="100"/>
      <c r="HT124" s="100"/>
      <c r="HU124" s="100"/>
      <c r="HV124" s="100"/>
      <c r="HW124" s="100"/>
      <c r="HX124" s="100"/>
      <c r="HY124" s="100"/>
      <c r="HZ124" s="100"/>
      <c r="IA124" s="100"/>
      <c r="IB124" s="100"/>
      <c r="IC124" s="100"/>
      <c r="ID124" s="100"/>
      <c r="IE124" s="100"/>
      <c r="IF124" s="100"/>
      <c r="IG124" s="100"/>
      <c r="IH124" s="100"/>
      <c r="II124" s="100"/>
      <c r="IJ124" s="100"/>
      <c r="IK124" s="100"/>
      <c r="IL124" s="100"/>
      <c r="IM124" s="100"/>
      <c r="IN124" s="100"/>
      <c r="IO124" s="100"/>
      <c r="IP124" s="100"/>
      <c r="IQ124" s="100"/>
      <c r="IR124" s="100"/>
      <c r="IS124" s="100"/>
      <c r="IT124" s="100"/>
      <c r="IU124" s="100"/>
      <c r="IV124" s="100"/>
      <c r="IW124" s="100"/>
      <c r="IX124" s="100"/>
      <c r="IY124" s="100"/>
      <c r="IZ124" s="100"/>
      <c r="JA124" s="100"/>
      <c r="JB124" s="100"/>
      <c r="JC124" s="100"/>
      <c r="JD124" s="100"/>
      <c r="JE124" s="100"/>
      <c r="JF124" s="100"/>
      <c r="JG124" s="100"/>
      <c r="JH124" s="100"/>
      <c r="JI124" s="100"/>
      <c r="JJ124" s="100"/>
      <c r="JK124" s="100"/>
      <c r="JL124" s="100"/>
      <c r="JM124" s="100"/>
      <c r="JN124" s="100"/>
      <c r="JO124" s="100"/>
      <c r="JP124" s="100"/>
      <c r="JQ124" s="100"/>
      <c r="JR124" s="100"/>
      <c r="JS124" s="100"/>
      <c r="JT124" s="100"/>
      <c r="JU124" s="100"/>
      <c r="JV124" s="100"/>
      <c r="JW124" s="100"/>
      <c r="JX124" s="100"/>
      <c r="JY124" s="100"/>
      <c r="JZ124" s="100"/>
      <c r="KA124" s="100"/>
      <c r="KB124" s="100"/>
      <c r="KC124" s="100"/>
      <c r="KD124" s="100"/>
      <c r="KE124" s="100"/>
      <c r="KF124" s="100"/>
      <c r="KG124" s="100"/>
      <c r="KH124" s="100"/>
      <c r="KI124" s="100"/>
      <c r="KJ124" s="100"/>
      <c r="KK124" s="100"/>
      <c r="KL124" s="100"/>
      <c r="KM124" s="100"/>
      <c r="KN124" s="100"/>
      <c r="KO124" s="100"/>
      <c r="KP124" s="100"/>
      <c r="KQ124" s="100"/>
      <c r="KR124" s="100"/>
      <c r="KS124" s="100"/>
      <c r="KT124" s="100"/>
      <c r="KU124" s="100"/>
      <c r="KV124" s="100"/>
      <c r="KW124" s="100"/>
      <c r="KX124" s="100"/>
      <c r="KY124" s="100"/>
      <c r="KZ124" s="100"/>
      <c r="LA124" s="100"/>
      <c r="LB124" s="100"/>
      <c r="LC124" s="100"/>
      <c r="LD124" s="100"/>
      <c r="LE124" s="100"/>
      <c r="LF124" s="100"/>
      <c r="LG124" s="100"/>
      <c r="LH124" s="100"/>
      <c r="LI124" s="100"/>
      <c r="LJ124" s="100"/>
      <c r="LK124" s="100"/>
      <c r="LL124" s="100"/>
      <c r="LM124" s="100"/>
      <c r="LN124" s="100"/>
      <c r="LO124" s="100"/>
      <c r="LP124" s="100"/>
      <c r="LQ124" s="100">
        <v>0</v>
      </c>
      <c r="LR124" s="100">
        <v>1</v>
      </c>
      <c r="LS124" s="100">
        <v>0</v>
      </c>
      <c r="LT124" s="100"/>
      <c r="LU124" s="100"/>
      <c r="LV124" s="100"/>
      <c r="LW124" s="100"/>
      <c r="LX124" s="100"/>
      <c r="LY124" s="100"/>
      <c r="LZ124" s="100"/>
      <c r="MA124" s="100"/>
      <c r="MB124" s="100"/>
      <c r="MC124" s="100"/>
      <c r="MD124" s="100"/>
      <c r="ME124" s="100"/>
      <c r="MF124" s="100"/>
      <c r="MG124" s="100"/>
      <c r="MH124" s="100"/>
      <c r="MI124" s="100"/>
      <c r="MJ124" s="100"/>
      <c r="MK124" s="100"/>
      <c r="ML124" s="100"/>
      <c r="MM124" s="100"/>
      <c r="MN124" s="100"/>
      <c r="MO124" s="100"/>
      <c r="MP124" s="100"/>
      <c r="MQ124" s="100"/>
      <c r="MR124" s="100">
        <v>5</v>
      </c>
      <c r="MS124" s="100">
        <v>13</v>
      </c>
      <c r="MT124" s="100">
        <v>3</v>
      </c>
    </row>
    <row r="125" spans="1:358" x14ac:dyDescent="0.25">
      <c r="A125" s="99" t="s">
        <v>2280</v>
      </c>
      <c r="B125" s="100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>
        <v>1</v>
      </c>
      <c r="U125" s="100">
        <v>3</v>
      </c>
      <c r="V125" s="100">
        <v>0</v>
      </c>
      <c r="W125" s="100">
        <v>0</v>
      </c>
      <c r="X125" s="100">
        <v>4</v>
      </c>
      <c r="Y125" s="100">
        <v>0</v>
      </c>
      <c r="Z125" s="100"/>
      <c r="AA125" s="100"/>
      <c r="AB125" s="100"/>
      <c r="AC125" s="100"/>
      <c r="AD125" s="100"/>
      <c r="AE125" s="100"/>
      <c r="AF125" s="100"/>
      <c r="AG125" s="100"/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>
        <v>0</v>
      </c>
      <c r="AY125" s="100">
        <v>2</v>
      </c>
      <c r="AZ125" s="100">
        <v>0</v>
      </c>
      <c r="BA125" s="100"/>
      <c r="BB125" s="100"/>
      <c r="BC125" s="100"/>
      <c r="BD125" s="100"/>
      <c r="BE125" s="100"/>
      <c r="BF125" s="100"/>
      <c r="BG125" s="100"/>
      <c r="BH125" s="100"/>
      <c r="BI125" s="100"/>
      <c r="BJ125" s="100"/>
      <c r="BK125" s="100"/>
      <c r="BL125" s="100"/>
      <c r="BM125" s="100"/>
      <c r="BN125" s="100"/>
      <c r="BO125" s="100"/>
      <c r="BP125" s="100"/>
      <c r="BQ125" s="100"/>
      <c r="BR125" s="100"/>
      <c r="BS125" s="100"/>
      <c r="BT125" s="100"/>
      <c r="BU125" s="100"/>
      <c r="BV125" s="100"/>
      <c r="BW125" s="100"/>
      <c r="BX125" s="100"/>
      <c r="BY125" s="100"/>
      <c r="BZ125" s="100"/>
      <c r="CA125" s="100"/>
      <c r="CB125" s="100"/>
      <c r="CC125" s="100"/>
      <c r="CD125" s="100"/>
      <c r="CE125" s="100"/>
      <c r="CF125" s="100"/>
      <c r="CG125" s="100"/>
      <c r="CH125" s="100"/>
      <c r="CI125" s="100"/>
      <c r="CJ125" s="100"/>
      <c r="CK125" s="100"/>
      <c r="CL125" s="100"/>
      <c r="CM125" s="100"/>
      <c r="CN125" s="100"/>
      <c r="CO125" s="100"/>
      <c r="CP125" s="100"/>
      <c r="CQ125" s="100"/>
      <c r="CR125" s="100"/>
      <c r="CS125" s="100"/>
      <c r="CT125" s="100"/>
      <c r="CU125" s="100"/>
      <c r="CV125" s="100"/>
      <c r="CW125" s="100"/>
      <c r="CX125" s="100"/>
      <c r="CY125" s="100"/>
      <c r="CZ125" s="100"/>
      <c r="DA125" s="100"/>
      <c r="DB125" s="100"/>
      <c r="DC125" s="100"/>
      <c r="DD125" s="100"/>
      <c r="DE125" s="100"/>
      <c r="DF125" s="100"/>
      <c r="DG125" s="100"/>
      <c r="DH125" s="100"/>
      <c r="DI125" s="100"/>
      <c r="DJ125" s="100"/>
      <c r="DK125" s="100"/>
      <c r="DL125" s="100"/>
      <c r="DM125" s="100"/>
      <c r="DN125" s="100"/>
      <c r="DO125" s="100"/>
      <c r="DP125" s="100"/>
      <c r="DQ125" s="100"/>
      <c r="DR125" s="100"/>
      <c r="DS125" s="100"/>
      <c r="DT125" s="100"/>
      <c r="DU125" s="100">
        <v>4</v>
      </c>
      <c r="DV125" s="100">
        <v>0</v>
      </c>
      <c r="DW125" s="100">
        <v>0</v>
      </c>
      <c r="DX125" s="100"/>
      <c r="DY125" s="100"/>
      <c r="DZ125" s="100"/>
      <c r="EA125" s="100"/>
      <c r="EB125" s="100"/>
      <c r="EC125" s="100"/>
      <c r="ED125" s="100">
        <v>0</v>
      </c>
      <c r="EE125" s="100">
        <v>1</v>
      </c>
      <c r="EF125" s="100">
        <v>0</v>
      </c>
      <c r="EG125" s="100"/>
      <c r="EH125" s="100"/>
      <c r="EI125" s="100"/>
      <c r="EJ125" s="100"/>
      <c r="EK125" s="100"/>
      <c r="EL125" s="100"/>
      <c r="EM125" s="100"/>
      <c r="EN125" s="100"/>
      <c r="EO125" s="100"/>
      <c r="EP125" s="100"/>
      <c r="EQ125" s="100"/>
      <c r="ER125" s="100"/>
      <c r="ES125" s="100"/>
      <c r="ET125" s="100"/>
      <c r="EU125" s="100"/>
      <c r="EV125" s="100"/>
      <c r="EW125" s="100"/>
      <c r="EX125" s="100"/>
      <c r="EY125" s="100"/>
      <c r="EZ125" s="100"/>
      <c r="FA125" s="100"/>
      <c r="FB125" s="100"/>
      <c r="FC125" s="100"/>
      <c r="FD125" s="100"/>
      <c r="FE125" s="100"/>
      <c r="FF125" s="100"/>
      <c r="FG125" s="100"/>
      <c r="FH125" s="100"/>
      <c r="FI125" s="100"/>
      <c r="FJ125" s="100"/>
      <c r="FK125" s="100"/>
      <c r="FL125" s="100"/>
      <c r="FM125" s="100"/>
      <c r="FN125" s="100"/>
      <c r="FO125" s="100"/>
      <c r="FP125" s="100"/>
      <c r="FQ125" s="100"/>
      <c r="FR125" s="100"/>
      <c r="FS125" s="100"/>
      <c r="FT125" s="100"/>
      <c r="FU125" s="100"/>
      <c r="FV125" s="100"/>
      <c r="FW125" s="100"/>
      <c r="FX125" s="100"/>
      <c r="FY125" s="100"/>
      <c r="FZ125" s="100"/>
      <c r="GA125" s="100"/>
      <c r="GB125" s="100"/>
      <c r="GC125" s="100"/>
      <c r="GD125" s="100"/>
      <c r="GE125" s="100"/>
      <c r="GF125" s="100"/>
      <c r="GG125" s="100"/>
      <c r="GH125" s="100"/>
      <c r="GI125" s="100">
        <v>1</v>
      </c>
      <c r="GJ125" s="100">
        <v>0</v>
      </c>
      <c r="GK125" s="100">
        <v>0</v>
      </c>
      <c r="GL125" s="100"/>
      <c r="GM125" s="100"/>
      <c r="GN125" s="100"/>
      <c r="GO125" s="100"/>
      <c r="GP125" s="100"/>
      <c r="GQ125" s="100"/>
      <c r="GR125" s="100"/>
      <c r="GS125" s="100"/>
      <c r="GT125" s="100"/>
      <c r="GU125" s="100"/>
      <c r="GV125" s="100"/>
      <c r="GW125" s="100"/>
      <c r="GX125" s="100"/>
      <c r="GY125" s="100"/>
      <c r="GZ125" s="100"/>
      <c r="HA125" s="100"/>
      <c r="HB125" s="100"/>
      <c r="HC125" s="100"/>
      <c r="HD125" s="100"/>
      <c r="HE125" s="100"/>
      <c r="HF125" s="100"/>
      <c r="HG125" s="100"/>
      <c r="HH125" s="100"/>
      <c r="HI125" s="100"/>
      <c r="HJ125" s="100"/>
      <c r="HK125" s="100"/>
      <c r="HL125" s="100"/>
      <c r="HM125" s="100"/>
      <c r="HN125" s="100"/>
      <c r="HO125" s="100"/>
      <c r="HP125" s="100"/>
      <c r="HQ125" s="100"/>
      <c r="HR125" s="100"/>
      <c r="HS125" s="100"/>
      <c r="HT125" s="100"/>
      <c r="HU125" s="100"/>
      <c r="HV125" s="100"/>
      <c r="HW125" s="100"/>
      <c r="HX125" s="100"/>
      <c r="HY125" s="100"/>
      <c r="HZ125" s="100"/>
      <c r="IA125" s="100"/>
      <c r="IB125" s="100"/>
      <c r="IC125" s="100"/>
      <c r="ID125" s="100"/>
      <c r="IE125" s="100"/>
      <c r="IF125" s="100"/>
      <c r="IG125" s="100"/>
      <c r="IH125" s="100"/>
      <c r="II125" s="100"/>
      <c r="IJ125" s="100"/>
      <c r="IK125" s="100"/>
      <c r="IL125" s="100"/>
      <c r="IM125" s="100"/>
      <c r="IN125" s="100"/>
      <c r="IO125" s="100"/>
      <c r="IP125" s="100"/>
      <c r="IQ125" s="100"/>
      <c r="IR125" s="100"/>
      <c r="IS125" s="100"/>
      <c r="IT125" s="100"/>
      <c r="IU125" s="100"/>
      <c r="IV125" s="100"/>
      <c r="IW125" s="100"/>
      <c r="IX125" s="100"/>
      <c r="IY125" s="100"/>
      <c r="IZ125" s="100"/>
      <c r="JA125" s="100"/>
      <c r="JB125" s="100"/>
      <c r="JC125" s="100"/>
      <c r="JD125" s="100"/>
      <c r="JE125" s="100"/>
      <c r="JF125" s="100"/>
      <c r="JG125" s="100"/>
      <c r="JH125" s="100"/>
      <c r="JI125" s="100"/>
      <c r="JJ125" s="100"/>
      <c r="JK125" s="100"/>
      <c r="JL125" s="100"/>
      <c r="JM125" s="100"/>
      <c r="JN125" s="100"/>
      <c r="JO125" s="100"/>
      <c r="JP125" s="100"/>
      <c r="JQ125" s="100"/>
      <c r="JR125" s="100"/>
      <c r="JS125" s="100"/>
      <c r="JT125" s="100"/>
      <c r="JU125" s="100"/>
      <c r="JV125" s="100"/>
      <c r="JW125" s="100"/>
      <c r="JX125" s="100"/>
      <c r="JY125" s="100"/>
      <c r="JZ125" s="100"/>
      <c r="KA125" s="100"/>
      <c r="KB125" s="100"/>
      <c r="KC125" s="100"/>
      <c r="KD125" s="100"/>
      <c r="KE125" s="100"/>
      <c r="KF125" s="100"/>
      <c r="KG125" s="100"/>
      <c r="KH125" s="100"/>
      <c r="KI125" s="100"/>
      <c r="KJ125" s="100"/>
      <c r="KK125" s="100"/>
      <c r="KL125" s="100"/>
      <c r="KM125" s="100"/>
      <c r="KN125" s="100"/>
      <c r="KO125" s="100"/>
      <c r="KP125" s="100"/>
      <c r="KQ125" s="100"/>
      <c r="KR125" s="100"/>
      <c r="KS125" s="100"/>
      <c r="KT125" s="100"/>
      <c r="KU125" s="100"/>
      <c r="KV125" s="100"/>
      <c r="KW125" s="100"/>
      <c r="KX125" s="100"/>
      <c r="KY125" s="100"/>
      <c r="KZ125" s="100"/>
      <c r="LA125" s="100"/>
      <c r="LB125" s="100"/>
      <c r="LC125" s="100"/>
      <c r="LD125" s="100"/>
      <c r="LE125" s="100"/>
      <c r="LF125" s="100"/>
      <c r="LG125" s="100"/>
      <c r="LH125" s="100"/>
      <c r="LI125" s="100"/>
      <c r="LJ125" s="100"/>
      <c r="LK125" s="100"/>
      <c r="LL125" s="100"/>
      <c r="LM125" s="100"/>
      <c r="LN125" s="100"/>
      <c r="LO125" s="100"/>
      <c r="LP125" s="100"/>
      <c r="LQ125" s="100"/>
      <c r="LR125" s="100"/>
      <c r="LS125" s="100"/>
      <c r="LT125" s="100"/>
      <c r="LU125" s="100"/>
      <c r="LV125" s="100"/>
      <c r="LW125" s="100"/>
      <c r="LX125" s="100"/>
      <c r="LY125" s="100"/>
      <c r="LZ125" s="100"/>
      <c r="MA125" s="100"/>
      <c r="MB125" s="100"/>
      <c r="MC125" s="100"/>
      <c r="MD125" s="100"/>
      <c r="ME125" s="100"/>
      <c r="MF125" s="100"/>
      <c r="MG125" s="100"/>
      <c r="MH125" s="100"/>
      <c r="MI125" s="100"/>
      <c r="MJ125" s="100"/>
      <c r="MK125" s="100"/>
      <c r="ML125" s="100"/>
      <c r="MM125" s="100"/>
      <c r="MN125" s="100"/>
      <c r="MO125" s="100"/>
      <c r="MP125" s="100"/>
      <c r="MQ125" s="100"/>
      <c r="MR125" s="100">
        <v>6</v>
      </c>
      <c r="MS125" s="100">
        <v>10</v>
      </c>
      <c r="MT125" s="100">
        <v>0</v>
      </c>
    </row>
    <row r="126" spans="1:358" x14ac:dyDescent="0.25">
      <c r="A126" s="99" t="s">
        <v>2279</v>
      </c>
      <c r="B126" s="100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>
        <v>1</v>
      </c>
      <c r="U126" s="100">
        <v>1</v>
      </c>
      <c r="V126" s="100">
        <v>0</v>
      </c>
      <c r="W126" s="100">
        <v>0</v>
      </c>
      <c r="X126" s="100">
        <v>1</v>
      </c>
      <c r="Y126" s="100">
        <v>0</v>
      </c>
      <c r="Z126" s="100"/>
      <c r="AA126" s="100"/>
      <c r="AB126" s="100"/>
      <c r="AC126" s="100"/>
      <c r="AD126" s="100"/>
      <c r="AE126" s="100"/>
      <c r="AF126" s="100"/>
      <c r="AG126" s="100"/>
      <c r="AH126" s="100"/>
      <c r="AI126" s="100">
        <v>0</v>
      </c>
      <c r="AJ126" s="100">
        <v>1</v>
      </c>
      <c r="AK126" s="100">
        <v>0</v>
      </c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>
        <v>1</v>
      </c>
      <c r="AV126" s="100">
        <v>0</v>
      </c>
      <c r="AW126" s="100">
        <v>0</v>
      </c>
      <c r="AX126" s="100">
        <v>0</v>
      </c>
      <c r="AY126" s="100">
        <v>1</v>
      </c>
      <c r="AZ126" s="100">
        <v>0</v>
      </c>
      <c r="BA126" s="100"/>
      <c r="BB126" s="100"/>
      <c r="BC126" s="100"/>
      <c r="BD126" s="100"/>
      <c r="BE126" s="100"/>
      <c r="BF126" s="100"/>
      <c r="BG126" s="100"/>
      <c r="BH126" s="100"/>
      <c r="BI126" s="100"/>
      <c r="BJ126" s="100"/>
      <c r="BK126" s="100"/>
      <c r="BL126" s="100"/>
      <c r="BM126" s="100"/>
      <c r="BN126" s="100"/>
      <c r="BO126" s="100"/>
      <c r="BP126" s="100"/>
      <c r="BQ126" s="100"/>
      <c r="BR126" s="100"/>
      <c r="BS126" s="100"/>
      <c r="BT126" s="100"/>
      <c r="BU126" s="100"/>
      <c r="BV126" s="100"/>
      <c r="BW126" s="100"/>
      <c r="BX126" s="100"/>
      <c r="BY126" s="100"/>
      <c r="BZ126" s="100"/>
      <c r="CA126" s="100"/>
      <c r="CB126" s="100"/>
      <c r="CC126" s="100"/>
      <c r="CD126" s="100"/>
      <c r="CE126" s="100"/>
      <c r="CF126" s="100"/>
      <c r="CG126" s="100"/>
      <c r="CH126" s="100"/>
      <c r="CI126" s="100"/>
      <c r="CJ126" s="100"/>
      <c r="CK126" s="100"/>
      <c r="CL126" s="100"/>
      <c r="CM126" s="100"/>
      <c r="CN126" s="100"/>
      <c r="CO126" s="100"/>
      <c r="CP126" s="100"/>
      <c r="CQ126" s="100"/>
      <c r="CR126" s="100"/>
      <c r="CS126" s="100"/>
      <c r="CT126" s="100"/>
      <c r="CU126" s="100"/>
      <c r="CV126" s="100"/>
      <c r="CW126" s="100"/>
      <c r="CX126" s="100"/>
      <c r="CY126" s="100"/>
      <c r="CZ126" s="100"/>
      <c r="DA126" s="100"/>
      <c r="DB126" s="100"/>
      <c r="DC126" s="100"/>
      <c r="DD126" s="100"/>
      <c r="DE126" s="100"/>
      <c r="DF126" s="100"/>
      <c r="DG126" s="100"/>
      <c r="DH126" s="100"/>
      <c r="DI126" s="100"/>
      <c r="DJ126" s="100"/>
      <c r="DK126" s="100"/>
      <c r="DL126" s="100"/>
      <c r="DM126" s="100"/>
      <c r="DN126" s="100"/>
      <c r="DO126" s="100"/>
      <c r="DP126" s="100"/>
      <c r="DQ126" s="100"/>
      <c r="DR126" s="100"/>
      <c r="DS126" s="100"/>
      <c r="DT126" s="100"/>
      <c r="DU126" s="100">
        <v>1</v>
      </c>
      <c r="DV126" s="100">
        <v>0</v>
      </c>
      <c r="DW126" s="100">
        <v>1</v>
      </c>
      <c r="DX126" s="100"/>
      <c r="DY126" s="100"/>
      <c r="DZ126" s="100"/>
      <c r="EA126" s="100"/>
      <c r="EB126" s="100"/>
      <c r="EC126" s="100"/>
      <c r="ED126" s="100"/>
      <c r="EE126" s="100"/>
      <c r="EF126" s="100"/>
      <c r="EG126" s="100"/>
      <c r="EH126" s="100"/>
      <c r="EI126" s="100"/>
      <c r="EJ126" s="100"/>
      <c r="EK126" s="100"/>
      <c r="EL126" s="100"/>
      <c r="EM126" s="100"/>
      <c r="EN126" s="100"/>
      <c r="EO126" s="100"/>
      <c r="EP126" s="100"/>
      <c r="EQ126" s="100"/>
      <c r="ER126" s="100"/>
      <c r="ES126" s="100"/>
      <c r="ET126" s="100"/>
      <c r="EU126" s="100"/>
      <c r="EV126" s="100"/>
      <c r="EW126" s="100"/>
      <c r="EX126" s="100"/>
      <c r="EY126" s="100"/>
      <c r="EZ126" s="100"/>
      <c r="FA126" s="100"/>
      <c r="FB126" s="100"/>
      <c r="FC126" s="100"/>
      <c r="FD126" s="100"/>
      <c r="FE126" s="100"/>
      <c r="FF126" s="100"/>
      <c r="FG126" s="100"/>
      <c r="FH126" s="100"/>
      <c r="FI126" s="100"/>
      <c r="FJ126" s="100"/>
      <c r="FK126" s="100"/>
      <c r="FL126" s="100"/>
      <c r="FM126" s="100"/>
      <c r="FN126" s="100"/>
      <c r="FO126" s="100"/>
      <c r="FP126" s="100"/>
      <c r="FQ126" s="100"/>
      <c r="FR126" s="100"/>
      <c r="FS126" s="100"/>
      <c r="FT126" s="100"/>
      <c r="FU126" s="100"/>
      <c r="FV126" s="100"/>
      <c r="FW126" s="100"/>
      <c r="FX126" s="100"/>
      <c r="FY126" s="100"/>
      <c r="FZ126" s="100"/>
      <c r="GA126" s="100"/>
      <c r="GB126" s="100"/>
      <c r="GC126" s="100"/>
      <c r="GD126" s="100"/>
      <c r="GE126" s="100"/>
      <c r="GF126" s="100"/>
      <c r="GG126" s="100"/>
      <c r="GH126" s="100"/>
      <c r="GI126" s="100">
        <v>1</v>
      </c>
      <c r="GJ126" s="100">
        <v>0</v>
      </c>
      <c r="GK126" s="100">
        <v>0</v>
      </c>
      <c r="GL126" s="100"/>
      <c r="GM126" s="100"/>
      <c r="GN126" s="100"/>
      <c r="GO126" s="100"/>
      <c r="GP126" s="100"/>
      <c r="GQ126" s="100"/>
      <c r="GR126" s="100"/>
      <c r="GS126" s="100"/>
      <c r="GT126" s="100"/>
      <c r="GU126" s="100"/>
      <c r="GV126" s="100"/>
      <c r="GW126" s="100"/>
      <c r="GX126" s="100"/>
      <c r="GY126" s="100"/>
      <c r="GZ126" s="100"/>
      <c r="HA126" s="100"/>
      <c r="HB126" s="100"/>
      <c r="HC126" s="100"/>
      <c r="HD126" s="100"/>
      <c r="HE126" s="100"/>
      <c r="HF126" s="100"/>
      <c r="HG126" s="100"/>
      <c r="HH126" s="100"/>
      <c r="HI126" s="100"/>
      <c r="HJ126" s="100"/>
      <c r="HK126" s="100"/>
      <c r="HL126" s="100"/>
      <c r="HM126" s="100"/>
      <c r="HN126" s="100"/>
      <c r="HO126" s="100"/>
      <c r="HP126" s="100"/>
      <c r="HQ126" s="100"/>
      <c r="HR126" s="100"/>
      <c r="HS126" s="100"/>
      <c r="HT126" s="100"/>
      <c r="HU126" s="100"/>
      <c r="HV126" s="100"/>
      <c r="HW126" s="100"/>
      <c r="HX126" s="100"/>
      <c r="HY126" s="100"/>
      <c r="HZ126" s="100"/>
      <c r="IA126" s="100"/>
      <c r="IB126" s="100"/>
      <c r="IC126" s="100"/>
      <c r="ID126" s="100"/>
      <c r="IE126" s="100"/>
      <c r="IF126" s="100"/>
      <c r="IG126" s="100"/>
      <c r="IH126" s="100"/>
      <c r="II126" s="100"/>
      <c r="IJ126" s="100"/>
      <c r="IK126" s="100"/>
      <c r="IL126" s="100"/>
      <c r="IM126" s="100"/>
      <c r="IN126" s="100"/>
      <c r="IO126" s="100"/>
      <c r="IP126" s="100"/>
      <c r="IQ126" s="100"/>
      <c r="IR126" s="100"/>
      <c r="IS126" s="100"/>
      <c r="IT126" s="100"/>
      <c r="IU126" s="100"/>
      <c r="IV126" s="100"/>
      <c r="IW126" s="100"/>
      <c r="IX126" s="100"/>
      <c r="IY126" s="100"/>
      <c r="IZ126" s="100"/>
      <c r="JA126" s="100"/>
      <c r="JB126" s="100"/>
      <c r="JC126" s="100"/>
      <c r="JD126" s="100"/>
      <c r="JE126" s="100"/>
      <c r="JF126" s="100"/>
      <c r="JG126" s="100"/>
      <c r="JH126" s="100"/>
      <c r="JI126" s="100"/>
      <c r="JJ126" s="100"/>
      <c r="JK126" s="100"/>
      <c r="JL126" s="100"/>
      <c r="JM126" s="100"/>
      <c r="JN126" s="100"/>
      <c r="JO126" s="100"/>
      <c r="JP126" s="100"/>
      <c r="JQ126" s="100"/>
      <c r="JR126" s="100"/>
      <c r="JS126" s="100"/>
      <c r="JT126" s="100"/>
      <c r="JU126" s="100"/>
      <c r="JV126" s="100"/>
      <c r="JW126" s="100"/>
      <c r="JX126" s="100"/>
      <c r="JY126" s="100"/>
      <c r="JZ126" s="100"/>
      <c r="KA126" s="100"/>
      <c r="KB126" s="100"/>
      <c r="KC126" s="100"/>
      <c r="KD126" s="100"/>
      <c r="KE126" s="100"/>
      <c r="KF126" s="100"/>
      <c r="KG126" s="100"/>
      <c r="KH126" s="100"/>
      <c r="KI126" s="100"/>
      <c r="KJ126" s="100"/>
      <c r="KK126" s="100"/>
      <c r="KL126" s="100"/>
      <c r="KM126" s="100"/>
      <c r="KN126" s="100"/>
      <c r="KO126" s="100"/>
      <c r="KP126" s="100"/>
      <c r="KQ126" s="100"/>
      <c r="KR126" s="100"/>
      <c r="KS126" s="100"/>
      <c r="KT126" s="100"/>
      <c r="KU126" s="100"/>
      <c r="KV126" s="100"/>
      <c r="KW126" s="100"/>
      <c r="KX126" s="100"/>
      <c r="KY126" s="100"/>
      <c r="KZ126" s="100"/>
      <c r="LA126" s="100"/>
      <c r="LB126" s="100"/>
      <c r="LC126" s="100"/>
      <c r="LD126" s="100"/>
      <c r="LE126" s="100"/>
      <c r="LF126" s="100"/>
      <c r="LG126" s="100"/>
      <c r="LH126" s="100"/>
      <c r="LI126" s="100"/>
      <c r="LJ126" s="100"/>
      <c r="LK126" s="100"/>
      <c r="LL126" s="100"/>
      <c r="LM126" s="100"/>
      <c r="LN126" s="100"/>
      <c r="LO126" s="100"/>
      <c r="LP126" s="100"/>
      <c r="LQ126" s="100"/>
      <c r="LR126" s="100"/>
      <c r="LS126" s="100"/>
      <c r="LT126" s="100"/>
      <c r="LU126" s="100"/>
      <c r="LV126" s="100"/>
      <c r="LW126" s="100"/>
      <c r="LX126" s="100"/>
      <c r="LY126" s="100"/>
      <c r="LZ126" s="100"/>
      <c r="MA126" s="100"/>
      <c r="MB126" s="100"/>
      <c r="MC126" s="100"/>
      <c r="MD126" s="100"/>
      <c r="ME126" s="100"/>
      <c r="MF126" s="100"/>
      <c r="MG126" s="100"/>
      <c r="MH126" s="100"/>
      <c r="MI126" s="100"/>
      <c r="MJ126" s="100"/>
      <c r="MK126" s="100"/>
      <c r="ML126" s="100"/>
      <c r="MM126" s="100"/>
      <c r="MN126" s="100"/>
      <c r="MO126" s="100"/>
      <c r="MP126" s="100"/>
      <c r="MQ126" s="100"/>
      <c r="MR126" s="100">
        <v>4</v>
      </c>
      <c r="MS126" s="100">
        <v>4</v>
      </c>
      <c r="MT126" s="100">
        <v>1</v>
      </c>
    </row>
    <row r="127" spans="1:358" x14ac:dyDescent="0.25">
      <c r="A127" s="99" t="s">
        <v>2285</v>
      </c>
      <c r="B127" s="100">
        <v>0</v>
      </c>
      <c r="C127" s="100">
        <v>0</v>
      </c>
      <c r="D127" s="100">
        <v>1</v>
      </c>
      <c r="E127" s="100"/>
      <c r="F127" s="100"/>
      <c r="G127" s="100"/>
      <c r="H127" s="100"/>
      <c r="I127" s="100"/>
      <c r="J127" s="100"/>
      <c r="K127" s="100"/>
      <c r="L127" s="100"/>
      <c r="M127" s="100"/>
      <c r="N127" s="100">
        <v>1</v>
      </c>
      <c r="O127" s="100">
        <v>0</v>
      </c>
      <c r="P127" s="100">
        <v>0</v>
      </c>
      <c r="Q127" s="100"/>
      <c r="R127" s="100"/>
      <c r="S127" s="100"/>
      <c r="T127" s="100">
        <v>3</v>
      </c>
      <c r="U127" s="100">
        <v>5</v>
      </c>
      <c r="V127" s="100">
        <v>6</v>
      </c>
      <c r="W127" s="100">
        <v>0</v>
      </c>
      <c r="X127" s="100">
        <v>2</v>
      </c>
      <c r="Y127" s="100">
        <v>0</v>
      </c>
      <c r="Z127" s="100"/>
      <c r="AA127" s="100"/>
      <c r="AB127" s="100"/>
      <c r="AC127" s="100"/>
      <c r="AD127" s="100"/>
      <c r="AE127" s="100"/>
      <c r="AF127" s="100"/>
      <c r="AG127" s="100"/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>
        <v>2</v>
      </c>
      <c r="AV127" s="100">
        <v>1</v>
      </c>
      <c r="AW127" s="100">
        <v>0</v>
      </c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  <c r="BI127" s="100"/>
      <c r="BJ127" s="100"/>
      <c r="BK127" s="100"/>
      <c r="BL127" s="100"/>
      <c r="BM127" s="100"/>
      <c r="BN127" s="100"/>
      <c r="BO127" s="100"/>
      <c r="BP127" s="100"/>
      <c r="BQ127" s="100"/>
      <c r="BR127" s="100"/>
      <c r="BS127" s="100"/>
      <c r="BT127" s="100"/>
      <c r="BU127" s="100"/>
      <c r="BV127" s="100"/>
      <c r="BW127" s="100"/>
      <c r="BX127" s="100"/>
      <c r="BY127" s="100"/>
      <c r="BZ127" s="100"/>
      <c r="CA127" s="100"/>
      <c r="CB127" s="100"/>
      <c r="CC127" s="100"/>
      <c r="CD127" s="100"/>
      <c r="CE127" s="100"/>
      <c r="CF127" s="100"/>
      <c r="CG127" s="100"/>
      <c r="CH127" s="100"/>
      <c r="CI127" s="100"/>
      <c r="CJ127" s="100"/>
      <c r="CK127" s="100"/>
      <c r="CL127" s="100"/>
      <c r="CM127" s="100"/>
      <c r="CN127" s="100"/>
      <c r="CO127" s="100"/>
      <c r="CP127" s="100"/>
      <c r="CQ127" s="100"/>
      <c r="CR127" s="100"/>
      <c r="CS127" s="100"/>
      <c r="CT127" s="100"/>
      <c r="CU127" s="100"/>
      <c r="CV127" s="100"/>
      <c r="CW127" s="100"/>
      <c r="CX127" s="100"/>
      <c r="CY127" s="100"/>
      <c r="CZ127" s="100"/>
      <c r="DA127" s="100"/>
      <c r="DB127" s="100"/>
      <c r="DC127" s="100"/>
      <c r="DD127" s="100"/>
      <c r="DE127" s="100"/>
      <c r="DF127" s="100">
        <v>0</v>
      </c>
      <c r="DG127" s="100">
        <v>1</v>
      </c>
      <c r="DH127" s="100">
        <v>0</v>
      </c>
      <c r="DI127" s="100"/>
      <c r="DJ127" s="100"/>
      <c r="DK127" s="100"/>
      <c r="DL127" s="100"/>
      <c r="DM127" s="100"/>
      <c r="DN127" s="100"/>
      <c r="DO127" s="100"/>
      <c r="DP127" s="100"/>
      <c r="DQ127" s="100"/>
      <c r="DR127" s="100">
        <v>0</v>
      </c>
      <c r="DS127" s="100">
        <v>1</v>
      </c>
      <c r="DT127" s="100">
        <v>1</v>
      </c>
      <c r="DU127" s="100">
        <v>7</v>
      </c>
      <c r="DV127" s="100">
        <v>2</v>
      </c>
      <c r="DW127" s="100">
        <v>7</v>
      </c>
      <c r="DX127" s="100"/>
      <c r="DY127" s="100"/>
      <c r="DZ127" s="100"/>
      <c r="EA127" s="100"/>
      <c r="EB127" s="100"/>
      <c r="EC127" s="100"/>
      <c r="ED127" s="100"/>
      <c r="EE127" s="100"/>
      <c r="EF127" s="100"/>
      <c r="EG127" s="100"/>
      <c r="EH127" s="100"/>
      <c r="EI127" s="100"/>
      <c r="EJ127" s="100"/>
      <c r="EK127" s="100"/>
      <c r="EL127" s="100"/>
      <c r="EM127" s="100"/>
      <c r="EN127" s="100"/>
      <c r="EO127" s="100"/>
      <c r="EP127" s="100"/>
      <c r="EQ127" s="100"/>
      <c r="ER127" s="100"/>
      <c r="ES127" s="100"/>
      <c r="ET127" s="100"/>
      <c r="EU127" s="100"/>
      <c r="EV127" s="100"/>
      <c r="EW127" s="100"/>
      <c r="EX127" s="100"/>
      <c r="EY127" s="100"/>
      <c r="EZ127" s="100"/>
      <c r="FA127" s="100"/>
      <c r="FB127" s="100"/>
      <c r="FC127" s="100"/>
      <c r="FD127" s="100"/>
      <c r="FE127" s="100"/>
      <c r="FF127" s="100"/>
      <c r="FG127" s="100"/>
      <c r="FH127" s="100"/>
      <c r="FI127" s="100"/>
      <c r="FJ127" s="100"/>
      <c r="FK127" s="100"/>
      <c r="FL127" s="100"/>
      <c r="FM127" s="100"/>
      <c r="FN127" s="100"/>
      <c r="FO127" s="100"/>
      <c r="FP127" s="100"/>
      <c r="FQ127" s="100"/>
      <c r="FR127" s="100"/>
      <c r="FS127" s="100"/>
      <c r="FT127" s="100"/>
      <c r="FU127" s="100"/>
      <c r="FV127" s="100"/>
      <c r="FW127" s="100"/>
      <c r="FX127" s="100"/>
      <c r="FY127" s="100"/>
      <c r="FZ127" s="100"/>
      <c r="GA127" s="100"/>
      <c r="GB127" s="100"/>
      <c r="GC127" s="100"/>
      <c r="GD127" s="100"/>
      <c r="GE127" s="100"/>
      <c r="GF127" s="100"/>
      <c r="GG127" s="100"/>
      <c r="GH127" s="100"/>
      <c r="GI127" s="100"/>
      <c r="GJ127" s="100"/>
      <c r="GK127" s="100"/>
      <c r="GL127" s="100"/>
      <c r="GM127" s="100"/>
      <c r="GN127" s="100"/>
      <c r="GO127" s="100"/>
      <c r="GP127" s="100"/>
      <c r="GQ127" s="100"/>
      <c r="GR127" s="100"/>
      <c r="GS127" s="100"/>
      <c r="GT127" s="100"/>
      <c r="GU127" s="100"/>
      <c r="GV127" s="100"/>
      <c r="GW127" s="100"/>
      <c r="GX127" s="100"/>
      <c r="GY127" s="100"/>
      <c r="GZ127" s="100"/>
      <c r="HA127" s="100"/>
      <c r="HB127" s="100"/>
      <c r="HC127" s="100"/>
      <c r="HD127" s="100"/>
      <c r="HE127" s="100"/>
      <c r="HF127" s="100"/>
      <c r="HG127" s="100"/>
      <c r="HH127" s="100"/>
      <c r="HI127" s="100"/>
      <c r="HJ127" s="100"/>
      <c r="HK127" s="100"/>
      <c r="HL127" s="100"/>
      <c r="HM127" s="100"/>
      <c r="HN127" s="100"/>
      <c r="HO127" s="100"/>
      <c r="HP127" s="100"/>
      <c r="HQ127" s="100"/>
      <c r="HR127" s="100"/>
      <c r="HS127" s="100"/>
      <c r="HT127" s="100"/>
      <c r="HU127" s="100"/>
      <c r="HV127" s="100"/>
      <c r="HW127" s="100"/>
      <c r="HX127" s="100"/>
      <c r="HY127" s="100"/>
      <c r="HZ127" s="100"/>
      <c r="IA127" s="100"/>
      <c r="IB127" s="100"/>
      <c r="IC127" s="100"/>
      <c r="ID127" s="100"/>
      <c r="IE127" s="100"/>
      <c r="IF127" s="100"/>
      <c r="IG127" s="100"/>
      <c r="IH127" s="100"/>
      <c r="II127" s="100"/>
      <c r="IJ127" s="100"/>
      <c r="IK127" s="100"/>
      <c r="IL127" s="100"/>
      <c r="IM127" s="100"/>
      <c r="IN127" s="100"/>
      <c r="IO127" s="100"/>
      <c r="IP127" s="100"/>
      <c r="IQ127" s="100"/>
      <c r="IR127" s="100"/>
      <c r="IS127" s="100"/>
      <c r="IT127" s="100"/>
      <c r="IU127" s="100"/>
      <c r="IV127" s="100"/>
      <c r="IW127" s="100"/>
      <c r="IX127" s="100"/>
      <c r="IY127" s="100"/>
      <c r="IZ127" s="100"/>
      <c r="JA127" s="100"/>
      <c r="JB127" s="100"/>
      <c r="JC127" s="100"/>
      <c r="JD127" s="100"/>
      <c r="JE127" s="100"/>
      <c r="JF127" s="100"/>
      <c r="JG127" s="100"/>
      <c r="JH127" s="100"/>
      <c r="JI127" s="100"/>
      <c r="JJ127" s="100"/>
      <c r="JK127" s="100"/>
      <c r="JL127" s="100"/>
      <c r="JM127" s="100"/>
      <c r="JN127" s="100"/>
      <c r="JO127" s="100"/>
      <c r="JP127" s="100"/>
      <c r="JQ127" s="100"/>
      <c r="JR127" s="100"/>
      <c r="JS127" s="100"/>
      <c r="JT127" s="100"/>
      <c r="JU127" s="100"/>
      <c r="JV127" s="100"/>
      <c r="JW127" s="100"/>
      <c r="JX127" s="100"/>
      <c r="JY127" s="100"/>
      <c r="JZ127" s="100"/>
      <c r="KA127" s="100"/>
      <c r="KB127" s="100"/>
      <c r="KC127" s="100"/>
      <c r="KD127" s="100"/>
      <c r="KE127" s="100"/>
      <c r="KF127" s="100"/>
      <c r="KG127" s="100"/>
      <c r="KH127" s="100"/>
      <c r="KI127" s="100"/>
      <c r="KJ127" s="100"/>
      <c r="KK127" s="100"/>
      <c r="KL127" s="100"/>
      <c r="KM127" s="100"/>
      <c r="KN127" s="100"/>
      <c r="KO127" s="100"/>
      <c r="KP127" s="100"/>
      <c r="KQ127" s="100"/>
      <c r="KR127" s="100"/>
      <c r="KS127" s="100">
        <v>0</v>
      </c>
      <c r="KT127" s="100">
        <v>1</v>
      </c>
      <c r="KU127" s="100">
        <v>0</v>
      </c>
      <c r="KV127" s="100"/>
      <c r="KW127" s="100"/>
      <c r="KX127" s="100"/>
      <c r="KY127" s="100"/>
      <c r="KZ127" s="100"/>
      <c r="LA127" s="100"/>
      <c r="LB127" s="100"/>
      <c r="LC127" s="100"/>
      <c r="LD127" s="100"/>
      <c r="LE127" s="100"/>
      <c r="LF127" s="100"/>
      <c r="LG127" s="100"/>
      <c r="LH127" s="100">
        <v>0</v>
      </c>
      <c r="LI127" s="100">
        <v>1</v>
      </c>
      <c r="LJ127" s="100">
        <v>0</v>
      </c>
      <c r="LK127" s="100"/>
      <c r="LL127" s="100"/>
      <c r="LM127" s="100"/>
      <c r="LN127" s="100"/>
      <c r="LO127" s="100"/>
      <c r="LP127" s="100"/>
      <c r="LQ127" s="100"/>
      <c r="LR127" s="100"/>
      <c r="LS127" s="100"/>
      <c r="LT127" s="100"/>
      <c r="LU127" s="100"/>
      <c r="LV127" s="100"/>
      <c r="LW127" s="100"/>
      <c r="LX127" s="100"/>
      <c r="LY127" s="100"/>
      <c r="LZ127" s="100"/>
      <c r="MA127" s="100"/>
      <c r="MB127" s="100"/>
      <c r="MC127" s="100"/>
      <c r="MD127" s="100"/>
      <c r="ME127" s="100"/>
      <c r="MF127" s="100"/>
      <c r="MG127" s="100"/>
      <c r="MH127" s="100"/>
      <c r="MI127" s="100"/>
      <c r="MJ127" s="100"/>
      <c r="MK127" s="100"/>
      <c r="ML127" s="100"/>
      <c r="MM127" s="100"/>
      <c r="MN127" s="100"/>
      <c r="MO127" s="100"/>
      <c r="MP127" s="100"/>
      <c r="MQ127" s="100"/>
      <c r="MR127" s="100">
        <v>13</v>
      </c>
      <c r="MS127" s="100">
        <v>14</v>
      </c>
      <c r="MT127" s="100">
        <v>15</v>
      </c>
    </row>
    <row r="128" spans="1:358" x14ac:dyDescent="0.25">
      <c r="A128" s="99" t="s">
        <v>2281</v>
      </c>
      <c r="B128" s="100">
        <v>0</v>
      </c>
      <c r="C128" s="100">
        <v>1</v>
      </c>
      <c r="D128" s="100">
        <v>0</v>
      </c>
      <c r="E128" s="100"/>
      <c r="F128" s="100"/>
      <c r="G128" s="100"/>
      <c r="H128" s="100"/>
      <c r="I128" s="100"/>
      <c r="J128" s="100"/>
      <c r="K128" s="100">
        <v>0</v>
      </c>
      <c r="L128" s="100">
        <v>1</v>
      </c>
      <c r="M128" s="100">
        <v>0</v>
      </c>
      <c r="N128" s="100"/>
      <c r="O128" s="100"/>
      <c r="P128" s="100"/>
      <c r="Q128" s="100"/>
      <c r="R128" s="100"/>
      <c r="S128" s="100"/>
      <c r="T128" s="100">
        <v>0</v>
      </c>
      <c r="U128" s="100">
        <v>1</v>
      </c>
      <c r="V128" s="100">
        <v>0</v>
      </c>
      <c r="W128" s="100"/>
      <c r="X128" s="100"/>
      <c r="Y128" s="100"/>
      <c r="Z128" s="100"/>
      <c r="AA128" s="100"/>
      <c r="AB128" s="100"/>
      <c r="AC128" s="100"/>
      <c r="AD128" s="100"/>
      <c r="AE128" s="100"/>
      <c r="AF128" s="100"/>
      <c r="AG128" s="100"/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>
        <v>0</v>
      </c>
      <c r="AY128" s="100">
        <v>1</v>
      </c>
      <c r="AZ128" s="100">
        <v>0</v>
      </c>
      <c r="BA128" s="100"/>
      <c r="BB128" s="100"/>
      <c r="BC128" s="100"/>
      <c r="BD128" s="100"/>
      <c r="BE128" s="100"/>
      <c r="BF128" s="100"/>
      <c r="BG128" s="100"/>
      <c r="BH128" s="100"/>
      <c r="BI128" s="100"/>
      <c r="BJ128" s="100"/>
      <c r="BK128" s="100"/>
      <c r="BL128" s="100"/>
      <c r="BM128" s="100"/>
      <c r="BN128" s="100"/>
      <c r="BO128" s="100"/>
      <c r="BP128" s="100"/>
      <c r="BQ128" s="100"/>
      <c r="BR128" s="100"/>
      <c r="BS128" s="100">
        <v>1</v>
      </c>
      <c r="BT128" s="100">
        <v>0</v>
      </c>
      <c r="BU128" s="100">
        <v>0</v>
      </c>
      <c r="BV128" s="100"/>
      <c r="BW128" s="100"/>
      <c r="BX128" s="100"/>
      <c r="BY128" s="100"/>
      <c r="BZ128" s="100"/>
      <c r="CA128" s="100"/>
      <c r="CB128" s="100"/>
      <c r="CC128" s="100"/>
      <c r="CD128" s="100"/>
      <c r="CE128" s="100"/>
      <c r="CF128" s="100"/>
      <c r="CG128" s="100"/>
      <c r="CH128" s="100"/>
      <c r="CI128" s="100"/>
      <c r="CJ128" s="100"/>
      <c r="CK128" s="100">
        <v>0</v>
      </c>
      <c r="CL128" s="100">
        <v>1</v>
      </c>
      <c r="CM128" s="100">
        <v>0</v>
      </c>
      <c r="CN128" s="100"/>
      <c r="CO128" s="100"/>
      <c r="CP128" s="100"/>
      <c r="CQ128" s="100">
        <v>1</v>
      </c>
      <c r="CR128" s="100">
        <v>0</v>
      </c>
      <c r="CS128" s="100">
        <v>0</v>
      </c>
      <c r="CT128" s="100"/>
      <c r="CU128" s="100"/>
      <c r="CV128" s="100"/>
      <c r="CW128" s="100"/>
      <c r="CX128" s="100"/>
      <c r="CY128" s="100"/>
      <c r="CZ128" s="100"/>
      <c r="DA128" s="100"/>
      <c r="DB128" s="100"/>
      <c r="DC128" s="100"/>
      <c r="DD128" s="100"/>
      <c r="DE128" s="100"/>
      <c r="DF128" s="100"/>
      <c r="DG128" s="100"/>
      <c r="DH128" s="100"/>
      <c r="DI128" s="100"/>
      <c r="DJ128" s="100"/>
      <c r="DK128" s="100"/>
      <c r="DL128" s="100"/>
      <c r="DM128" s="100"/>
      <c r="DN128" s="100"/>
      <c r="DO128" s="100"/>
      <c r="DP128" s="100"/>
      <c r="DQ128" s="100"/>
      <c r="DR128" s="100"/>
      <c r="DS128" s="100"/>
      <c r="DT128" s="100"/>
      <c r="DU128" s="100">
        <v>1</v>
      </c>
      <c r="DV128" s="100">
        <v>1</v>
      </c>
      <c r="DW128" s="100">
        <v>0</v>
      </c>
      <c r="DX128" s="100"/>
      <c r="DY128" s="100"/>
      <c r="DZ128" s="100"/>
      <c r="EA128" s="100"/>
      <c r="EB128" s="100"/>
      <c r="EC128" s="100"/>
      <c r="ED128" s="100"/>
      <c r="EE128" s="100"/>
      <c r="EF128" s="100"/>
      <c r="EG128" s="100"/>
      <c r="EH128" s="100"/>
      <c r="EI128" s="100"/>
      <c r="EJ128" s="100"/>
      <c r="EK128" s="100"/>
      <c r="EL128" s="100"/>
      <c r="EM128" s="100"/>
      <c r="EN128" s="100"/>
      <c r="EO128" s="100"/>
      <c r="EP128" s="100"/>
      <c r="EQ128" s="100"/>
      <c r="ER128" s="100"/>
      <c r="ES128" s="100"/>
      <c r="ET128" s="100"/>
      <c r="EU128" s="100"/>
      <c r="EV128" s="100"/>
      <c r="EW128" s="100"/>
      <c r="EX128" s="100"/>
      <c r="EY128" s="100"/>
      <c r="EZ128" s="100"/>
      <c r="FA128" s="100"/>
      <c r="FB128" s="100"/>
      <c r="FC128" s="100"/>
      <c r="FD128" s="100"/>
      <c r="FE128" s="100"/>
      <c r="FF128" s="100"/>
      <c r="FG128" s="100"/>
      <c r="FH128" s="100"/>
      <c r="FI128" s="100"/>
      <c r="FJ128" s="100"/>
      <c r="FK128" s="100"/>
      <c r="FL128" s="100"/>
      <c r="FM128" s="100"/>
      <c r="FN128" s="100"/>
      <c r="FO128" s="100"/>
      <c r="FP128" s="100"/>
      <c r="FQ128" s="100"/>
      <c r="FR128" s="100"/>
      <c r="FS128" s="100"/>
      <c r="FT128" s="100"/>
      <c r="FU128" s="100"/>
      <c r="FV128" s="100"/>
      <c r="FW128" s="100"/>
      <c r="FX128" s="100"/>
      <c r="FY128" s="100"/>
      <c r="FZ128" s="100"/>
      <c r="GA128" s="100"/>
      <c r="GB128" s="100"/>
      <c r="GC128" s="100"/>
      <c r="GD128" s="100"/>
      <c r="GE128" s="100"/>
      <c r="GF128" s="100"/>
      <c r="GG128" s="100"/>
      <c r="GH128" s="100"/>
      <c r="GI128" s="100">
        <v>0</v>
      </c>
      <c r="GJ128" s="100">
        <v>1</v>
      </c>
      <c r="GK128" s="100">
        <v>0</v>
      </c>
      <c r="GL128" s="100"/>
      <c r="GM128" s="100"/>
      <c r="GN128" s="100"/>
      <c r="GO128" s="100"/>
      <c r="GP128" s="100"/>
      <c r="GQ128" s="100"/>
      <c r="GR128" s="100"/>
      <c r="GS128" s="100"/>
      <c r="GT128" s="100"/>
      <c r="GU128" s="100"/>
      <c r="GV128" s="100"/>
      <c r="GW128" s="100"/>
      <c r="GX128" s="100"/>
      <c r="GY128" s="100"/>
      <c r="GZ128" s="100"/>
      <c r="HA128" s="100"/>
      <c r="HB128" s="100"/>
      <c r="HC128" s="100"/>
      <c r="HD128" s="100"/>
      <c r="HE128" s="100"/>
      <c r="HF128" s="100"/>
      <c r="HG128" s="100"/>
      <c r="HH128" s="100"/>
      <c r="HI128" s="100"/>
      <c r="HJ128" s="100"/>
      <c r="HK128" s="100"/>
      <c r="HL128" s="100"/>
      <c r="HM128" s="100"/>
      <c r="HN128" s="100"/>
      <c r="HO128" s="100"/>
      <c r="HP128" s="100"/>
      <c r="HQ128" s="100"/>
      <c r="HR128" s="100"/>
      <c r="HS128" s="100"/>
      <c r="HT128" s="100"/>
      <c r="HU128" s="100"/>
      <c r="HV128" s="100"/>
      <c r="HW128" s="100"/>
      <c r="HX128" s="100"/>
      <c r="HY128" s="100"/>
      <c r="HZ128" s="100"/>
      <c r="IA128" s="100"/>
      <c r="IB128" s="100"/>
      <c r="IC128" s="100"/>
      <c r="ID128" s="100"/>
      <c r="IE128" s="100"/>
      <c r="IF128" s="100"/>
      <c r="IG128" s="100"/>
      <c r="IH128" s="100"/>
      <c r="II128" s="100"/>
      <c r="IJ128" s="100"/>
      <c r="IK128" s="100">
        <v>0</v>
      </c>
      <c r="IL128" s="100">
        <v>2</v>
      </c>
      <c r="IM128" s="100">
        <v>0</v>
      </c>
      <c r="IN128" s="100"/>
      <c r="IO128" s="100"/>
      <c r="IP128" s="100"/>
      <c r="IQ128" s="100"/>
      <c r="IR128" s="100"/>
      <c r="IS128" s="100"/>
      <c r="IT128" s="100"/>
      <c r="IU128" s="100"/>
      <c r="IV128" s="100"/>
      <c r="IW128" s="100"/>
      <c r="IX128" s="100"/>
      <c r="IY128" s="100"/>
      <c r="IZ128" s="100"/>
      <c r="JA128" s="100"/>
      <c r="JB128" s="100"/>
      <c r="JC128" s="100"/>
      <c r="JD128" s="100"/>
      <c r="JE128" s="100"/>
      <c r="JF128" s="100"/>
      <c r="JG128" s="100"/>
      <c r="JH128" s="100"/>
      <c r="JI128" s="100"/>
      <c r="JJ128" s="100"/>
      <c r="JK128" s="100"/>
      <c r="JL128" s="100"/>
      <c r="JM128" s="100"/>
      <c r="JN128" s="100"/>
      <c r="JO128" s="100"/>
      <c r="JP128" s="100"/>
      <c r="JQ128" s="100"/>
      <c r="JR128" s="100"/>
      <c r="JS128" s="100"/>
      <c r="JT128" s="100"/>
      <c r="JU128" s="100"/>
      <c r="JV128" s="100"/>
      <c r="JW128" s="100"/>
      <c r="JX128" s="100"/>
      <c r="JY128" s="100"/>
      <c r="JZ128" s="100"/>
      <c r="KA128" s="100"/>
      <c r="KB128" s="100"/>
      <c r="KC128" s="100"/>
      <c r="KD128" s="100"/>
      <c r="KE128" s="100"/>
      <c r="KF128" s="100"/>
      <c r="KG128" s="100"/>
      <c r="KH128" s="100"/>
      <c r="KI128" s="100"/>
      <c r="KJ128" s="100"/>
      <c r="KK128" s="100"/>
      <c r="KL128" s="100"/>
      <c r="KM128" s="100"/>
      <c r="KN128" s="100"/>
      <c r="KO128" s="100"/>
      <c r="KP128" s="100"/>
      <c r="KQ128" s="100"/>
      <c r="KR128" s="100"/>
      <c r="KS128" s="100"/>
      <c r="KT128" s="100"/>
      <c r="KU128" s="100"/>
      <c r="KV128" s="100"/>
      <c r="KW128" s="100"/>
      <c r="KX128" s="100"/>
      <c r="KY128" s="100"/>
      <c r="KZ128" s="100"/>
      <c r="LA128" s="100"/>
      <c r="LB128" s="100"/>
      <c r="LC128" s="100"/>
      <c r="LD128" s="100"/>
      <c r="LE128" s="100"/>
      <c r="LF128" s="100"/>
      <c r="LG128" s="100"/>
      <c r="LH128" s="100"/>
      <c r="LI128" s="100"/>
      <c r="LJ128" s="100"/>
      <c r="LK128" s="100"/>
      <c r="LL128" s="100"/>
      <c r="LM128" s="100"/>
      <c r="LN128" s="100"/>
      <c r="LO128" s="100"/>
      <c r="LP128" s="100"/>
      <c r="LQ128" s="100"/>
      <c r="LR128" s="100"/>
      <c r="LS128" s="100"/>
      <c r="LT128" s="100"/>
      <c r="LU128" s="100"/>
      <c r="LV128" s="100"/>
      <c r="LW128" s="100"/>
      <c r="LX128" s="100"/>
      <c r="LY128" s="100"/>
      <c r="LZ128" s="100"/>
      <c r="MA128" s="100"/>
      <c r="MB128" s="100"/>
      <c r="MC128" s="100"/>
      <c r="MD128" s="100"/>
      <c r="ME128" s="100"/>
      <c r="MF128" s="100"/>
      <c r="MG128" s="100"/>
      <c r="MH128" s="100"/>
      <c r="MI128" s="100"/>
      <c r="MJ128" s="100"/>
      <c r="MK128" s="100"/>
      <c r="ML128" s="100"/>
      <c r="MM128" s="100"/>
      <c r="MN128" s="100"/>
      <c r="MO128" s="100"/>
      <c r="MP128" s="100"/>
      <c r="MQ128" s="100"/>
      <c r="MR128" s="100">
        <v>3</v>
      </c>
      <c r="MS128" s="100">
        <v>9</v>
      </c>
      <c r="MT128" s="100">
        <v>0</v>
      </c>
    </row>
    <row r="129" spans="1:358" x14ac:dyDescent="0.25">
      <c r="A129" s="3" t="s">
        <v>2282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>
        <v>1</v>
      </c>
      <c r="O129" s="4">
        <v>0</v>
      </c>
      <c r="P129" s="4">
        <v>0</v>
      </c>
      <c r="Q129" s="4"/>
      <c r="R129" s="4"/>
      <c r="S129" s="4"/>
      <c r="T129" s="4">
        <v>0</v>
      </c>
      <c r="U129" s="4">
        <v>1</v>
      </c>
      <c r="V129" s="4">
        <v>0</v>
      </c>
      <c r="W129" s="4">
        <v>0</v>
      </c>
      <c r="X129" s="4">
        <v>1</v>
      </c>
      <c r="Y129" s="4">
        <v>0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>
        <v>0</v>
      </c>
      <c r="BT129" s="4">
        <v>1</v>
      </c>
      <c r="BU129" s="4">
        <v>0</v>
      </c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>
        <v>1</v>
      </c>
      <c r="CR129" s="4">
        <v>0</v>
      </c>
      <c r="CS129" s="4">
        <v>0</v>
      </c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>
        <v>1</v>
      </c>
      <c r="DV129" s="4">
        <v>0</v>
      </c>
      <c r="DW129" s="4">
        <v>1</v>
      </c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>
        <v>0</v>
      </c>
      <c r="IL129" s="4">
        <v>2</v>
      </c>
      <c r="IM129" s="4">
        <v>0</v>
      </c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  <c r="MF129" s="4"/>
      <c r="MG129" s="4"/>
      <c r="MH129" s="4"/>
      <c r="MI129" s="4"/>
      <c r="MJ129" s="4"/>
      <c r="MK129" s="4"/>
      <c r="ML129" s="4"/>
      <c r="MM129" s="4"/>
      <c r="MN129" s="4"/>
      <c r="MO129" s="4"/>
      <c r="MP129" s="4"/>
      <c r="MQ129" s="4"/>
      <c r="MR129" s="4">
        <v>3</v>
      </c>
      <c r="MS129" s="4">
        <v>5</v>
      </c>
      <c r="MT129" s="4">
        <v>1</v>
      </c>
    </row>
    <row r="130" spans="1:358" x14ac:dyDescent="0.25">
      <c r="A130" s="99" t="s">
        <v>2284</v>
      </c>
      <c r="B130" s="100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>
        <v>1</v>
      </c>
      <c r="U130" s="100">
        <v>9</v>
      </c>
      <c r="V130" s="100">
        <v>4</v>
      </c>
      <c r="W130" s="100">
        <v>0</v>
      </c>
      <c r="X130" s="100">
        <v>1</v>
      </c>
      <c r="Y130" s="100">
        <v>0</v>
      </c>
      <c r="Z130" s="100">
        <v>0</v>
      </c>
      <c r="AA130" s="100">
        <v>1</v>
      </c>
      <c r="AB130" s="100">
        <v>0</v>
      </c>
      <c r="AC130" s="100"/>
      <c r="AD130" s="100"/>
      <c r="AE130" s="100"/>
      <c r="AF130" s="100"/>
      <c r="AG130" s="100"/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>
        <v>0</v>
      </c>
      <c r="AV130" s="100">
        <v>2</v>
      </c>
      <c r="AW130" s="100">
        <v>0</v>
      </c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  <c r="BI130" s="100"/>
      <c r="BJ130" s="100"/>
      <c r="BK130" s="100"/>
      <c r="BL130" s="100"/>
      <c r="BM130" s="100">
        <v>0</v>
      </c>
      <c r="BN130" s="100">
        <v>1</v>
      </c>
      <c r="BO130" s="100">
        <v>0</v>
      </c>
      <c r="BP130" s="100"/>
      <c r="BQ130" s="100"/>
      <c r="BR130" s="100"/>
      <c r="BS130" s="100"/>
      <c r="BT130" s="100"/>
      <c r="BU130" s="100"/>
      <c r="BV130" s="100"/>
      <c r="BW130" s="100"/>
      <c r="BX130" s="100"/>
      <c r="BY130" s="100"/>
      <c r="BZ130" s="100"/>
      <c r="CA130" s="100"/>
      <c r="CB130" s="100"/>
      <c r="CC130" s="100"/>
      <c r="CD130" s="100"/>
      <c r="CE130" s="100"/>
      <c r="CF130" s="100"/>
      <c r="CG130" s="100"/>
      <c r="CH130" s="100"/>
      <c r="CI130" s="100"/>
      <c r="CJ130" s="100"/>
      <c r="CK130" s="100"/>
      <c r="CL130" s="100"/>
      <c r="CM130" s="100"/>
      <c r="CN130" s="100"/>
      <c r="CO130" s="100"/>
      <c r="CP130" s="100"/>
      <c r="CQ130" s="100"/>
      <c r="CR130" s="100"/>
      <c r="CS130" s="100"/>
      <c r="CT130" s="100"/>
      <c r="CU130" s="100"/>
      <c r="CV130" s="100"/>
      <c r="CW130" s="100"/>
      <c r="CX130" s="100"/>
      <c r="CY130" s="100"/>
      <c r="CZ130" s="100"/>
      <c r="DA130" s="100"/>
      <c r="DB130" s="100"/>
      <c r="DC130" s="100"/>
      <c r="DD130" s="100"/>
      <c r="DE130" s="100"/>
      <c r="DF130" s="100"/>
      <c r="DG130" s="100"/>
      <c r="DH130" s="100"/>
      <c r="DI130" s="100"/>
      <c r="DJ130" s="100"/>
      <c r="DK130" s="100"/>
      <c r="DL130" s="100"/>
      <c r="DM130" s="100"/>
      <c r="DN130" s="100"/>
      <c r="DO130" s="100"/>
      <c r="DP130" s="100"/>
      <c r="DQ130" s="100"/>
      <c r="DR130" s="100"/>
      <c r="DS130" s="100"/>
      <c r="DT130" s="100"/>
      <c r="DU130" s="100">
        <v>1</v>
      </c>
      <c r="DV130" s="100">
        <v>5</v>
      </c>
      <c r="DW130" s="100">
        <v>4</v>
      </c>
      <c r="DX130" s="100"/>
      <c r="DY130" s="100"/>
      <c r="DZ130" s="100"/>
      <c r="EA130" s="100"/>
      <c r="EB130" s="100"/>
      <c r="EC130" s="100"/>
      <c r="ED130" s="100">
        <v>0</v>
      </c>
      <c r="EE130" s="100">
        <v>1</v>
      </c>
      <c r="EF130" s="100">
        <v>0</v>
      </c>
      <c r="EG130" s="100">
        <v>1</v>
      </c>
      <c r="EH130" s="100">
        <v>0</v>
      </c>
      <c r="EI130" s="100">
        <v>0</v>
      </c>
      <c r="EJ130" s="100">
        <v>0</v>
      </c>
      <c r="EK130" s="100">
        <v>1</v>
      </c>
      <c r="EL130" s="100">
        <v>0</v>
      </c>
      <c r="EM130" s="100"/>
      <c r="EN130" s="100"/>
      <c r="EO130" s="100"/>
      <c r="EP130" s="100"/>
      <c r="EQ130" s="100"/>
      <c r="ER130" s="100"/>
      <c r="ES130" s="100"/>
      <c r="ET130" s="100"/>
      <c r="EU130" s="100"/>
      <c r="EV130" s="100"/>
      <c r="EW130" s="100"/>
      <c r="EX130" s="100"/>
      <c r="EY130" s="100"/>
      <c r="EZ130" s="100"/>
      <c r="FA130" s="100"/>
      <c r="FB130" s="100"/>
      <c r="FC130" s="100"/>
      <c r="FD130" s="100"/>
      <c r="FE130" s="100">
        <v>0</v>
      </c>
      <c r="FF130" s="100">
        <v>1</v>
      </c>
      <c r="FG130" s="100">
        <v>0</v>
      </c>
      <c r="FH130" s="100"/>
      <c r="FI130" s="100"/>
      <c r="FJ130" s="100"/>
      <c r="FK130" s="100"/>
      <c r="FL130" s="100"/>
      <c r="FM130" s="100"/>
      <c r="FN130" s="100"/>
      <c r="FO130" s="100"/>
      <c r="FP130" s="100"/>
      <c r="FQ130" s="100">
        <v>0</v>
      </c>
      <c r="FR130" s="100">
        <v>1</v>
      </c>
      <c r="FS130" s="100">
        <v>0</v>
      </c>
      <c r="FT130" s="100"/>
      <c r="FU130" s="100"/>
      <c r="FV130" s="100"/>
      <c r="FW130" s="100"/>
      <c r="FX130" s="100"/>
      <c r="FY130" s="100"/>
      <c r="FZ130" s="100"/>
      <c r="GA130" s="100"/>
      <c r="GB130" s="100"/>
      <c r="GC130" s="100"/>
      <c r="GD130" s="100"/>
      <c r="GE130" s="100"/>
      <c r="GF130" s="100"/>
      <c r="GG130" s="100"/>
      <c r="GH130" s="100"/>
      <c r="GI130" s="100">
        <v>0</v>
      </c>
      <c r="GJ130" s="100">
        <v>3</v>
      </c>
      <c r="GK130" s="100">
        <v>0</v>
      </c>
      <c r="GL130" s="100"/>
      <c r="GM130" s="100"/>
      <c r="GN130" s="100"/>
      <c r="GO130" s="100">
        <v>0</v>
      </c>
      <c r="GP130" s="100">
        <v>1</v>
      </c>
      <c r="GQ130" s="100">
        <v>0</v>
      </c>
      <c r="GR130" s="100"/>
      <c r="GS130" s="100"/>
      <c r="GT130" s="100"/>
      <c r="GU130" s="100"/>
      <c r="GV130" s="100"/>
      <c r="GW130" s="100"/>
      <c r="GX130" s="100"/>
      <c r="GY130" s="100"/>
      <c r="GZ130" s="100"/>
      <c r="HA130" s="100"/>
      <c r="HB130" s="100"/>
      <c r="HC130" s="100"/>
      <c r="HD130" s="100"/>
      <c r="HE130" s="100"/>
      <c r="HF130" s="100"/>
      <c r="HG130" s="100"/>
      <c r="HH130" s="100"/>
      <c r="HI130" s="100"/>
      <c r="HJ130" s="100"/>
      <c r="HK130" s="100"/>
      <c r="HL130" s="100"/>
      <c r="HM130" s="100"/>
      <c r="HN130" s="100"/>
      <c r="HO130" s="100"/>
      <c r="HP130" s="100"/>
      <c r="HQ130" s="100"/>
      <c r="HR130" s="100"/>
      <c r="HS130" s="100"/>
      <c r="HT130" s="100"/>
      <c r="HU130" s="100"/>
      <c r="HV130" s="100"/>
      <c r="HW130" s="100"/>
      <c r="HX130" s="100"/>
      <c r="HY130" s="100"/>
      <c r="HZ130" s="100"/>
      <c r="IA130" s="100"/>
      <c r="IB130" s="100"/>
      <c r="IC130" s="100"/>
      <c r="ID130" s="100"/>
      <c r="IE130" s="100">
        <v>1</v>
      </c>
      <c r="IF130" s="100">
        <v>0</v>
      </c>
      <c r="IG130" s="100">
        <v>1</v>
      </c>
      <c r="IH130" s="100"/>
      <c r="II130" s="100"/>
      <c r="IJ130" s="100"/>
      <c r="IK130" s="100"/>
      <c r="IL130" s="100"/>
      <c r="IM130" s="100"/>
      <c r="IN130" s="100"/>
      <c r="IO130" s="100"/>
      <c r="IP130" s="100"/>
      <c r="IQ130" s="100"/>
      <c r="IR130" s="100"/>
      <c r="IS130" s="100"/>
      <c r="IT130" s="100"/>
      <c r="IU130" s="100"/>
      <c r="IV130" s="100"/>
      <c r="IW130" s="100"/>
      <c r="IX130" s="100"/>
      <c r="IY130" s="100"/>
      <c r="IZ130" s="100"/>
      <c r="JA130" s="100"/>
      <c r="JB130" s="100"/>
      <c r="JC130" s="100"/>
      <c r="JD130" s="100"/>
      <c r="JE130" s="100"/>
      <c r="JF130" s="100"/>
      <c r="JG130" s="100"/>
      <c r="JH130" s="100"/>
      <c r="JI130" s="100"/>
      <c r="JJ130" s="100"/>
      <c r="JK130" s="100"/>
      <c r="JL130" s="100"/>
      <c r="JM130" s="100"/>
      <c r="JN130" s="100"/>
      <c r="JO130" s="100"/>
      <c r="JP130" s="100"/>
      <c r="JQ130" s="100"/>
      <c r="JR130" s="100"/>
      <c r="JS130" s="100"/>
      <c r="JT130" s="100"/>
      <c r="JU130" s="100"/>
      <c r="JV130" s="100"/>
      <c r="JW130" s="100"/>
      <c r="JX130" s="100"/>
      <c r="JY130" s="100"/>
      <c r="JZ130" s="100"/>
      <c r="KA130" s="100"/>
      <c r="KB130" s="100"/>
      <c r="KC130" s="100"/>
      <c r="KD130" s="100"/>
      <c r="KE130" s="100"/>
      <c r="KF130" s="100"/>
      <c r="KG130" s="100"/>
      <c r="KH130" s="100"/>
      <c r="KI130" s="100"/>
      <c r="KJ130" s="100"/>
      <c r="KK130" s="100"/>
      <c r="KL130" s="100"/>
      <c r="KM130" s="100"/>
      <c r="KN130" s="100"/>
      <c r="KO130" s="100"/>
      <c r="KP130" s="100"/>
      <c r="KQ130" s="100"/>
      <c r="KR130" s="100"/>
      <c r="KS130" s="100"/>
      <c r="KT130" s="100"/>
      <c r="KU130" s="100"/>
      <c r="KV130" s="100"/>
      <c r="KW130" s="100"/>
      <c r="KX130" s="100"/>
      <c r="KY130" s="100"/>
      <c r="KZ130" s="100"/>
      <c r="LA130" s="100"/>
      <c r="LB130" s="100"/>
      <c r="LC130" s="100"/>
      <c r="LD130" s="100"/>
      <c r="LE130" s="100"/>
      <c r="LF130" s="100"/>
      <c r="LG130" s="100"/>
      <c r="LH130" s="100"/>
      <c r="LI130" s="100"/>
      <c r="LJ130" s="100"/>
      <c r="LK130" s="100"/>
      <c r="LL130" s="100"/>
      <c r="LM130" s="100"/>
      <c r="LN130" s="100"/>
      <c r="LO130" s="100"/>
      <c r="LP130" s="100"/>
      <c r="LQ130" s="100"/>
      <c r="LR130" s="100"/>
      <c r="LS130" s="100"/>
      <c r="LT130" s="100"/>
      <c r="LU130" s="100"/>
      <c r="LV130" s="100"/>
      <c r="LW130" s="100"/>
      <c r="LX130" s="100"/>
      <c r="LY130" s="100"/>
      <c r="LZ130" s="100"/>
      <c r="MA130" s="100"/>
      <c r="MB130" s="100"/>
      <c r="MC130" s="100"/>
      <c r="MD130" s="100"/>
      <c r="ME130" s="100"/>
      <c r="MF130" s="100"/>
      <c r="MG130" s="100"/>
      <c r="MH130" s="100"/>
      <c r="MI130" s="100"/>
      <c r="MJ130" s="100"/>
      <c r="MK130" s="100"/>
      <c r="ML130" s="100"/>
      <c r="MM130" s="100"/>
      <c r="MN130" s="100"/>
      <c r="MO130" s="100"/>
      <c r="MP130" s="100"/>
      <c r="MQ130" s="100"/>
      <c r="MR130" s="100">
        <v>4</v>
      </c>
      <c r="MS130" s="100">
        <v>27</v>
      </c>
      <c r="MT130" s="100">
        <v>9</v>
      </c>
    </row>
    <row r="131" spans="1:358" x14ac:dyDescent="0.25">
      <c r="A131" s="3" t="s">
        <v>2283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>
        <v>0</v>
      </c>
      <c r="BQ131" s="4">
        <v>1</v>
      </c>
      <c r="BR131" s="4">
        <v>0</v>
      </c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>
        <v>1</v>
      </c>
      <c r="CU131" s="4">
        <v>0</v>
      </c>
      <c r="CV131" s="4">
        <v>0</v>
      </c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>
        <v>0</v>
      </c>
      <c r="KH131" s="4">
        <v>1</v>
      </c>
      <c r="KI131" s="4">
        <v>0</v>
      </c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  <c r="MF131" s="4"/>
      <c r="MG131" s="4"/>
      <c r="MH131" s="4"/>
      <c r="MI131" s="4"/>
      <c r="MJ131" s="4"/>
      <c r="MK131" s="4"/>
      <c r="ML131" s="4"/>
      <c r="MM131" s="4"/>
      <c r="MN131" s="4"/>
      <c r="MO131" s="4"/>
      <c r="MP131" s="4"/>
      <c r="MQ131" s="4"/>
      <c r="MR131" s="4">
        <v>1</v>
      </c>
      <c r="MS131" s="4">
        <v>2</v>
      </c>
      <c r="MT131" s="4">
        <v>0</v>
      </c>
    </row>
    <row r="132" spans="1:358" x14ac:dyDescent="0.25">
      <c r="A132" s="3" t="s">
        <v>2286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>
        <v>0</v>
      </c>
      <c r="U132" s="4">
        <v>9</v>
      </c>
      <c r="V132" s="4">
        <v>3</v>
      </c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>
        <v>0</v>
      </c>
      <c r="BT132" s="4">
        <v>0</v>
      </c>
      <c r="BU132" s="4">
        <v>1</v>
      </c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>
        <v>0</v>
      </c>
      <c r="DP132" s="4">
        <v>1</v>
      </c>
      <c r="DQ132" s="4">
        <v>0</v>
      </c>
      <c r="DR132" s="4"/>
      <c r="DS132" s="4"/>
      <c r="DT132" s="4"/>
      <c r="DU132" s="4">
        <v>1</v>
      </c>
      <c r="DV132" s="4">
        <v>5</v>
      </c>
      <c r="DW132" s="4">
        <v>6</v>
      </c>
      <c r="DX132" s="4"/>
      <c r="DY132" s="4"/>
      <c r="DZ132" s="4"/>
      <c r="EA132" s="4"/>
      <c r="EB132" s="4"/>
      <c r="EC132" s="4"/>
      <c r="ED132" s="4">
        <v>0</v>
      </c>
      <c r="EE132" s="4">
        <v>1</v>
      </c>
      <c r="EF132" s="4">
        <v>0</v>
      </c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>
        <v>1</v>
      </c>
      <c r="FX132" s="4">
        <v>0</v>
      </c>
      <c r="FY132" s="4">
        <v>0</v>
      </c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>
        <v>0</v>
      </c>
      <c r="GV132" s="4">
        <v>1</v>
      </c>
      <c r="GW132" s="4">
        <v>0</v>
      </c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>
        <v>0</v>
      </c>
      <c r="IL132" s="4">
        <v>0</v>
      </c>
      <c r="IM132" s="4">
        <v>1</v>
      </c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>
        <v>0</v>
      </c>
      <c r="KK132" s="4">
        <v>1</v>
      </c>
      <c r="KL132" s="4">
        <v>0</v>
      </c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  <c r="MF132" s="4"/>
      <c r="MG132" s="4"/>
      <c r="MH132" s="4"/>
      <c r="MI132" s="4"/>
      <c r="MJ132" s="4"/>
      <c r="MK132" s="4"/>
      <c r="ML132" s="4"/>
      <c r="MM132" s="4"/>
      <c r="MN132" s="4"/>
      <c r="MO132" s="4"/>
      <c r="MP132" s="4"/>
      <c r="MQ132" s="4"/>
      <c r="MR132" s="4">
        <v>2</v>
      </c>
      <c r="MS132" s="4">
        <v>18</v>
      </c>
      <c r="MT132" s="4">
        <v>11</v>
      </c>
    </row>
    <row r="133" spans="1:358" x14ac:dyDescent="0.25">
      <c r="A133" s="3" t="s">
        <v>2290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>
        <v>0</v>
      </c>
      <c r="U133" s="4">
        <v>5</v>
      </c>
      <c r="V133" s="4">
        <v>0</v>
      </c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>
        <v>0</v>
      </c>
      <c r="AY133" s="4">
        <v>0</v>
      </c>
      <c r="AZ133" s="4">
        <v>1</v>
      </c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>
        <v>1</v>
      </c>
      <c r="DV133" s="4">
        <v>3</v>
      </c>
      <c r="DW133" s="4">
        <v>1</v>
      </c>
      <c r="DX133" s="4"/>
      <c r="DY133" s="4"/>
      <c r="DZ133" s="4"/>
      <c r="EA133" s="4"/>
      <c r="EB133" s="4"/>
      <c r="EC133" s="4"/>
      <c r="ED133" s="4">
        <v>0</v>
      </c>
      <c r="EE133" s="4">
        <v>2</v>
      </c>
      <c r="EF133" s="4">
        <v>1</v>
      </c>
      <c r="EG133" s="4"/>
      <c r="EH133" s="4"/>
      <c r="EI133" s="4"/>
      <c r="EJ133" s="4"/>
      <c r="EK133" s="4"/>
      <c r="EL133" s="4"/>
      <c r="EM133" s="4">
        <v>1</v>
      </c>
      <c r="EN133" s="4">
        <v>0</v>
      </c>
      <c r="EO133" s="4">
        <v>0</v>
      </c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>
        <v>0</v>
      </c>
      <c r="GP133" s="4">
        <v>3</v>
      </c>
      <c r="GQ133" s="4">
        <v>1</v>
      </c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>
        <v>0</v>
      </c>
      <c r="HK133" s="4">
        <v>1</v>
      </c>
      <c r="HL133" s="4">
        <v>0</v>
      </c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>
        <v>0</v>
      </c>
      <c r="IR133" s="4">
        <v>0</v>
      </c>
      <c r="IS133" s="4">
        <v>1</v>
      </c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  <c r="MF133" s="4"/>
      <c r="MG133" s="4"/>
      <c r="MH133" s="4"/>
      <c r="MI133" s="4"/>
      <c r="MJ133" s="4"/>
      <c r="MK133" s="4"/>
      <c r="ML133" s="4"/>
      <c r="MM133" s="4"/>
      <c r="MN133" s="4"/>
      <c r="MO133" s="4"/>
      <c r="MP133" s="4"/>
      <c r="MQ133" s="4"/>
      <c r="MR133" s="4">
        <v>2</v>
      </c>
      <c r="MS133" s="4">
        <v>14</v>
      </c>
      <c r="MT133" s="4">
        <v>5</v>
      </c>
    </row>
    <row r="134" spans="1:358" x14ac:dyDescent="0.25">
      <c r="A134" s="3" t="s">
        <v>2289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>
        <v>2</v>
      </c>
      <c r="U134" s="4">
        <v>1</v>
      </c>
      <c r="V134" s="4">
        <v>0</v>
      </c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>
        <v>1</v>
      </c>
      <c r="DV134" s="4">
        <v>0</v>
      </c>
      <c r="DW134" s="4">
        <v>0</v>
      </c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>
        <v>3</v>
      </c>
      <c r="MS134" s="4">
        <v>1</v>
      </c>
      <c r="MT134" s="4">
        <v>0</v>
      </c>
    </row>
    <row r="135" spans="1:358" x14ac:dyDescent="0.25">
      <c r="A135" s="99" t="s">
        <v>2288</v>
      </c>
      <c r="B135" s="100">
        <v>0</v>
      </c>
      <c r="C135" s="100">
        <v>1</v>
      </c>
      <c r="D135" s="100">
        <v>0</v>
      </c>
      <c r="E135" s="100"/>
      <c r="F135" s="100"/>
      <c r="G135" s="100"/>
      <c r="H135" s="100">
        <v>1</v>
      </c>
      <c r="I135" s="100">
        <v>0</v>
      </c>
      <c r="J135" s="100">
        <v>1</v>
      </c>
      <c r="K135" s="100">
        <v>0</v>
      </c>
      <c r="L135" s="100">
        <v>1</v>
      </c>
      <c r="M135" s="100">
        <v>0</v>
      </c>
      <c r="N135" s="100"/>
      <c r="O135" s="100"/>
      <c r="P135" s="100"/>
      <c r="Q135" s="100"/>
      <c r="R135" s="100"/>
      <c r="S135" s="100"/>
      <c r="T135" s="100">
        <v>4</v>
      </c>
      <c r="U135" s="100">
        <v>11</v>
      </c>
      <c r="V135" s="100">
        <v>5</v>
      </c>
      <c r="W135" s="100">
        <v>0</v>
      </c>
      <c r="X135" s="100">
        <v>1</v>
      </c>
      <c r="Y135" s="100">
        <v>1</v>
      </c>
      <c r="Z135" s="100"/>
      <c r="AA135" s="100"/>
      <c r="AB135" s="100"/>
      <c r="AC135" s="100"/>
      <c r="AD135" s="100"/>
      <c r="AE135" s="100"/>
      <c r="AF135" s="100"/>
      <c r="AG135" s="100"/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>
        <v>1</v>
      </c>
      <c r="AV135" s="100">
        <v>0</v>
      </c>
      <c r="AW135" s="100">
        <v>1</v>
      </c>
      <c r="AX135" s="100">
        <v>1</v>
      </c>
      <c r="AY135" s="100">
        <v>1</v>
      </c>
      <c r="AZ135" s="100">
        <v>0</v>
      </c>
      <c r="BA135" s="100"/>
      <c r="BB135" s="100"/>
      <c r="BC135" s="100"/>
      <c r="BD135" s="100"/>
      <c r="BE135" s="100"/>
      <c r="BF135" s="100"/>
      <c r="BG135" s="100"/>
      <c r="BH135" s="100"/>
      <c r="BI135" s="100"/>
      <c r="BJ135" s="100"/>
      <c r="BK135" s="100"/>
      <c r="BL135" s="100"/>
      <c r="BM135" s="100"/>
      <c r="BN135" s="100"/>
      <c r="BO135" s="100"/>
      <c r="BP135" s="100">
        <v>0</v>
      </c>
      <c r="BQ135" s="100">
        <v>0</v>
      </c>
      <c r="BR135" s="100">
        <v>1</v>
      </c>
      <c r="BS135" s="100">
        <v>0</v>
      </c>
      <c r="BT135" s="100">
        <v>1</v>
      </c>
      <c r="BU135" s="100">
        <v>0</v>
      </c>
      <c r="BV135" s="100"/>
      <c r="BW135" s="100"/>
      <c r="BX135" s="100"/>
      <c r="BY135" s="100"/>
      <c r="BZ135" s="100"/>
      <c r="CA135" s="100"/>
      <c r="CB135" s="100"/>
      <c r="CC135" s="100"/>
      <c r="CD135" s="100"/>
      <c r="CE135" s="100"/>
      <c r="CF135" s="100"/>
      <c r="CG135" s="100"/>
      <c r="CH135" s="100"/>
      <c r="CI135" s="100"/>
      <c r="CJ135" s="100"/>
      <c r="CK135" s="100"/>
      <c r="CL135" s="100"/>
      <c r="CM135" s="100"/>
      <c r="CN135" s="100"/>
      <c r="CO135" s="100"/>
      <c r="CP135" s="100"/>
      <c r="CQ135" s="100"/>
      <c r="CR135" s="100"/>
      <c r="CS135" s="100"/>
      <c r="CT135" s="100"/>
      <c r="CU135" s="100"/>
      <c r="CV135" s="100"/>
      <c r="CW135" s="100"/>
      <c r="CX135" s="100"/>
      <c r="CY135" s="100"/>
      <c r="CZ135" s="100"/>
      <c r="DA135" s="100"/>
      <c r="DB135" s="100"/>
      <c r="DC135" s="100"/>
      <c r="DD135" s="100"/>
      <c r="DE135" s="100"/>
      <c r="DF135" s="100"/>
      <c r="DG135" s="100"/>
      <c r="DH135" s="100"/>
      <c r="DI135" s="100">
        <v>0</v>
      </c>
      <c r="DJ135" s="100">
        <v>1</v>
      </c>
      <c r="DK135" s="100">
        <v>1</v>
      </c>
      <c r="DL135" s="100"/>
      <c r="DM135" s="100"/>
      <c r="DN135" s="100"/>
      <c r="DO135" s="100"/>
      <c r="DP135" s="100"/>
      <c r="DQ135" s="100"/>
      <c r="DR135" s="100">
        <v>0</v>
      </c>
      <c r="DS135" s="100">
        <v>0</v>
      </c>
      <c r="DT135" s="100">
        <v>1</v>
      </c>
      <c r="DU135" s="100">
        <v>11</v>
      </c>
      <c r="DV135" s="100">
        <v>8</v>
      </c>
      <c r="DW135" s="100">
        <v>3</v>
      </c>
      <c r="DX135" s="100"/>
      <c r="DY135" s="100"/>
      <c r="DZ135" s="100"/>
      <c r="EA135" s="100"/>
      <c r="EB135" s="100"/>
      <c r="EC135" s="100"/>
      <c r="ED135" s="100">
        <v>0</v>
      </c>
      <c r="EE135" s="100">
        <v>0</v>
      </c>
      <c r="EF135" s="100">
        <v>1</v>
      </c>
      <c r="EG135" s="100"/>
      <c r="EH135" s="100"/>
      <c r="EI135" s="100"/>
      <c r="EJ135" s="100"/>
      <c r="EK135" s="100"/>
      <c r="EL135" s="100"/>
      <c r="EM135" s="100"/>
      <c r="EN135" s="100"/>
      <c r="EO135" s="100"/>
      <c r="EP135" s="100"/>
      <c r="EQ135" s="100"/>
      <c r="ER135" s="100"/>
      <c r="ES135" s="100"/>
      <c r="ET135" s="100"/>
      <c r="EU135" s="100"/>
      <c r="EV135" s="100"/>
      <c r="EW135" s="100"/>
      <c r="EX135" s="100"/>
      <c r="EY135" s="100"/>
      <c r="EZ135" s="100"/>
      <c r="FA135" s="100"/>
      <c r="FB135" s="100"/>
      <c r="FC135" s="100"/>
      <c r="FD135" s="100"/>
      <c r="FE135" s="100"/>
      <c r="FF135" s="100"/>
      <c r="FG135" s="100"/>
      <c r="FH135" s="100"/>
      <c r="FI135" s="100"/>
      <c r="FJ135" s="100"/>
      <c r="FK135" s="100"/>
      <c r="FL135" s="100"/>
      <c r="FM135" s="100"/>
      <c r="FN135" s="100"/>
      <c r="FO135" s="100"/>
      <c r="FP135" s="100"/>
      <c r="FQ135" s="100"/>
      <c r="FR135" s="100"/>
      <c r="FS135" s="100"/>
      <c r="FT135" s="100"/>
      <c r="FU135" s="100"/>
      <c r="FV135" s="100"/>
      <c r="FW135" s="100"/>
      <c r="FX135" s="100"/>
      <c r="FY135" s="100"/>
      <c r="FZ135" s="100">
        <v>0</v>
      </c>
      <c r="GA135" s="100">
        <v>1</v>
      </c>
      <c r="GB135" s="100">
        <v>0</v>
      </c>
      <c r="GC135" s="100"/>
      <c r="GD135" s="100"/>
      <c r="GE135" s="100"/>
      <c r="GF135" s="100"/>
      <c r="GG135" s="100"/>
      <c r="GH135" s="100"/>
      <c r="GI135" s="100">
        <v>2</v>
      </c>
      <c r="GJ135" s="100">
        <v>1</v>
      </c>
      <c r="GK135" s="100">
        <v>2</v>
      </c>
      <c r="GL135" s="100"/>
      <c r="GM135" s="100"/>
      <c r="GN135" s="100"/>
      <c r="GO135" s="100"/>
      <c r="GP135" s="100"/>
      <c r="GQ135" s="100"/>
      <c r="GR135" s="100"/>
      <c r="GS135" s="100"/>
      <c r="GT135" s="100"/>
      <c r="GU135" s="100"/>
      <c r="GV135" s="100"/>
      <c r="GW135" s="100"/>
      <c r="GX135" s="100"/>
      <c r="GY135" s="100"/>
      <c r="GZ135" s="100"/>
      <c r="HA135" s="100"/>
      <c r="HB135" s="100"/>
      <c r="HC135" s="100"/>
      <c r="HD135" s="100"/>
      <c r="HE135" s="100"/>
      <c r="HF135" s="100"/>
      <c r="HG135" s="100"/>
      <c r="HH135" s="100"/>
      <c r="HI135" s="100"/>
      <c r="HJ135" s="100"/>
      <c r="HK135" s="100"/>
      <c r="HL135" s="100"/>
      <c r="HM135" s="100"/>
      <c r="HN135" s="100"/>
      <c r="HO135" s="100"/>
      <c r="HP135" s="100"/>
      <c r="HQ135" s="100"/>
      <c r="HR135" s="100"/>
      <c r="HS135" s="100"/>
      <c r="HT135" s="100"/>
      <c r="HU135" s="100"/>
      <c r="HV135" s="100"/>
      <c r="HW135" s="100"/>
      <c r="HX135" s="100"/>
      <c r="HY135" s="100"/>
      <c r="HZ135" s="100"/>
      <c r="IA135" s="100"/>
      <c r="IB135" s="100"/>
      <c r="IC135" s="100"/>
      <c r="ID135" s="100"/>
      <c r="IE135" s="100"/>
      <c r="IF135" s="100"/>
      <c r="IG135" s="100"/>
      <c r="IH135" s="100"/>
      <c r="II135" s="100"/>
      <c r="IJ135" s="100"/>
      <c r="IK135" s="100"/>
      <c r="IL135" s="100"/>
      <c r="IM135" s="100"/>
      <c r="IN135" s="100"/>
      <c r="IO135" s="100"/>
      <c r="IP135" s="100"/>
      <c r="IQ135" s="100">
        <v>0</v>
      </c>
      <c r="IR135" s="100">
        <v>1</v>
      </c>
      <c r="IS135" s="100">
        <v>0</v>
      </c>
      <c r="IT135" s="100"/>
      <c r="IU135" s="100"/>
      <c r="IV135" s="100"/>
      <c r="IW135" s="100"/>
      <c r="IX135" s="100"/>
      <c r="IY135" s="100"/>
      <c r="IZ135" s="100"/>
      <c r="JA135" s="100"/>
      <c r="JB135" s="100"/>
      <c r="JC135" s="100"/>
      <c r="JD135" s="100"/>
      <c r="JE135" s="100"/>
      <c r="JF135" s="100"/>
      <c r="JG135" s="100"/>
      <c r="JH135" s="100"/>
      <c r="JI135" s="100"/>
      <c r="JJ135" s="100"/>
      <c r="JK135" s="100"/>
      <c r="JL135" s="100"/>
      <c r="JM135" s="100"/>
      <c r="JN135" s="100"/>
      <c r="JO135" s="100"/>
      <c r="JP135" s="100"/>
      <c r="JQ135" s="100"/>
      <c r="JR135" s="100"/>
      <c r="JS135" s="100"/>
      <c r="JT135" s="100"/>
      <c r="JU135" s="100"/>
      <c r="JV135" s="100"/>
      <c r="JW135" s="100"/>
      <c r="JX135" s="100"/>
      <c r="JY135" s="100"/>
      <c r="JZ135" s="100"/>
      <c r="KA135" s="100"/>
      <c r="KB135" s="100"/>
      <c r="KC135" s="100"/>
      <c r="KD135" s="100"/>
      <c r="KE135" s="100"/>
      <c r="KF135" s="100"/>
      <c r="KG135" s="100"/>
      <c r="KH135" s="100"/>
      <c r="KI135" s="100"/>
      <c r="KJ135" s="100"/>
      <c r="KK135" s="100"/>
      <c r="KL135" s="100"/>
      <c r="KM135" s="100"/>
      <c r="KN135" s="100"/>
      <c r="KO135" s="100"/>
      <c r="KP135" s="100"/>
      <c r="KQ135" s="100"/>
      <c r="KR135" s="100"/>
      <c r="KS135" s="100"/>
      <c r="KT135" s="100"/>
      <c r="KU135" s="100"/>
      <c r="KV135" s="100"/>
      <c r="KW135" s="100"/>
      <c r="KX135" s="100"/>
      <c r="KY135" s="100"/>
      <c r="KZ135" s="100"/>
      <c r="LA135" s="100"/>
      <c r="LB135" s="100"/>
      <c r="LC135" s="100"/>
      <c r="LD135" s="100"/>
      <c r="LE135" s="100"/>
      <c r="LF135" s="100"/>
      <c r="LG135" s="100"/>
      <c r="LH135" s="100"/>
      <c r="LI135" s="100"/>
      <c r="LJ135" s="100"/>
      <c r="LK135" s="100"/>
      <c r="LL135" s="100"/>
      <c r="LM135" s="100"/>
      <c r="LN135" s="100"/>
      <c r="LO135" s="100"/>
      <c r="LP135" s="100"/>
      <c r="LQ135" s="100"/>
      <c r="LR135" s="100"/>
      <c r="LS135" s="100"/>
      <c r="LT135" s="100"/>
      <c r="LU135" s="100"/>
      <c r="LV135" s="100"/>
      <c r="LW135" s="100"/>
      <c r="LX135" s="100"/>
      <c r="LY135" s="100"/>
      <c r="LZ135" s="100"/>
      <c r="MA135" s="100"/>
      <c r="MB135" s="100"/>
      <c r="MC135" s="100"/>
      <c r="MD135" s="100"/>
      <c r="ME135" s="100"/>
      <c r="MF135" s="100"/>
      <c r="MG135" s="100"/>
      <c r="MH135" s="100"/>
      <c r="MI135" s="100"/>
      <c r="MJ135" s="100"/>
      <c r="MK135" s="100"/>
      <c r="ML135" s="100"/>
      <c r="MM135" s="100"/>
      <c r="MN135" s="100"/>
      <c r="MO135" s="100"/>
      <c r="MP135" s="100"/>
      <c r="MQ135" s="100"/>
      <c r="MR135" s="100">
        <v>20</v>
      </c>
      <c r="MS135" s="100">
        <v>28</v>
      </c>
      <c r="MT135" s="100">
        <v>17</v>
      </c>
    </row>
    <row r="136" spans="1:358" x14ac:dyDescent="0.25">
      <c r="A136" s="99" t="s">
        <v>2287</v>
      </c>
      <c r="B136" s="100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>
        <v>3</v>
      </c>
      <c r="U136" s="100">
        <v>0</v>
      </c>
      <c r="V136" s="100">
        <v>2</v>
      </c>
      <c r="W136" s="100">
        <v>0</v>
      </c>
      <c r="X136" s="100">
        <v>1</v>
      </c>
      <c r="Y136" s="100">
        <v>1</v>
      </c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>
        <v>1</v>
      </c>
      <c r="AV136" s="100">
        <v>0</v>
      </c>
      <c r="AW136" s="100">
        <v>1</v>
      </c>
      <c r="AX136" s="100">
        <v>0</v>
      </c>
      <c r="AY136" s="100">
        <v>2</v>
      </c>
      <c r="AZ136" s="100">
        <v>0</v>
      </c>
      <c r="BA136" s="100"/>
      <c r="BB136" s="100"/>
      <c r="BC136" s="100"/>
      <c r="BD136" s="100"/>
      <c r="BE136" s="100"/>
      <c r="BF136" s="100"/>
      <c r="BG136" s="100"/>
      <c r="BH136" s="100"/>
      <c r="BI136" s="100"/>
      <c r="BJ136" s="100"/>
      <c r="BK136" s="100"/>
      <c r="BL136" s="100"/>
      <c r="BM136" s="100"/>
      <c r="BN136" s="100"/>
      <c r="BO136" s="100"/>
      <c r="BP136" s="100"/>
      <c r="BQ136" s="100"/>
      <c r="BR136" s="100"/>
      <c r="BS136" s="100"/>
      <c r="BT136" s="100"/>
      <c r="BU136" s="100"/>
      <c r="BV136" s="100"/>
      <c r="BW136" s="100"/>
      <c r="BX136" s="100"/>
      <c r="BY136" s="100"/>
      <c r="BZ136" s="100"/>
      <c r="CA136" s="100"/>
      <c r="CB136" s="100"/>
      <c r="CC136" s="100"/>
      <c r="CD136" s="100"/>
      <c r="CE136" s="100"/>
      <c r="CF136" s="100"/>
      <c r="CG136" s="100"/>
      <c r="CH136" s="100"/>
      <c r="CI136" s="100"/>
      <c r="CJ136" s="100"/>
      <c r="CK136" s="100"/>
      <c r="CL136" s="100"/>
      <c r="CM136" s="100"/>
      <c r="CN136" s="100"/>
      <c r="CO136" s="100"/>
      <c r="CP136" s="100"/>
      <c r="CQ136" s="100"/>
      <c r="CR136" s="100"/>
      <c r="CS136" s="100"/>
      <c r="CT136" s="100"/>
      <c r="CU136" s="100"/>
      <c r="CV136" s="100"/>
      <c r="CW136" s="100"/>
      <c r="CX136" s="100"/>
      <c r="CY136" s="100"/>
      <c r="CZ136" s="100"/>
      <c r="DA136" s="100"/>
      <c r="DB136" s="100"/>
      <c r="DC136" s="100"/>
      <c r="DD136" s="100"/>
      <c r="DE136" s="100"/>
      <c r="DF136" s="100"/>
      <c r="DG136" s="100"/>
      <c r="DH136" s="100"/>
      <c r="DI136" s="100"/>
      <c r="DJ136" s="100"/>
      <c r="DK136" s="100"/>
      <c r="DL136" s="100"/>
      <c r="DM136" s="100"/>
      <c r="DN136" s="100"/>
      <c r="DO136" s="100"/>
      <c r="DP136" s="100"/>
      <c r="DQ136" s="100"/>
      <c r="DR136" s="100"/>
      <c r="DS136" s="100"/>
      <c r="DT136" s="100"/>
      <c r="DU136" s="100">
        <v>0</v>
      </c>
      <c r="DV136" s="100">
        <v>4</v>
      </c>
      <c r="DW136" s="100">
        <v>4</v>
      </c>
      <c r="DX136" s="100"/>
      <c r="DY136" s="100"/>
      <c r="DZ136" s="100"/>
      <c r="EA136" s="100"/>
      <c r="EB136" s="100"/>
      <c r="EC136" s="100"/>
      <c r="ED136" s="100"/>
      <c r="EE136" s="100"/>
      <c r="EF136" s="100"/>
      <c r="EG136" s="100"/>
      <c r="EH136" s="100"/>
      <c r="EI136" s="100"/>
      <c r="EJ136" s="100"/>
      <c r="EK136" s="100"/>
      <c r="EL136" s="100"/>
      <c r="EM136" s="100"/>
      <c r="EN136" s="100"/>
      <c r="EO136" s="100"/>
      <c r="EP136" s="100"/>
      <c r="EQ136" s="100"/>
      <c r="ER136" s="100"/>
      <c r="ES136" s="100"/>
      <c r="ET136" s="100"/>
      <c r="EU136" s="100"/>
      <c r="EV136" s="100"/>
      <c r="EW136" s="100"/>
      <c r="EX136" s="100"/>
      <c r="EY136" s="100"/>
      <c r="EZ136" s="100"/>
      <c r="FA136" s="100"/>
      <c r="FB136" s="100"/>
      <c r="FC136" s="100"/>
      <c r="FD136" s="100"/>
      <c r="FE136" s="100"/>
      <c r="FF136" s="100"/>
      <c r="FG136" s="100"/>
      <c r="FH136" s="100"/>
      <c r="FI136" s="100"/>
      <c r="FJ136" s="100"/>
      <c r="FK136" s="100">
        <v>0</v>
      </c>
      <c r="FL136" s="100">
        <v>0</v>
      </c>
      <c r="FM136" s="100">
        <v>1</v>
      </c>
      <c r="FN136" s="100">
        <v>0</v>
      </c>
      <c r="FO136" s="100">
        <v>1</v>
      </c>
      <c r="FP136" s="100">
        <v>0</v>
      </c>
      <c r="FQ136" s="100"/>
      <c r="FR136" s="100"/>
      <c r="FS136" s="100"/>
      <c r="FT136" s="100"/>
      <c r="FU136" s="100"/>
      <c r="FV136" s="100"/>
      <c r="FW136" s="100"/>
      <c r="FX136" s="100"/>
      <c r="FY136" s="100"/>
      <c r="FZ136" s="100"/>
      <c r="GA136" s="100"/>
      <c r="GB136" s="100"/>
      <c r="GC136" s="100"/>
      <c r="GD136" s="100"/>
      <c r="GE136" s="100"/>
      <c r="GF136" s="100"/>
      <c r="GG136" s="100"/>
      <c r="GH136" s="100"/>
      <c r="GI136" s="100">
        <v>1</v>
      </c>
      <c r="GJ136" s="100">
        <v>1</v>
      </c>
      <c r="GK136" s="100">
        <v>0</v>
      </c>
      <c r="GL136" s="100"/>
      <c r="GM136" s="100"/>
      <c r="GN136" s="100"/>
      <c r="GO136" s="100"/>
      <c r="GP136" s="100"/>
      <c r="GQ136" s="100"/>
      <c r="GR136" s="100"/>
      <c r="GS136" s="100"/>
      <c r="GT136" s="100"/>
      <c r="GU136" s="100"/>
      <c r="GV136" s="100"/>
      <c r="GW136" s="100"/>
      <c r="GX136" s="100"/>
      <c r="GY136" s="100"/>
      <c r="GZ136" s="100"/>
      <c r="HA136" s="100"/>
      <c r="HB136" s="100"/>
      <c r="HC136" s="100"/>
      <c r="HD136" s="100"/>
      <c r="HE136" s="100"/>
      <c r="HF136" s="100"/>
      <c r="HG136" s="100"/>
      <c r="HH136" s="100"/>
      <c r="HI136" s="100"/>
      <c r="HJ136" s="100"/>
      <c r="HK136" s="100"/>
      <c r="HL136" s="100"/>
      <c r="HM136" s="100"/>
      <c r="HN136" s="100"/>
      <c r="HO136" s="100"/>
      <c r="HP136" s="100"/>
      <c r="HQ136" s="100"/>
      <c r="HR136" s="100"/>
      <c r="HS136" s="100"/>
      <c r="HT136" s="100"/>
      <c r="HU136" s="100"/>
      <c r="HV136" s="100"/>
      <c r="HW136" s="100"/>
      <c r="HX136" s="100"/>
      <c r="HY136" s="100"/>
      <c r="HZ136" s="100"/>
      <c r="IA136" s="100"/>
      <c r="IB136" s="100"/>
      <c r="IC136" s="100"/>
      <c r="ID136" s="100"/>
      <c r="IE136" s="100"/>
      <c r="IF136" s="100"/>
      <c r="IG136" s="100"/>
      <c r="IH136" s="100"/>
      <c r="II136" s="100"/>
      <c r="IJ136" s="100"/>
      <c r="IK136" s="100"/>
      <c r="IL136" s="100"/>
      <c r="IM136" s="100"/>
      <c r="IN136" s="100"/>
      <c r="IO136" s="100"/>
      <c r="IP136" s="100"/>
      <c r="IQ136" s="100"/>
      <c r="IR136" s="100"/>
      <c r="IS136" s="100"/>
      <c r="IT136" s="100"/>
      <c r="IU136" s="100"/>
      <c r="IV136" s="100"/>
      <c r="IW136" s="100"/>
      <c r="IX136" s="100"/>
      <c r="IY136" s="100"/>
      <c r="IZ136" s="100"/>
      <c r="JA136" s="100"/>
      <c r="JB136" s="100"/>
      <c r="JC136" s="100"/>
      <c r="JD136" s="100"/>
      <c r="JE136" s="100"/>
      <c r="JF136" s="100"/>
      <c r="JG136" s="100"/>
      <c r="JH136" s="100"/>
      <c r="JI136" s="100"/>
      <c r="JJ136" s="100"/>
      <c r="JK136" s="100"/>
      <c r="JL136" s="100"/>
      <c r="JM136" s="100"/>
      <c r="JN136" s="100"/>
      <c r="JO136" s="100"/>
      <c r="JP136" s="100"/>
      <c r="JQ136" s="100"/>
      <c r="JR136" s="100"/>
      <c r="JS136" s="100"/>
      <c r="JT136" s="100"/>
      <c r="JU136" s="100"/>
      <c r="JV136" s="100"/>
      <c r="JW136" s="100"/>
      <c r="JX136" s="100"/>
      <c r="JY136" s="100"/>
      <c r="JZ136" s="100"/>
      <c r="KA136" s="100"/>
      <c r="KB136" s="100"/>
      <c r="KC136" s="100"/>
      <c r="KD136" s="100"/>
      <c r="KE136" s="100"/>
      <c r="KF136" s="100"/>
      <c r="KG136" s="100"/>
      <c r="KH136" s="100"/>
      <c r="KI136" s="100"/>
      <c r="KJ136" s="100"/>
      <c r="KK136" s="100"/>
      <c r="KL136" s="100"/>
      <c r="KM136" s="100"/>
      <c r="KN136" s="100"/>
      <c r="KO136" s="100"/>
      <c r="KP136" s="100"/>
      <c r="KQ136" s="100"/>
      <c r="KR136" s="100"/>
      <c r="KS136" s="100"/>
      <c r="KT136" s="100"/>
      <c r="KU136" s="100"/>
      <c r="KV136" s="100"/>
      <c r="KW136" s="100"/>
      <c r="KX136" s="100"/>
      <c r="KY136" s="100"/>
      <c r="KZ136" s="100"/>
      <c r="LA136" s="100"/>
      <c r="LB136" s="100"/>
      <c r="LC136" s="100"/>
      <c r="LD136" s="100"/>
      <c r="LE136" s="100"/>
      <c r="LF136" s="100"/>
      <c r="LG136" s="100"/>
      <c r="LH136" s="100"/>
      <c r="LI136" s="100"/>
      <c r="LJ136" s="100"/>
      <c r="LK136" s="100"/>
      <c r="LL136" s="100"/>
      <c r="LM136" s="100"/>
      <c r="LN136" s="100"/>
      <c r="LO136" s="100"/>
      <c r="LP136" s="100"/>
      <c r="LQ136" s="100"/>
      <c r="LR136" s="100"/>
      <c r="LS136" s="100"/>
      <c r="LT136" s="100"/>
      <c r="LU136" s="100"/>
      <c r="LV136" s="100"/>
      <c r="LW136" s="100"/>
      <c r="LX136" s="100"/>
      <c r="LY136" s="100"/>
      <c r="LZ136" s="100"/>
      <c r="MA136" s="100"/>
      <c r="MB136" s="100"/>
      <c r="MC136" s="100"/>
      <c r="MD136" s="100"/>
      <c r="ME136" s="100"/>
      <c r="MF136" s="100"/>
      <c r="MG136" s="100"/>
      <c r="MH136" s="100"/>
      <c r="MI136" s="100"/>
      <c r="MJ136" s="100"/>
      <c r="MK136" s="100"/>
      <c r="ML136" s="100"/>
      <c r="MM136" s="100"/>
      <c r="MN136" s="100"/>
      <c r="MO136" s="100"/>
      <c r="MP136" s="100"/>
      <c r="MQ136" s="100"/>
      <c r="MR136" s="100">
        <v>5</v>
      </c>
      <c r="MS136" s="100">
        <v>9</v>
      </c>
      <c r="MT136" s="100">
        <v>9</v>
      </c>
    </row>
    <row r="137" spans="1:358" x14ac:dyDescent="0.25">
      <c r="A137" s="99" t="s">
        <v>2291</v>
      </c>
      <c r="B137" s="100">
        <v>0</v>
      </c>
      <c r="C137" s="100">
        <v>1</v>
      </c>
      <c r="D137" s="100">
        <v>0</v>
      </c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>
        <v>2</v>
      </c>
      <c r="U137" s="100">
        <v>3</v>
      </c>
      <c r="V137" s="100">
        <v>2</v>
      </c>
      <c r="W137" s="100">
        <v>1</v>
      </c>
      <c r="X137" s="100">
        <v>1</v>
      </c>
      <c r="Y137" s="100">
        <v>0</v>
      </c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>
        <v>1</v>
      </c>
      <c r="AV137" s="100">
        <v>3</v>
      </c>
      <c r="AW137" s="100">
        <v>1</v>
      </c>
      <c r="AX137" s="100"/>
      <c r="AY137" s="100"/>
      <c r="AZ137" s="100"/>
      <c r="BA137" s="100"/>
      <c r="BB137" s="100"/>
      <c r="BC137" s="100"/>
      <c r="BD137" s="100"/>
      <c r="BE137" s="100"/>
      <c r="BF137" s="100"/>
      <c r="BG137" s="100"/>
      <c r="BH137" s="100"/>
      <c r="BI137" s="100"/>
      <c r="BJ137" s="100"/>
      <c r="BK137" s="100"/>
      <c r="BL137" s="100"/>
      <c r="BM137" s="100"/>
      <c r="BN137" s="100"/>
      <c r="BO137" s="100"/>
      <c r="BP137" s="100"/>
      <c r="BQ137" s="100"/>
      <c r="BR137" s="100"/>
      <c r="BS137" s="100">
        <v>0</v>
      </c>
      <c r="BT137" s="100">
        <v>3</v>
      </c>
      <c r="BU137" s="100">
        <v>0</v>
      </c>
      <c r="BV137" s="100">
        <v>0</v>
      </c>
      <c r="BW137" s="100">
        <v>1</v>
      </c>
      <c r="BX137" s="100">
        <v>0</v>
      </c>
      <c r="BY137" s="100"/>
      <c r="BZ137" s="100"/>
      <c r="CA137" s="100"/>
      <c r="CB137" s="100"/>
      <c r="CC137" s="100"/>
      <c r="CD137" s="100"/>
      <c r="CE137" s="100"/>
      <c r="CF137" s="100"/>
      <c r="CG137" s="100"/>
      <c r="CH137" s="100"/>
      <c r="CI137" s="100"/>
      <c r="CJ137" s="100"/>
      <c r="CK137" s="100"/>
      <c r="CL137" s="100"/>
      <c r="CM137" s="100"/>
      <c r="CN137" s="100"/>
      <c r="CO137" s="100"/>
      <c r="CP137" s="100"/>
      <c r="CQ137" s="100">
        <v>0</v>
      </c>
      <c r="CR137" s="100">
        <v>1</v>
      </c>
      <c r="CS137" s="100">
        <v>0</v>
      </c>
      <c r="CT137" s="100"/>
      <c r="CU137" s="100"/>
      <c r="CV137" s="100"/>
      <c r="CW137" s="100"/>
      <c r="CX137" s="100"/>
      <c r="CY137" s="100"/>
      <c r="CZ137" s="100"/>
      <c r="DA137" s="100"/>
      <c r="DB137" s="100"/>
      <c r="DC137" s="100"/>
      <c r="DD137" s="100"/>
      <c r="DE137" s="100"/>
      <c r="DF137" s="100"/>
      <c r="DG137" s="100"/>
      <c r="DH137" s="100"/>
      <c r="DI137" s="100"/>
      <c r="DJ137" s="100"/>
      <c r="DK137" s="100"/>
      <c r="DL137" s="100"/>
      <c r="DM137" s="100"/>
      <c r="DN137" s="100"/>
      <c r="DO137" s="100"/>
      <c r="DP137" s="100"/>
      <c r="DQ137" s="100"/>
      <c r="DR137" s="100">
        <v>1</v>
      </c>
      <c r="DS137" s="100">
        <v>0</v>
      </c>
      <c r="DT137" s="100">
        <v>0</v>
      </c>
      <c r="DU137" s="100">
        <v>1</v>
      </c>
      <c r="DV137" s="100">
        <v>3</v>
      </c>
      <c r="DW137" s="100">
        <v>1</v>
      </c>
      <c r="DX137" s="100"/>
      <c r="DY137" s="100"/>
      <c r="DZ137" s="100"/>
      <c r="EA137" s="100"/>
      <c r="EB137" s="100"/>
      <c r="EC137" s="100"/>
      <c r="ED137" s="100">
        <v>0</v>
      </c>
      <c r="EE137" s="100">
        <v>1</v>
      </c>
      <c r="EF137" s="100">
        <v>0</v>
      </c>
      <c r="EG137" s="100"/>
      <c r="EH137" s="100"/>
      <c r="EI137" s="100"/>
      <c r="EJ137" s="100"/>
      <c r="EK137" s="100"/>
      <c r="EL137" s="100"/>
      <c r="EM137" s="100"/>
      <c r="EN137" s="100"/>
      <c r="EO137" s="100"/>
      <c r="EP137" s="100"/>
      <c r="EQ137" s="100"/>
      <c r="ER137" s="100"/>
      <c r="ES137" s="100"/>
      <c r="ET137" s="100"/>
      <c r="EU137" s="100"/>
      <c r="EV137" s="100"/>
      <c r="EW137" s="100"/>
      <c r="EX137" s="100"/>
      <c r="EY137" s="100"/>
      <c r="EZ137" s="100"/>
      <c r="FA137" s="100"/>
      <c r="FB137" s="100"/>
      <c r="FC137" s="100"/>
      <c r="FD137" s="100"/>
      <c r="FE137" s="100"/>
      <c r="FF137" s="100"/>
      <c r="FG137" s="100"/>
      <c r="FH137" s="100"/>
      <c r="FI137" s="100"/>
      <c r="FJ137" s="100"/>
      <c r="FK137" s="100"/>
      <c r="FL137" s="100"/>
      <c r="FM137" s="100"/>
      <c r="FN137" s="100"/>
      <c r="FO137" s="100"/>
      <c r="FP137" s="100"/>
      <c r="FQ137" s="100"/>
      <c r="FR137" s="100"/>
      <c r="FS137" s="100"/>
      <c r="FT137" s="100"/>
      <c r="FU137" s="100"/>
      <c r="FV137" s="100"/>
      <c r="FW137" s="100"/>
      <c r="FX137" s="100"/>
      <c r="FY137" s="100"/>
      <c r="FZ137" s="100"/>
      <c r="GA137" s="100"/>
      <c r="GB137" s="100"/>
      <c r="GC137" s="100"/>
      <c r="GD137" s="100"/>
      <c r="GE137" s="100"/>
      <c r="GF137" s="100"/>
      <c r="GG137" s="100"/>
      <c r="GH137" s="100"/>
      <c r="GI137" s="100">
        <v>0</v>
      </c>
      <c r="GJ137" s="100">
        <v>1</v>
      </c>
      <c r="GK137" s="100">
        <v>1</v>
      </c>
      <c r="GL137" s="100"/>
      <c r="GM137" s="100"/>
      <c r="GN137" s="100"/>
      <c r="GO137" s="100">
        <v>0</v>
      </c>
      <c r="GP137" s="100">
        <v>1</v>
      </c>
      <c r="GQ137" s="100">
        <v>0</v>
      </c>
      <c r="GR137" s="100"/>
      <c r="GS137" s="100"/>
      <c r="GT137" s="100"/>
      <c r="GU137" s="100"/>
      <c r="GV137" s="100"/>
      <c r="GW137" s="100"/>
      <c r="GX137" s="100"/>
      <c r="GY137" s="100"/>
      <c r="GZ137" s="100"/>
      <c r="HA137" s="100"/>
      <c r="HB137" s="100"/>
      <c r="HC137" s="100"/>
      <c r="HD137" s="100"/>
      <c r="HE137" s="100"/>
      <c r="HF137" s="100"/>
      <c r="HG137" s="100"/>
      <c r="HH137" s="100"/>
      <c r="HI137" s="100"/>
      <c r="HJ137" s="100"/>
      <c r="HK137" s="100"/>
      <c r="HL137" s="100"/>
      <c r="HM137" s="100"/>
      <c r="HN137" s="100"/>
      <c r="HO137" s="100"/>
      <c r="HP137" s="100"/>
      <c r="HQ137" s="100"/>
      <c r="HR137" s="100"/>
      <c r="HS137" s="100"/>
      <c r="HT137" s="100"/>
      <c r="HU137" s="100"/>
      <c r="HV137" s="100"/>
      <c r="HW137" s="100"/>
      <c r="HX137" s="100"/>
      <c r="HY137" s="100"/>
      <c r="HZ137" s="100"/>
      <c r="IA137" s="100"/>
      <c r="IB137" s="100"/>
      <c r="IC137" s="100"/>
      <c r="ID137" s="100"/>
      <c r="IE137" s="100"/>
      <c r="IF137" s="100"/>
      <c r="IG137" s="100"/>
      <c r="IH137" s="100"/>
      <c r="II137" s="100"/>
      <c r="IJ137" s="100"/>
      <c r="IK137" s="100">
        <v>0</v>
      </c>
      <c r="IL137" s="100">
        <v>2</v>
      </c>
      <c r="IM137" s="100">
        <v>0</v>
      </c>
      <c r="IN137" s="100"/>
      <c r="IO137" s="100"/>
      <c r="IP137" s="100"/>
      <c r="IQ137" s="100">
        <v>0</v>
      </c>
      <c r="IR137" s="100">
        <v>1</v>
      </c>
      <c r="IS137" s="100">
        <v>0</v>
      </c>
      <c r="IT137" s="100"/>
      <c r="IU137" s="100"/>
      <c r="IV137" s="100"/>
      <c r="IW137" s="100"/>
      <c r="IX137" s="100"/>
      <c r="IY137" s="100"/>
      <c r="IZ137" s="100"/>
      <c r="JA137" s="100"/>
      <c r="JB137" s="100"/>
      <c r="JC137" s="100"/>
      <c r="JD137" s="100"/>
      <c r="JE137" s="100"/>
      <c r="JF137" s="100"/>
      <c r="JG137" s="100"/>
      <c r="JH137" s="100"/>
      <c r="JI137" s="100"/>
      <c r="JJ137" s="100"/>
      <c r="JK137" s="100"/>
      <c r="JL137" s="100"/>
      <c r="JM137" s="100"/>
      <c r="JN137" s="100"/>
      <c r="JO137" s="100"/>
      <c r="JP137" s="100"/>
      <c r="JQ137" s="100"/>
      <c r="JR137" s="100"/>
      <c r="JS137" s="100"/>
      <c r="JT137" s="100"/>
      <c r="JU137" s="100"/>
      <c r="JV137" s="100"/>
      <c r="JW137" s="100"/>
      <c r="JX137" s="100"/>
      <c r="JY137" s="100"/>
      <c r="JZ137" s="100"/>
      <c r="KA137" s="100"/>
      <c r="KB137" s="100"/>
      <c r="KC137" s="100"/>
      <c r="KD137" s="100"/>
      <c r="KE137" s="100"/>
      <c r="KF137" s="100"/>
      <c r="KG137" s="100"/>
      <c r="KH137" s="100"/>
      <c r="KI137" s="100"/>
      <c r="KJ137" s="100"/>
      <c r="KK137" s="100"/>
      <c r="KL137" s="100"/>
      <c r="KM137" s="100"/>
      <c r="KN137" s="100"/>
      <c r="KO137" s="100"/>
      <c r="KP137" s="100"/>
      <c r="KQ137" s="100"/>
      <c r="KR137" s="100"/>
      <c r="KS137" s="100"/>
      <c r="KT137" s="100"/>
      <c r="KU137" s="100"/>
      <c r="KV137" s="100"/>
      <c r="KW137" s="100"/>
      <c r="KX137" s="100"/>
      <c r="KY137" s="100"/>
      <c r="KZ137" s="100"/>
      <c r="LA137" s="100"/>
      <c r="LB137" s="100"/>
      <c r="LC137" s="100"/>
      <c r="LD137" s="100"/>
      <c r="LE137" s="100"/>
      <c r="LF137" s="100"/>
      <c r="LG137" s="100"/>
      <c r="LH137" s="100"/>
      <c r="LI137" s="100"/>
      <c r="LJ137" s="100"/>
      <c r="LK137" s="100"/>
      <c r="LL137" s="100"/>
      <c r="LM137" s="100"/>
      <c r="LN137" s="100"/>
      <c r="LO137" s="100"/>
      <c r="LP137" s="100"/>
      <c r="LQ137" s="100"/>
      <c r="LR137" s="100"/>
      <c r="LS137" s="100"/>
      <c r="LT137" s="100"/>
      <c r="LU137" s="100"/>
      <c r="LV137" s="100"/>
      <c r="LW137" s="100"/>
      <c r="LX137" s="100"/>
      <c r="LY137" s="100"/>
      <c r="LZ137" s="100"/>
      <c r="MA137" s="100"/>
      <c r="MB137" s="100"/>
      <c r="MC137" s="100"/>
      <c r="MD137" s="100"/>
      <c r="ME137" s="100"/>
      <c r="MF137" s="100"/>
      <c r="MG137" s="100"/>
      <c r="MH137" s="100"/>
      <c r="MI137" s="100"/>
      <c r="MJ137" s="100"/>
      <c r="MK137" s="100"/>
      <c r="ML137" s="100"/>
      <c r="MM137" s="100"/>
      <c r="MN137" s="100"/>
      <c r="MO137" s="100"/>
      <c r="MP137" s="100"/>
      <c r="MQ137" s="100"/>
      <c r="MR137" s="100">
        <v>6</v>
      </c>
      <c r="MS137" s="100">
        <v>22</v>
      </c>
      <c r="MT137" s="100">
        <v>5</v>
      </c>
    </row>
    <row r="138" spans="1:358" x14ac:dyDescent="0.25">
      <c r="A138" s="3" t="s">
        <v>2292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>
        <v>0</v>
      </c>
      <c r="O138" s="4">
        <v>1</v>
      </c>
      <c r="P138" s="4">
        <v>0</v>
      </c>
      <c r="Q138" s="4"/>
      <c r="R138" s="4"/>
      <c r="S138" s="4"/>
      <c r="T138" s="4"/>
      <c r="U138" s="4"/>
      <c r="V138" s="4"/>
      <c r="W138" s="4">
        <v>0</v>
      </c>
      <c r="X138" s="4">
        <v>1</v>
      </c>
      <c r="Y138" s="4">
        <v>0</v>
      </c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>
        <v>1</v>
      </c>
      <c r="BW138" s="4">
        <v>0</v>
      </c>
      <c r="BX138" s="4">
        <v>0</v>
      </c>
      <c r="BY138" s="4">
        <v>0</v>
      </c>
      <c r="BZ138" s="4">
        <v>1</v>
      </c>
      <c r="CA138" s="4">
        <v>0</v>
      </c>
      <c r="CB138" s="4">
        <v>0</v>
      </c>
      <c r="CC138" s="4">
        <v>1</v>
      </c>
      <c r="CD138" s="4">
        <v>0</v>
      </c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>
        <v>0</v>
      </c>
      <c r="CR138" s="4">
        <v>1</v>
      </c>
      <c r="CS138" s="4">
        <v>0</v>
      </c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>
        <v>0</v>
      </c>
      <c r="DV138" s="4">
        <v>1</v>
      </c>
      <c r="DW138" s="4">
        <v>0</v>
      </c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>
        <v>0</v>
      </c>
      <c r="GJ138" s="4">
        <v>0</v>
      </c>
      <c r="GK138" s="4">
        <v>1</v>
      </c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>
        <v>0</v>
      </c>
      <c r="JS138" s="4">
        <v>1</v>
      </c>
      <c r="JT138" s="4">
        <v>0</v>
      </c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>
        <v>1</v>
      </c>
      <c r="MS138" s="4">
        <v>7</v>
      </c>
      <c r="MT138" s="4">
        <v>1</v>
      </c>
    </row>
    <row r="139" spans="1:358" x14ac:dyDescent="0.25">
      <c r="A139" s="99" t="s">
        <v>2293</v>
      </c>
      <c r="B139" s="100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>
        <v>0</v>
      </c>
      <c r="U139" s="100">
        <v>4</v>
      </c>
      <c r="V139" s="100">
        <v>1</v>
      </c>
      <c r="W139" s="100"/>
      <c r="X139" s="100"/>
      <c r="Y139" s="100"/>
      <c r="Z139" s="100"/>
      <c r="AA139" s="100"/>
      <c r="AB139" s="100"/>
      <c r="AC139" s="100"/>
      <c r="AD139" s="100"/>
      <c r="AE139" s="100"/>
      <c r="AF139" s="100"/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>
        <v>0</v>
      </c>
      <c r="AV139" s="100">
        <v>1</v>
      </c>
      <c r="AW139" s="100">
        <v>0</v>
      </c>
      <c r="AX139" s="100"/>
      <c r="AY139" s="100"/>
      <c r="AZ139" s="100"/>
      <c r="BA139" s="100"/>
      <c r="BB139" s="100"/>
      <c r="BC139" s="100"/>
      <c r="BD139" s="100">
        <v>1</v>
      </c>
      <c r="BE139" s="100">
        <v>0</v>
      </c>
      <c r="BF139" s="100">
        <v>1</v>
      </c>
      <c r="BG139" s="100"/>
      <c r="BH139" s="100"/>
      <c r="BI139" s="100"/>
      <c r="BJ139" s="100"/>
      <c r="BK139" s="100"/>
      <c r="BL139" s="100"/>
      <c r="BM139" s="100"/>
      <c r="BN139" s="100"/>
      <c r="BO139" s="100"/>
      <c r="BP139" s="100"/>
      <c r="BQ139" s="100"/>
      <c r="BR139" s="100"/>
      <c r="BS139" s="100">
        <v>0</v>
      </c>
      <c r="BT139" s="100">
        <v>1</v>
      </c>
      <c r="BU139" s="100">
        <v>0</v>
      </c>
      <c r="BV139" s="100"/>
      <c r="BW139" s="100"/>
      <c r="BX139" s="100"/>
      <c r="BY139" s="100"/>
      <c r="BZ139" s="100"/>
      <c r="CA139" s="100"/>
      <c r="CB139" s="100"/>
      <c r="CC139" s="100"/>
      <c r="CD139" s="100"/>
      <c r="CE139" s="100">
        <v>1</v>
      </c>
      <c r="CF139" s="100">
        <v>1</v>
      </c>
      <c r="CG139" s="100">
        <v>0</v>
      </c>
      <c r="CH139" s="100"/>
      <c r="CI139" s="100"/>
      <c r="CJ139" s="100"/>
      <c r="CK139" s="100"/>
      <c r="CL139" s="100"/>
      <c r="CM139" s="100"/>
      <c r="CN139" s="100"/>
      <c r="CO139" s="100"/>
      <c r="CP139" s="100"/>
      <c r="CQ139" s="100"/>
      <c r="CR139" s="100"/>
      <c r="CS139" s="100"/>
      <c r="CT139" s="100">
        <v>0</v>
      </c>
      <c r="CU139" s="100">
        <v>1</v>
      </c>
      <c r="CV139" s="100">
        <v>0</v>
      </c>
      <c r="CW139" s="100"/>
      <c r="CX139" s="100"/>
      <c r="CY139" s="100"/>
      <c r="CZ139" s="100"/>
      <c r="DA139" s="100"/>
      <c r="DB139" s="100"/>
      <c r="DC139" s="100"/>
      <c r="DD139" s="100"/>
      <c r="DE139" s="100"/>
      <c r="DF139" s="100"/>
      <c r="DG139" s="100"/>
      <c r="DH139" s="100"/>
      <c r="DI139" s="100"/>
      <c r="DJ139" s="100"/>
      <c r="DK139" s="100"/>
      <c r="DL139" s="100"/>
      <c r="DM139" s="100"/>
      <c r="DN139" s="100"/>
      <c r="DO139" s="100"/>
      <c r="DP139" s="100"/>
      <c r="DQ139" s="100"/>
      <c r="DR139" s="100"/>
      <c r="DS139" s="100"/>
      <c r="DT139" s="100"/>
      <c r="DU139" s="100">
        <v>3</v>
      </c>
      <c r="DV139" s="100">
        <v>3</v>
      </c>
      <c r="DW139" s="100">
        <v>1</v>
      </c>
      <c r="DX139" s="100"/>
      <c r="DY139" s="100"/>
      <c r="DZ139" s="100"/>
      <c r="EA139" s="100"/>
      <c r="EB139" s="100"/>
      <c r="EC139" s="100"/>
      <c r="ED139" s="100"/>
      <c r="EE139" s="100"/>
      <c r="EF139" s="100"/>
      <c r="EG139" s="100"/>
      <c r="EH139" s="100"/>
      <c r="EI139" s="100"/>
      <c r="EJ139" s="100"/>
      <c r="EK139" s="100"/>
      <c r="EL139" s="100"/>
      <c r="EM139" s="100">
        <v>0</v>
      </c>
      <c r="EN139" s="100">
        <v>1</v>
      </c>
      <c r="EO139" s="100">
        <v>0</v>
      </c>
      <c r="EP139" s="100"/>
      <c r="EQ139" s="100"/>
      <c r="ER139" s="100"/>
      <c r="ES139" s="100"/>
      <c r="ET139" s="100"/>
      <c r="EU139" s="100"/>
      <c r="EV139" s="100"/>
      <c r="EW139" s="100"/>
      <c r="EX139" s="100"/>
      <c r="EY139" s="100"/>
      <c r="EZ139" s="100"/>
      <c r="FA139" s="100"/>
      <c r="FB139" s="100"/>
      <c r="FC139" s="100"/>
      <c r="FD139" s="100"/>
      <c r="FE139" s="100"/>
      <c r="FF139" s="100"/>
      <c r="FG139" s="100"/>
      <c r="FH139" s="100"/>
      <c r="FI139" s="100"/>
      <c r="FJ139" s="100"/>
      <c r="FK139" s="100"/>
      <c r="FL139" s="100"/>
      <c r="FM139" s="100"/>
      <c r="FN139" s="100"/>
      <c r="FO139" s="100"/>
      <c r="FP139" s="100"/>
      <c r="FQ139" s="100"/>
      <c r="FR139" s="100"/>
      <c r="FS139" s="100"/>
      <c r="FT139" s="100"/>
      <c r="FU139" s="100"/>
      <c r="FV139" s="100"/>
      <c r="FW139" s="100"/>
      <c r="FX139" s="100"/>
      <c r="FY139" s="100"/>
      <c r="FZ139" s="100"/>
      <c r="GA139" s="100"/>
      <c r="GB139" s="100"/>
      <c r="GC139" s="100"/>
      <c r="GD139" s="100"/>
      <c r="GE139" s="100"/>
      <c r="GF139" s="100"/>
      <c r="GG139" s="100"/>
      <c r="GH139" s="100"/>
      <c r="GI139" s="100"/>
      <c r="GJ139" s="100"/>
      <c r="GK139" s="100"/>
      <c r="GL139" s="100"/>
      <c r="GM139" s="100"/>
      <c r="GN139" s="100"/>
      <c r="GO139" s="100"/>
      <c r="GP139" s="100"/>
      <c r="GQ139" s="100"/>
      <c r="GR139" s="100"/>
      <c r="GS139" s="100"/>
      <c r="GT139" s="100"/>
      <c r="GU139" s="100"/>
      <c r="GV139" s="100"/>
      <c r="GW139" s="100"/>
      <c r="GX139" s="100"/>
      <c r="GY139" s="100"/>
      <c r="GZ139" s="100"/>
      <c r="HA139" s="100">
        <v>0</v>
      </c>
      <c r="HB139" s="100">
        <v>1</v>
      </c>
      <c r="HC139" s="100">
        <v>0</v>
      </c>
      <c r="HD139" s="100"/>
      <c r="HE139" s="100"/>
      <c r="HF139" s="100"/>
      <c r="HG139" s="100"/>
      <c r="HH139" s="100"/>
      <c r="HI139" s="100"/>
      <c r="HJ139" s="100"/>
      <c r="HK139" s="100"/>
      <c r="HL139" s="100"/>
      <c r="HM139" s="100"/>
      <c r="HN139" s="100"/>
      <c r="HO139" s="100"/>
      <c r="HP139" s="100"/>
      <c r="HQ139" s="100"/>
      <c r="HR139" s="100"/>
      <c r="HS139" s="100"/>
      <c r="HT139" s="100"/>
      <c r="HU139" s="100"/>
      <c r="HV139" s="100"/>
      <c r="HW139" s="100"/>
      <c r="HX139" s="100"/>
      <c r="HY139" s="100"/>
      <c r="HZ139" s="100"/>
      <c r="IA139" s="100"/>
      <c r="IB139" s="100"/>
      <c r="IC139" s="100"/>
      <c r="ID139" s="100"/>
      <c r="IE139" s="100"/>
      <c r="IF139" s="100"/>
      <c r="IG139" s="100"/>
      <c r="IH139" s="100"/>
      <c r="II139" s="100"/>
      <c r="IJ139" s="100"/>
      <c r="IK139" s="100">
        <v>1</v>
      </c>
      <c r="IL139" s="100">
        <v>2</v>
      </c>
      <c r="IM139" s="100">
        <v>0</v>
      </c>
      <c r="IN139" s="100"/>
      <c r="IO139" s="100"/>
      <c r="IP139" s="100"/>
      <c r="IQ139" s="100">
        <v>0</v>
      </c>
      <c r="IR139" s="100">
        <v>1</v>
      </c>
      <c r="IS139" s="100">
        <v>0</v>
      </c>
      <c r="IT139" s="100"/>
      <c r="IU139" s="100"/>
      <c r="IV139" s="100"/>
      <c r="IW139" s="100"/>
      <c r="IX139" s="100"/>
      <c r="IY139" s="100"/>
      <c r="IZ139" s="100"/>
      <c r="JA139" s="100"/>
      <c r="JB139" s="100"/>
      <c r="JC139" s="100"/>
      <c r="JD139" s="100"/>
      <c r="JE139" s="100"/>
      <c r="JF139" s="100"/>
      <c r="JG139" s="100"/>
      <c r="JH139" s="100"/>
      <c r="JI139" s="100"/>
      <c r="JJ139" s="100"/>
      <c r="JK139" s="100"/>
      <c r="JL139" s="100"/>
      <c r="JM139" s="100"/>
      <c r="JN139" s="100"/>
      <c r="JO139" s="100">
        <v>0</v>
      </c>
      <c r="JP139" s="100">
        <v>1</v>
      </c>
      <c r="JQ139" s="100">
        <v>0</v>
      </c>
      <c r="JR139" s="100"/>
      <c r="JS139" s="100"/>
      <c r="JT139" s="100"/>
      <c r="JU139" s="100">
        <v>0</v>
      </c>
      <c r="JV139" s="100">
        <v>1</v>
      </c>
      <c r="JW139" s="100">
        <v>0</v>
      </c>
      <c r="JX139" s="100"/>
      <c r="JY139" s="100"/>
      <c r="JZ139" s="100"/>
      <c r="KA139" s="100"/>
      <c r="KB139" s="100"/>
      <c r="KC139" s="100"/>
      <c r="KD139" s="100"/>
      <c r="KE139" s="100"/>
      <c r="KF139" s="100"/>
      <c r="KG139" s="100"/>
      <c r="KH139" s="100"/>
      <c r="KI139" s="100"/>
      <c r="KJ139" s="100"/>
      <c r="KK139" s="100"/>
      <c r="KL139" s="100"/>
      <c r="KM139" s="100">
        <v>0</v>
      </c>
      <c r="KN139" s="100">
        <v>1</v>
      </c>
      <c r="KO139" s="100">
        <v>0</v>
      </c>
      <c r="KP139" s="100"/>
      <c r="KQ139" s="100"/>
      <c r="KR139" s="100"/>
      <c r="KS139" s="100"/>
      <c r="KT139" s="100"/>
      <c r="KU139" s="100"/>
      <c r="KV139" s="100"/>
      <c r="KW139" s="100"/>
      <c r="KX139" s="100"/>
      <c r="KY139" s="100"/>
      <c r="KZ139" s="100"/>
      <c r="LA139" s="100"/>
      <c r="LB139" s="100"/>
      <c r="LC139" s="100"/>
      <c r="LD139" s="100"/>
      <c r="LE139" s="100"/>
      <c r="LF139" s="100"/>
      <c r="LG139" s="100"/>
      <c r="LH139" s="100"/>
      <c r="LI139" s="100"/>
      <c r="LJ139" s="100"/>
      <c r="LK139" s="100"/>
      <c r="LL139" s="100"/>
      <c r="LM139" s="100"/>
      <c r="LN139" s="100"/>
      <c r="LO139" s="100"/>
      <c r="LP139" s="100"/>
      <c r="LQ139" s="100">
        <v>0</v>
      </c>
      <c r="LR139" s="100">
        <v>1</v>
      </c>
      <c r="LS139" s="100">
        <v>0</v>
      </c>
      <c r="LT139" s="100"/>
      <c r="LU139" s="100"/>
      <c r="LV139" s="100"/>
      <c r="LW139" s="100"/>
      <c r="LX139" s="100"/>
      <c r="LY139" s="100"/>
      <c r="LZ139" s="100"/>
      <c r="MA139" s="100"/>
      <c r="MB139" s="100"/>
      <c r="MC139" s="100"/>
      <c r="MD139" s="100"/>
      <c r="ME139" s="100"/>
      <c r="MF139" s="100"/>
      <c r="MG139" s="100"/>
      <c r="MH139" s="100"/>
      <c r="MI139" s="100"/>
      <c r="MJ139" s="100"/>
      <c r="MK139" s="100"/>
      <c r="ML139" s="100"/>
      <c r="MM139" s="100"/>
      <c r="MN139" s="100"/>
      <c r="MO139" s="100"/>
      <c r="MP139" s="100"/>
      <c r="MQ139" s="100"/>
      <c r="MR139" s="100">
        <v>6</v>
      </c>
      <c r="MS139" s="100">
        <v>20</v>
      </c>
      <c r="MT139" s="100">
        <v>3</v>
      </c>
    </row>
    <row r="140" spans="1:358" x14ac:dyDescent="0.25">
      <c r="A140" s="3" t="s">
        <v>2294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>
        <v>0</v>
      </c>
      <c r="U140" s="4">
        <v>1</v>
      </c>
      <c r="V140" s="4">
        <v>0</v>
      </c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>
        <v>0</v>
      </c>
      <c r="AV140" s="4">
        <v>6</v>
      </c>
      <c r="AW140" s="4">
        <v>2</v>
      </c>
      <c r="AX140" s="4">
        <v>0</v>
      </c>
      <c r="AY140" s="4">
        <v>1</v>
      </c>
      <c r="AZ140" s="4">
        <v>0</v>
      </c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>
        <v>0</v>
      </c>
      <c r="DV140" s="4">
        <v>0</v>
      </c>
      <c r="DW140" s="4">
        <v>1</v>
      </c>
      <c r="DX140" s="4"/>
      <c r="DY140" s="4"/>
      <c r="DZ140" s="4"/>
      <c r="EA140" s="4"/>
      <c r="EB140" s="4"/>
      <c r="EC140" s="4"/>
      <c r="ED140" s="4">
        <v>0</v>
      </c>
      <c r="EE140" s="4">
        <v>5</v>
      </c>
      <c r="EF140" s="4">
        <v>1</v>
      </c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>
        <v>0</v>
      </c>
      <c r="EW140" s="4">
        <v>1</v>
      </c>
      <c r="EX140" s="4">
        <v>0</v>
      </c>
      <c r="EY140" s="4">
        <v>1</v>
      </c>
      <c r="EZ140" s="4">
        <v>0</v>
      </c>
      <c r="FA140" s="4">
        <v>0</v>
      </c>
      <c r="FB140" s="4">
        <v>0</v>
      </c>
      <c r="FC140" s="4">
        <v>1</v>
      </c>
      <c r="FD140" s="4">
        <v>0</v>
      </c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>
        <v>0</v>
      </c>
      <c r="GJ140" s="4">
        <v>5</v>
      </c>
      <c r="GK140" s="4">
        <v>0</v>
      </c>
      <c r="GL140" s="4">
        <v>0</v>
      </c>
      <c r="GM140" s="4">
        <v>4</v>
      </c>
      <c r="GN140" s="4">
        <v>0</v>
      </c>
      <c r="GO140" s="4">
        <v>0</v>
      </c>
      <c r="GP140" s="4">
        <v>2</v>
      </c>
      <c r="GQ140" s="4">
        <v>2</v>
      </c>
      <c r="GR140" s="4">
        <v>0</v>
      </c>
      <c r="GS140" s="4">
        <v>3</v>
      </c>
      <c r="GT140" s="4">
        <v>0</v>
      </c>
      <c r="GU140" s="4"/>
      <c r="GV140" s="4"/>
      <c r="GW140" s="4"/>
      <c r="GX140" s="4"/>
      <c r="GY140" s="4"/>
      <c r="GZ140" s="4"/>
      <c r="HA140" s="4">
        <v>0</v>
      </c>
      <c r="HB140" s="4">
        <v>1</v>
      </c>
      <c r="HC140" s="4">
        <v>1</v>
      </c>
      <c r="HD140" s="4">
        <v>0</v>
      </c>
      <c r="HE140" s="4">
        <v>1</v>
      </c>
      <c r="HF140" s="4">
        <v>0</v>
      </c>
      <c r="HG140" s="4">
        <v>0</v>
      </c>
      <c r="HH140" s="4">
        <v>1</v>
      </c>
      <c r="HI140" s="4">
        <v>0</v>
      </c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>
        <v>0</v>
      </c>
      <c r="II140" s="4">
        <v>1</v>
      </c>
      <c r="IJ140" s="4">
        <v>0</v>
      </c>
      <c r="IK140" s="4">
        <v>0</v>
      </c>
      <c r="IL140" s="4">
        <v>1</v>
      </c>
      <c r="IM140" s="4">
        <v>0</v>
      </c>
      <c r="IN140" s="4"/>
      <c r="IO140" s="4"/>
      <c r="IP140" s="4"/>
      <c r="IQ140" s="4">
        <v>0</v>
      </c>
      <c r="IR140" s="4">
        <v>1</v>
      </c>
      <c r="IS140" s="4">
        <v>0</v>
      </c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>
        <v>0</v>
      </c>
      <c r="JY140" s="4">
        <v>1</v>
      </c>
      <c r="JZ140" s="4">
        <v>0</v>
      </c>
      <c r="KA140" s="4"/>
      <c r="KB140" s="4"/>
      <c r="KC140" s="4"/>
      <c r="KD140" s="4">
        <v>1</v>
      </c>
      <c r="KE140" s="4">
        <v>0</v>
      </c>
      <c r="KF140" s="4">
        <v>1</v>
      </c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>
        <v>0</v>
      </c>
      <c r="MG140" s="4">
        <v>1</v>
      </c>
      <c r="MH140" s="4">
        <v>0</v>
      </c>
      <c r="MI140" s="4"/>
      <c r="MJ140" s="4"/>
      <c r="MK140" s="4"/>
      <c r="ML140" s="4"/>
      <c r="MM140" s="4"/>
      <c r="MN140" s="4"/>
      <c r="MO140" s="4"/>
      <c r="MP140" s="4"/>
      <c r="MQ140" s="4"/>
      <c r="MR140" s="4">
        <v>2</v>
      </c>
      <c r="MS140" s="4">
        <v>37</v>
      </c>
      <c r="MT140" s="4">
        <v>8</v>
      </c>
    </row>
    <row r="141" spans="1:358" x14ac:dyDescent="0.25">
      <c r="A141" s="3" t="s">
        <v>2295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>
        <v>0</v>
      </c>
      <c r="U141" s="4">
        <v>1</v>
      </c>
      <c r="V141" s="4">
        <v>0</v>
      </c>
      <c r="W141" s="4">
        <v>0</v>
      </c>
      <c r="X141" s="4">
        <v>2</v>
      </c>
      <c r="Y141" s="4">
        <v>0</v>
      </c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>
        <v>0</v>
      </c>
      <c r="DV141" s="4">
        <v>1</v>
      </c>
      <c r="DW141" s="4">
        <v>0</v>
      </c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>
        <v>0</v>
      </c>
      <c r="MS141" s="4">
        <v>4</v>
      </c>
      <c r="MT141" s="4">
        <v>0</v>
      </c>
    </row>
    <row r="142" spans="1:358" x14ac:dyDescent="0.25">
      <c r="A142" s="3" t="s">
        <v>2296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>
        <v>0</v>
      </c>
      <c r="U142" s="4">
        <v>3</v>
      </c>
      <c r="V142" s="4">
        <v>1</v>
      </c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>
        <v>0</v>
      </c>
      <c r="BB142" s="4">
        <v>1</v>
      </c>
      <c r="BC142" s="4">
        <v>0</v>
      </c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>
        <v>0</v>
      </c>
      <c r="BW142" s="4">
        <v>1</v>
      </c>
      <c r="BX142" s="4">
        <v>0</v>
      </c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>
        <v>1</v>
      </c>
      <c r="DV142" s="4">
        <v>0</v>
      </c>
      <c r="DW142" s="4">
        <v>0</v>
      </c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>
        <v>0</v>
      </c>
      <c r="GJ142" s="4">
        <v>2</v>
      </c>
      <c r="GK142" s="4">
        <v>1</v>
      </c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>
        <v>0</v>
      </c>
      <c r="HQ142" s="4">
        <v>1</v>
      </c>
      <c r="HR142" s="4">
        <v>0</v>
      </c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>
        <v>1</v>
      </c>
      <c r="MS142" s="4">
        <v>8</v>
      </c>
      <c r="MT142" s="4">
        <v>2</v>
      </c>
    </row>
    <row r="143" spans="1:358" x14ac:dyDescent="0.25">
      <c r="A143" s="3" t="s">
        <v>2297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0</v>
      </c>
      <c r="U143" s="4">
        <v>3</v>
      </c>
      <c r="V143" s="4">
        <v>1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>
        <v>1</v>
      </c>
      <c r="AV143" s="4">
        <v>0</v>
      </c>
      <c r="AW143" s="4">
        <v>1</v>
      </c>
      <c r="AX143" s="4">
        <v>0</v>
      </c>
      <c r="AY143" s="4">
        <v>1</v>
      </c>
      <c r="AZ143" s="4">
        <v>0</v>
      </c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>
        <v>2</v>
      </c>
      <c r="DV143" s="4">
        <v>0</v>
      </c>
      <c r="DW143" s="4">
        <v>0</v>
      </c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>
        <v>0</v>
      </c>
      <c r="GJ143" s="4">
        <v>0</v>
      </c>
      <c r="GK143" s="4">
        <v>1</v>
      </c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>
        <v>0</v>
      </c>
      <c r="KB143" s="4">
        <v>1</v>
      </c>
      <c r="KC143" s="4">
        <v>0</v>
      </c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>
        <v>3</v>
      </c>
      <c r="MS143" s="4">
        <v>5</v>
      </c>
      <c r="MT143" s="4">
        <v>3</v>
      </c>
    </row>
    <row r="144" spans="1:358" x14ac:dyDescent="0.25">
      <c r="A144" s="99" t="s">
        <v>2298</v>
      </c>
      <c r="B144" s="100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>
        <v>0</v>
      </c>
      <c r="U144" s="100">
        <v>6</v>
      </c>
      <c r="V144" s="100">
        <v>0</v>
      </c>
      <c r="W144" s="100"/>
      <c r="X144" s="100"/>
      <c r="Y144" s="100"/>
      <c r="Z144" s="100"/>
      <c r="AA144" s="100"/>
      <c r="AB144" s="100"/>
      <c r="AC144" s="100"/>
      <c r="AD144" s="100"/>
      <c r="AE144" s="100"/>
      <c r="AF144" s="100"/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100"/>
      <c r="AY144" s="100"/>
      <c r="AZ144" s="100"/>
      <c r="BA144" s="100"/>
      <c r="BB144" s="100"/>
      <c r="BC144" s="100"/>
      <c r="BD144" s="100"/>
      <c r="BE144" s="100"/>
      <c r="BF144" s="100"/>
      <c r="BG144" s="100"/>
      <c r="BH144" s="100"/>
      <c r="BI144" s="100"/>
      <c r="BJ144" s="100"/>
      <c r="BK144" s="100"/>
      <c r="BL144" s="100"/>
      <c r="BM144" s="100"/>
      <c r="BN144" s="100"/>
      <c r="BO144" s="100"/>
      <c r="BP144" s="100"/>
      <c r="BQ144" s="100"/>
      <c r="BR144" s="100"/>
      <c r="BS144" s="100">
        <v>0</v>
      </c>
      <c r="BT144" s="100">
        <v>2</v>
      </c>
      <c r="BU144" s="100">
        <v>0</v>
      </c>
      <c r="BV144" s="100">
        <v>0</v>
      </c>
      <c r="BW144" s="100">
        <v>1</v>
      </c>
      <c r="BX144" s="100">
        <v>0</v>
      </c>
      <c r="BY144" s="100"/>
      <c r="BZ144" s="100"/>
      <c r="CA144" s="100"/>
      <c r="CB144" s="100"/>
      <c r="CC144" s="100"/>
      <c r="CD144" s="100"/>
      <c r="CE144" s="100"/>
      <c r="CF144" s="100"/>
      <c r="CG144" s="100"/>
      <c r="CH144" s="100"/>
      <c r="CI144" s="100"/>
      <c r="CJ144" s="100"/>
      <c r="CK144" s="100"/>
      <c r="CL144" s="100"/>
      <c r="CM144" s="100"/>
      <c r="CN144" s="100"/>
      <c r="CO144" s="100"/>
      <c r="CP144" s="100"/>
      <c r="CQ144" s="100"/>
      <c r="CR144" s="100"/>
      <c r="CS144" s="100"/>
      <c r="CT144" s="100"/>
      <c r="CU144" s="100"/>
      <c r="CV144" s="100"/>
      <c r="CW144" s="100"/>
      <c r="CX144" s="100"/>
      <c r="CY144" s="100"/>
      <c r="CZ144" s="100"/>
      <c r="DA144" s="100"/>
      <c r="DB144" s="100"/>
      <c r="DC144" s="100"/>
      <c r="DD144" s="100"/>
      <c r="DE144" s="100"/>
      <c r="DF144" s="100"/>
      <c r="DG144" s="100"/>
      <c r="DH144" s="100"/>
      <c r="DI144" s="100"/>
      <c r="DJ144" s="100"/>
      <c r="DK144" s="100"/>
      <c r="DL144" s="100"/>
      <c r="DM144" s="100"/>
      <c r="DN144" s="100"/>
      <c r="DO144" s="100"/>
      <c r="DP144" s="100"/>
      <c r="DQ144" s="100"/>
      <c r="DR144" s="100"/>
      <c r="DS144" s="100"/>
      <c r="DT144" s="100"/>
      <c r="DU144" s="100">
        <v>2</v>
      </c>
      <c r="DV144" s="100">
        <v>3</v>
      </c>
      <c r="DW144" s="100">
        <v>0</v>
      </c>
      <c r="DX144" s="100">
        <v>2</v>
      </c>
      <c r="DY144" s="100">
        <v>0</v>
      </c>
      <c r="DZ144" s="100">
        <v>0</v>
      </c>
      <c r="EA144" s="100"/>
      <c r="EB144" s="100"/>
      <c r="EC144" s="100"/>
      <c r="ED144" s="100"/>
      <c r="EE144" s="100"/>
      <c r="EF144" s="100"/>
      <c r="EG144" s="100"/>
      <c r="EH144" s="100"/>
      <c r="EI144" s="100"/>
      <c r="EJ144" s="100"/>
      <c r="EK144" s="100"/>
      <c r="EL144" s="100"/>
      <c r="EM144" s="100">
        <v>0</v>
      </c>
      <c r="EN144" s="100">
        <v>1</v>
      </c>
      <c r="EO144" s="100">
        <v>0</v>
      </c>
      <c r="EP144" s="100"/>
      <c r="EQ144" s="100"/>
      <c r="ER144" s="100"/>
      <c r="ES144" s="100"/>
      <c r="ET144" s="100"/>
      <c r="EU144" s="100"/>
      <c r="EV144" s="100"/>
      <c r="EW144" s="100"/>
      <c r="EX144" s="100"/>
      <c r="EY144" s="100"/>
      <c r="EZ144" s="100"/>
      <c r="FA144" s="100"/>
      <c r="FB144" s="100"/>
      <c r="FC144" s="100"/>
      <c r="FD144" s="100"/>
      <c r="FE144" s="100"/>
      <c r="FF144" s="100"/>
      <c r="FG144" s="100"/>
      <c r="FH144" s="100"/>
      <c r="FI144" s="100"/>
      <c r="FJ144" s="100"/>
      <c r="FK144" s="100"/>
      <c r="FL144" s="100"/>
      <c r="FM144" s="100"/>
      <c r="FN144" s="100"/>
      <c r="FO144" s="100"/>
      <c r="FP144" s="100"/>
      <c r="FQ144" s="100"/>
      <c r="FR144" s="100"/>
      <c r="FS144" s="100"/>
      <c r="FT144" s="100"/>
      <c r="FU144" s="100"/>
      <c r="FV144" s="100"/>
      <c r="FW144" s="100"/>
      <c r="FX144" s="100"/>
      <c r="FY144" s="100"/>
      <c r="FZ144" s="100"/>
      <c r="GA144" s="100"/>
      <c r="GB144" s="100"/>
      <c r="GC144" s="100"/>
      <c r="GD144" s="100"/>
      <c r="GE144" s="100"/>
      <c r="GF144" s="100"/>
      <c r="GG144" s="100"/>
      <c r="GH144" s="100"/>
      <c r="GI144" s="100"/>
      <c r="GJ144" s="100"/>
      <c r="GK144" s="100"/>
      <c r="GL144" s="100"/>
      <c r="GM144" s="100"/>
      <c r="GN144" s="100"/>
      <c r="GO144" s="100"/>
      <c r="GP144" s="100"/>
      <c r="GQ144" s="100"/>
      <c r="GR144" s="100"/>
      <c r="GS144" s="100"/>
      <c r="GT144" s="100"/>
      <c r="GU144" s="100"/>
      <c r="GV144" s="100"/>
      <c r="GW144" s="100"/>
      <c r="GX144" s="100"/>
      <c r="GY144" s="100"/>
      <c r="GZ144" s="100"/>
      <c r="HA144" s="100"/>
      <c r="HB144" s="100"/>
      <c r="HC144" s="100"/>
      <c r="HD144" s="100"/>
      <c r="HE144" s="100"/>
      <c r="HF144" s="100"/>
      <c r="HG144" s="100"/>
      <c r="HH144" s="100"/>
      <c r="HI144" s="100"/>
      <c r="HJ144" s="100"/>
      <c r="HK144" s="100"/>
      <c r="HL144" s="100"/>
      <c r="HM144" s="100"/>
      <c r="HN144" s="100"/>
      <c r="HO144" s="100"/>
      <c r="HP144" s="100"/>
      <c r="HQ144" s="100"/>
      <c r="HR144" s="100"/>
      <c r="HS144" s="100"/>
      <c r="HT144" s="100"/>
      <c r="HU144" s="100"/>
      <c r="HV144" s="100"/>
      <c r="HW144" s="100"/>
      <c r="HX144" s="100"/>
      <c r="HY144" s="100"/>
      <c r="HZ144" s="100"/>
      <c r="IA144" s="100"/>
      <c r="IB144" s="100"/>
      <c r="IC144" s="100"/>
      <c r="ID144" s="100"/>
      <c r="IE144" s="100"/>
      <c r="IF144" s="100"/>
      <c r="IG144" s="100"/>
      <c r="IH144" s="100"/>
      <c r="II144" s="100"/>
      <c r="IJ144" s="100"/>
      <c r="IK144" s="100">
        <v>0</v>
      </c>
      <c r="IL144" s="100">
        <v>1</v>
      </c>
      <c r="IM144" s="100">
        <v>0</v>
      </c>
      <c r="IN144" s="100"/>
      <c r="IO144" s="100"/>
      <c r="IP144" s="100"/>
      <c r="IQ144" s="100">
        <v>0</v>
      </c>
      <c r="IR144" s="100">
        <v>1</v>
      </c>
      <c r="IS144" s="100">
        <v>0</v>
      </c>
      <c r="IT144" s="100"/>
      <c r="IU144" s="100"/>
      <c r="IV144" s="100"/>
      <c r="IW144" s="100"/>
      <c r="IX144" s="100"/>
      <c r="IY144" s="100"/>
      <c r="IZ144" s="100"/>
      <c r="JA144" s="100"/>
      <c r="JB144" s="100"/>
      <c r="JC144" s="100"/>
      <c r="JD144" s="100"/>
      <c r="JE144" s="100"/>
      <c r="JF144" s="100"/>
      <c r="JG144" s="100"/>
      <c r="JH144" s="100"/>
      <c r="JI144" s="100"/>
      <c r="JJ144" s="100"/>
      <c r="JK144" s="100"/>
      <c r="JL144" s="100"/>
      <c r="JM144" s="100"/>
      <c r="JN144" s="100"/>
      <c r="JO144" s="100"/>
      <c r="JP144" s="100"/>
      <c r="JQ144" s="100"/>
      <c r="JR144" s="100"/>
      <c r="JS144" s="100"/>
      <c r="JT144" s="100"/>
      <c r="JU144" s="100"/>
      <c r="JV144" s="100"/>
      <c r="JW144" s="100"/>
      <c r="JX144" s="100"/>
      <c r="JY144" s="100"/>
      <c r="JZ144" s="100"/>
      <c r="KA144" s="100"/>
      <c r="KB144" s="100"/>
      <c r="KC144" s="100"/>
      <c r="KD144" s="100"/>
      <c r="KE144" s="100"/>
      <c r="KF144" s="100"/>
      <c r="KG144" s="100"/>
      <c r="KH144" s="100"/>
      <c r="KI144" s="100"/>
      <c r="KJ144" s="100"/>
      <c r="KK144" s="100"/>
      <c r="KL144" s="100"/>
      <c r="KM144" s="100"/>
      <c r="KN144" s="100"/>
      <c r="KO144" s="100"/>
      <c r="KP144" s="100"/>
      <c r="KQ144" s="100"/>
      <c r="KR144" s="100"/>
      <c r="KS144" s="100"/>
      <c r="KT144" s="100"/>
      <c r="KU144" s="100"/>
      <c r="KV144" s="100"/>
      <c r="KW144" s="100"/>
      <c r="KX144" s="100"/>
      <c r="KY144" s="100"/>
      <c r="KZ144" s="100"/>
      <c r="LA144" s="100"/>
      <c r="LB144" s="100"/>
      <c r="LC144" s="100"/>
      <c r="LD144" s="100"/>
      <c r="LE144" s="100"/>
      <c r="LF144" s="100"/>
      <c r="LG144" s="100"/>
      <c r="LH144" s="100"/>
      <c r="LI144" s="100"/>
      <c r="LJ144" s="100"/>
      <c r="LK144" s="100"/>
      <c r="LL144" s="100"/>
      <c r="LM144" s="100"/>
      <c r="LN144" s="100"/>
      <c r="LO144" s="100"/>
      <c r="LP144" s="100"/>
      <c r="LQ144" s="100"/>
      <c r="LR144" s="100"/>
      <c r="LS144" s="100"/>
      <c r="LT144" s="100"/>
      <c r="LU144" s="100"/>
      <c r="LV144" s="100"/>
      <c r="LW144" s="100"/>
      <c r="LX144" s="100"/>
      <c r="LY144" s="100"/>
      <c r="LZ144" s="100"/>
      <c r="MA144" s="100"/>
      <c r="MB144" s="100"/>
      <c r="MC144" s="100"/>
      <c r="MD144" s="100"/>
      <c r="ME144" s="100"/>
      <c r="MF144" s="100"/>
      <c r="MG144" s="100"/>
      <c r="MH144" s="100"/>
      <c r="MI144" s="100"/>
      <c r="MJ144" s="100"/>
      <c r="MK144" s="100"/>
      <c r="ML144" s="100"/>
      <c r="MM144" s="100"/>
      <c r="MN144" s="100"/>
      <c r="MO144" s="100"/>
      <c r="MP144" s="100"/>
      <c r="MQ144" s="100"/>
      <c r="MR144" s="100">
        <v>4</v>
      </c>
      <c r="MS144" s="100">
        <v>15</v>
      </c>
      <c r="MT144" s="100">
        <v>0</v>
      </c>
    </row>
    <row r="145" spans="1:358" x14ac:dyDescent="0.25">
      <c r="A145" s="3" t="s">
        <v>2133</v>
      </c>
      <c r="B145" s="4">
        <v>1</v>
      </c>
      <c r="C145" s="4">
        <v>3</v>
      </c>
      <c r="D145" s="4">
        <v>2</v>
      </c>
      <c r="E145" s="4">
        <v>0</v>
      </c>
      <c r="F145" s="4">
        <v>1</v>
      </c>
      <c r="G145" s="4">
        <v>0</v>
      </c>
      <c r="H145" s="4">
        <v>1</v>
      </c>
      <c r="I145" s="4">
        <v>0</v>
      </c>
      <c r="J145" s="4">
        <v>1</v>
      </c>
      <c r="K145" s="4">
        <v>0</v>
      </c>
      <c r="L145" s="4">
        <v>2</v>
      </c>
      <c r="M145" s="4">
        <v>1</v>
      </c>
      <c r="N145" s="4">
        <v>2</v>
      </c>
      <c r="O145" s="4">
        <v>6</v>
      </c>
      <c r="P145" s="4">
        <v>0</v>
      </c>
      <c r="Q145" s="4">
        <v>0</v>
      </c>
      <c r="R145" s="4">
        <v>1</v>
      </c>
      <c r="S145" s="4">
        <v>0</v>
      </c>
      <c r="T145" s="4">
        <v>31</v>
      </c>
      <c r="U145" s="4">
        <v>108</v>
      </c>
      <c r="V145" s="4">
        <v>39</v>
      </c>
      <c r="W145" s="4">
        <v>3</v>
      </c>
      <c r="X145" s="4">
        <v>30</v>
      </c>
      <c r="Y145" s="4">
        <v>9</v>
      </c>
      <c r="Z145" s="4">
        <v>0</v>
      </c>
      <c r="AA145" s="4">
        <v>2</v>
      </c>
      <c r="AB145" s="4">
        <v>0</v>
      </c>
      <c r="AC145" s="4">
        <v>0</v>
      </c>
      <c r="AD145" s="4">
        <v>1</v>
      </c>
      <c r="AE145" s="4">
        <v>0</v>
      </c>
      <c r="AF145" s="4">
        <v>0</v>
      </c>
      <c r="AG145" s="4">
        <v>1</v>
      </c>
      <c r="AH145" s="4">
        <v>0</v>
      </c>
      <c r="AI145" s="4">
        <v>0</v>
      </c>
      <c r="AJ145" s="4">
        <v>1</v>
      </c>
      <c r="AK145" s="4">
        <v>0</v>
      </c>
      <c r="AL145" s="4">
        <v>0</v>
      </c>
      <c r="AM145" s="4">
        <v>2</v>
      </c>
      <c r="AN145" s="4">
        <v>0</v>
      </c>
      <c r="AO145" s="4">
        <v>0</v>
      </c>
      <c r="AP145" s="4">
        <v>1</v>
      </c>
      <c r="AQ145" s="4">
        <v>0</v>
      </c>
      <c r="AR145" s="4">
        <v>0</v>
      </c>
      <c r="AS145" s="4">
        <v>1</v>
      </c>
      <c r="AT145" s="4">
        <v>0</v>
      </c>
      <c r="AU145" s="4">
        <v>14</v>
      </c>
      <c r="AV145" s="4">
        <v>25</v>
      </c>
      <c r="AW145" s="4">
        <v>6</v>
      </c>
      <c r="AX145" s="4">
        <v>4</v>
      </c>
      <c r="AY145" s="4">
        <v>22</v>
      </c>
      <c r="AZ145" s="4">
        <v>1</v>
      </c>
      <c r="BA145" s="4">
        <v>0</v>
      </c>
      <c r="BB145" s="4">
        <v>1</v>
      </c>
      <c r="BC145" s="4">
        <v>0</v>
      </c>
      <c r="BD145" s="4">
        <v>1</v>
      </c>
      <c r="BE145" s="4">
        <v>0</v>
      </c>
      <c r="BF145" s="4">
        <v>1</v>
      </c>
      <c r="BG145" s="4">
        <v>0</v>
      </c>
      <c r="BH145" s="4">
        <v>1</v>
      </c>
      <c r="BI145" s="4">
        <v>0</v>
      </c>
      <c r="BJ145" s="4">
        <v>0</v>
      </c>
      <c r="BK145" s="4">
        <v>1</v>
      </c>
      <c r="BL145" s="4">
        <v>0</v>
      </c>
      <c r="BM145" s="4">
        <v>0</v>
      </c>
      <c r="BN145" s="4">
        <v>1</v>
      </c>
      <c r="BO145" s="4">
        <v>0</v>
      </c>
      <c r="BP145" s="4">
        <v>0</v>
      </c>
      <c r="BQ145" s="4">
        <v>3</v>
      </c>
      <c r="BR145" s="4">
        <v>1</v>
      </c>
      <c r="BS145" s="4">
        <v>3</v>
      </c>
      <c r="BT145" s="4">
        <v>11</v>
      </c>
      <c r="BU145" s="4">
        <v>3</v>
      </c>
      <c r="BV145" s="4">
        <v>1</v>
      </c>
      <c r="BW145" s="4">
        <v>9</v>
      </c>
      <c r="BX145" s="4">
        <v>0</v>
      </c>
      <c r="BY145" s="4">
        <v>1</v>
      </c>
      <c r="BZ145" s="4">
        <v>2</v>
      </c>
      <c r="CA145" s="4">
        <v>0</v>
      </c>
      <c r="CB145" s="4">
        <v>0</v>
      </c>
      <c r="CC145" s="4">
        <v>3</v>
      </c>
      <c r="CD145" s="4">
        <v>0</v>
      </c>
      <c r="CE145" s="4">
        <v>1</v>
      </c>
      <c r="CF145" s="4">
        <v>2</v>
      </c>
      <c r="CG145" s="4">
        <v>1</v>
      </c>
      <c r="CH145" s="4">
        <v>1</v>
      </c>
      <c r="CI145" s="4">
        <v>0</v>
      </c>
      <c r="CJ145" s="4">
        <v>1</v>
      </c>
      <c r="CK145" s="4">
        <v>0</v>
      </c>
      <c r="CL145" s="4">
        <v>1</v>
      </c>
      <c r="CM145" s="4">
        <v>0</v>
      </c>
      <c r="CN145" s="4">
        <v>0</v>
      </c>
      <c r="CO145" s="4">
        <v>1</v>
      </c>
      <c r="CP145" s="4">
        <v>0</v>
      </c>
      <c r="CQ145" s="4">
        <v>2</v>
      </c>
      <c r="CR145" s="4">
        <v>2</v>
      </c>
      <c r="CS145" s="4">
        <v>0</v>
      </c>
      <c r="CT145" s="4">
        <v>1</v>
      </c>
      <c r="CU145" s="4">
        <v>4</v>
      </c>
      <c r="CV145" s="4">
        <v>0</v>
      </c>
      <c r="CW145" s="4">
        <v>0</v>
      </c>
      <c r="CX145" s="4">
        <v>1</v>
      </c>
      <c r="CY145" s="4">
        <v>0</v>
      </c>
      <c r="CZ145" s="4">
        <v>0</v>
      </c>
      <c r="DA145" s="4">
        <v>1</v>
      </c>
      <c r="DB145" s="4">
        <v>0</v>
      </c>
      <c r="DC145" s="4">
        <v>0</v>
      </c>
      <c r="DD145" s="4">
        <v>1</v>
      </c>
      <c r="DE145" s="4">
        <v>0</v>
      </c>
      <c r="DF145" s="4">
        <v>0</v>
      </c>
      <c r="DG145" s="4">
        <v>1</v>
      </c>
      <c r="DH145" s="4">
        <v>0</v>
      </c>
      <c r="DI145" s="4">
        <v>1</v>
      </c>
      <c r="DJ145" s="4">
        <v>4</v>
      </c>
      <c r="DK145" s="4">
        <v>3</v>
      </c>
      <c r="DL145" s="4">
        <v>0</v>
      </c>
      <c r="DM145" s="4">
        <v>1</v>
      </c>
      <c r="DN145" s="4">
        <v>0</v>
      </c>
      <c r="DO145" s="4">
        <v>1</v>
      </c>
      <c r="DP145" s="4">
        <v>5</v>
      </c>
      <c r="DQ145" s="4">
        <v>0</v>
      </c>
      <c r="DR145" s="4">
        <v>2</v>
      </c>
      <c r="DS145" s="4">
        <v>1</v>
      </c>
      <c r="DT145" s="4">
        <v>2</v>
      </c>
      <c r="DU145" s="4">
        <v>59</v>
      </c>
      <c r="DV145" s="4">
        <v>84</v>
      </c>
      <c r="DW145" s="4">
        <v>46</v>
      </c>
      <c r="DX145" s="4">
        <v>4</v>
      </c>
      <c r="DY145" s="4">
        <v>2</v>
      </c>
      <c r="DZ145" s="4">
        <v>1</v>
      </c>
      <c r="EA145" s="4">
        <v>0</v>
      </c>
      <c r="EB145" s="4">
        <v>1</v>
      </c>
      <c r="EC145" s="4">
        <v>0</v>
      </c>
      <c r="ED145" s="4">
        <v>0</v>
      </c>
      <c r="EE145" s="4">
        <v>15</v>
      </c>
      <c r="EF145" s="4">
        <v>4</v>
      </c>
      <c r="EG145" s="4">
        <v>1</v>
      </c>
      <c r="EH145" s="4">
        <v>0</v>
      </c>
      <c r="EI145" s="4">
        <v>1</v>
      </c>
      <c r="EJ145" s="4">
        <v>0</v>
      </c>
      <c r="EK145" s="4">
        <v>1</v>
      </c>
      <c r="EL145" s="4">
        <v>0</v>
      </c>
      <c r="EM145" s="4">
        <v>1</v>
      </c>
      <c r="EN145" s="4">
        <v>2</v>
      </c>
      <c r="EO145" s="4">
        <v>1</v>
      </c>
      <c r="EP145" s="4">
        <v>0</v>
      </c>
      <c r="EQ145" s="4">
        <v>1</v>
      </c>
      <c r="ER145" s="4">
        <v>0</v>
      </c>
      <c r="ES145" s="4">
        <v>0</v>
      </c>
      <c r="ET145" s="4">
        <v>1</v>
      </c>
      <c r="EU145" s="4">
        <v>0</v>
      </c>
      <c r="EV145" s="4">
        <v>0</v>
      </c>
      <c r="EW145" s="4">
        <v>1</v>
      </c>
      <c r="EX145" s="4">
        <v>0</v>
      </c>
      <c r="EY145" s="4">
        <v>1</v>
      </c>
      <c r="EZ145" s="4">
        <v>0</v>
      </c>
      <c r="FA145" s="4">
        <v>0</v>
      </c>
      <c r="FB145" s="4">
        <v>0</v>
      </c>
      <c r="FC145" s="4">
        <v>1</v>
      </c>
      <c r="FD145" s="4">
        <v>0</v>
      </c>
      <c r="FE145" s="4">
        <v>0</v>
      </c>
      <c r="FF145" s="4">
        <v>1</v>
      </c>
      <c r="FG145" s="4">
        <v>0</v>
      </c>
      <c r="FH145" s="4">
        <v>0</v>
      </c>
      <c r="FI145" s="4">
        <v>1</v>
      </c>
      <c r="FJ145" s="4">
        <v>0</v>
      </c>
      <c r="FK145" s="4">
        <v>0</v>
      </c>
      <c r="FL145" s="4">
        <v>3</v>
      </c>
      <c r="FM145" s="4">
        <v>1</v>
      </c>
      <c r="FN145" s="4">
        <v>0</v>
      </c>
      <c r="FO145" s="4">
        <v>1</v>
      </c>
      <c r="FP145" s="4">
        <v>0</v>
      </c>
      <c r="FQ145" s="4">
        <v>0</v>
      </c>
      <c r="FR145" s="4">
        <v>1</v>
      </c>
      <c r="FS145" s="4">
        <v>0</v>
      </c>
      <c r="FT145" s="4">
        <v>0</v>
      </c>
      <c r="FU145" s="4">
        <v>1</v>
      </c>
      <c r="FV145" s="4">
        <v>0</v>
      </c>
      <c r="FW145" s="4">
        <v>2</v>
      </c>
      <c r="FX145" s="4">
        <v>4</v>
      </c>
      <c r="FY145" s="4">
        <v>1</v>
      </c>
      <c r="FZ145" s="4">
        <v>0</v>
      </c>
      <c r="GA145" s="4">
        <v>3</v>
      </c>
      <c r="GB145" s="4">
        <v>0</v>
      </c>
      <c r="GC145" s="4">
        <v>1</v>
      </c>
      <c r="GD145" s="4">
        <v>0</v>
      </c>
      <c r="GE145" s="4">
        <v>1</v>
      </c>
      <c r="GF145" s="4">
        <v>0</v>
      </c>
      <c r="GG145" s="4">
        <v>1</v>
      </c>
      <c r="GH145" s="4">
        <v>0</v>
      </c>
      <c r="GI145" s="4">
        <v>10</v>
      </c>
      <c r="GJ145" s="4">
        <v>22</v>
      </c>
      <c r="GK145" s="4">
        <v>6</v>
      </c>
      <c r="GL145" s="4">
        <v>0</v>
      </c>
      <c r="GM145" s="4">
        <v>6</v>
      </c>
      <c r="GN145" s="4">
        <v>1</v>
      </c>
      <c r="GO145" s="4">
        <v>0</v>
      </c>
      <c r="GP145" s="4">
        <v>10</v>
      </c>
      <c r="GQ145" s="4">
        <v>3</v>
      </c>
      <c r="GR145" s="4">
        <v>0</v>
      </c>
      <c r="GS145" s="4">
        <v>3</v>
      </c>
      <c r="GT145" s="4">
        <v>0</v>
      </c>
      <c r="GU145" s="4">
        <v>0</v>
      </c>
      <c r="GV145" s="4">
        <v>1</v>
      </c>
      <c r="GW145" s="4">
        <v>0</v>
      </c>
      <c r="GX145" s="4">
        <v>0</v>
      </c>
      <c r="GY145" s="4">
        <v>1</v>
      </c>
      <c r="GZ145" s="4">
        <v>0</v>
      </c>
      <c r="HA145" s="4">
        <v>0</v>
      </c>
      <c r="HB145" s="4">
        <v>2</v>
      </c>
      <c r="HC145" s="4">
        <v>1</v>
      </c>
      <c r="HD145" s="4">
        <v>0</v>
      </c>
      <c r="HE145" s="4">
        <v>1</v>
      </c>
      <c r="HF145" s="4">
        <v>0</v>
      </c>
      <c r="HG145" s="4">
        <v>0</v>
      </c>
      <c r="HH145" s="4">
        <v>1</v>
      </c>
      <c r="HI145" s="4">
        <v>0</v>
      </c>
      <c r="HJ145" s="4">
        <v>0</v>
      </c>
      <c r="HK145" s="4">
        <v>1</v>
      </c>
      <c r="HL145" s="4">
        <v>0</v>
      </c>
      <c r="HM145" s="4">
        <v>0</v>
      </c>
      <c r="HN145" s="4">
        <v>1</v>
      </c>
      <c r="HO145" s="4">
        <v>0</v>
      </c>
      <c r="HP145" s="4">
        <v>0</v>
      </c>
      <c r="HQ145" s="4">
        <v>1</v>
      </c>
      <c r="HR145" s="4">
        <v>0</v>
      </c>
      <c r="HS145" s="4">
        <v>0</v>
      </c>
      <c r="HT145" s="4">
        <v>1</v>
      </c>
      <c r="HU145" s="4">
        <v>0</v>
      </c>
      <c r="HV145" s="4">
        <v>0</v>
      </c>
      <c r="HW145" s="4">
        <v>1</v>
      </c>
      <c r="HX145" s="4">
        <v>0</v>
      </c>
      <c r="HY145" s="4">
        <v>0</v>
      </c>
      <c r="HZ145" s="4">
        <v>1</v>
      </c>
      <c r="IA145" s="4">
        <v>0</v>
      </c>
      <c r="IB145" s="4">
        <v>0</v>
      </c>
      <c r="IC145" s="4">
        <v>1</v>
      </c>
      <c r="ID145" s="4">
        <v>0</v>
      </c>
      <c r="IE145" s="4">
        <v>1</v>
      </c>
      <c r="IF145" s="4">
        <v>0</v>
      </c>
      <c r="IG145" s="4">
        <v>1</v>
      </c>
      <c r="IH145" s="4">
        <v>0</v>
      </c>
      <c r="II145" s="4">
        <v>2</v>
      </c>
      <c r="IJ145" s="4">
        <v>0</v>
      </c>
      <c r="IK145" s="4">
        <v>4</v>
      </c>
      <c r="IL145" s="4">
        <v>14</v>
      </c>
      <c r="IM145" s="4">
        <v>3</v>
      </c>
      <c r="IN145" s="4">
        <v>0</v>
      </c>
      <c r="IO145" s="4">
        <v>1</v>
      </c>
      <c r="IP145" s="4">
        <v>0</v>
      </c>
      <c r="IQ145" s="4">
        <v>0</v>
      </c>
      <c r="IR145" s="4">
        <v>6</v>
      </c>
      <c r="IS145" s="4">
        <v>2</v>
      </c>
      <c r="IT145" s="4">
        <v>1</v>
      </c>
      <c r="IU145" s="4">
        <v>0</v>
      </c>
      <c r="IV145" s="4">
        <v>1</v>
      </c>
      <c r="IW145" s="4">
        <v>0</v>
      </c>
      <c r="IX145" s="4">
        <v>1</v>
      </c>
      <c r="IY145" s="4">
        <v>0</v>
      </c>
      <c r="IZ145" s="4">
        <v>0</v>
      </c>
      <c r="JA145" s="4">
        <v>1</v>
      </c>
      <c r="JB145" s="4">
        <v>0</v>
      </c>
      <c r="JC145" s="4">
        <v>0</v>
      </c>
      <c r="JD145" s="4">
        <v>1</v>
      </c>
      <c r="JE145" s="4">
        <v>0</v>
      </c>
      <c r="JF145" s="4">
        <v>0</v>
      </c>
      <c r="JG145" s="4">
        <v>1</v>
      </c>
      <c r="JH145" s="4">
        <v>0</v>
      </c>
      <c r="JI145" s="4">
        <v>1</v>
      </c>
      <c r="JJ145" s="4">
        <v>0</v>
      </c>
      <c r="JK145" s="4">
        <v>1</v>
      </c>
      <c r="JL145" s="4">
        <v>0</v>
      </c>
      <c r="JM145" s="4">
        <v>2</v>
      </c>
      <c r="JN145" s="4">
        <v>0</v>
      </c>
      <c r="JO145" s="4">
        <v>0</v>
      </c>
      <c r="JP145" s="4">
        <v>1</v>
      </c>
      <c r="JQ145" s="4">
        <v>0</v>
      </c>
      <c r="JR145" s="4">
        <v>0</v>
      </c>
      <c r="JS145" s="4">
        <v>1</v>
      </c>
      <c r="JT145" s="4">
        <v>0</v>
      </c>
      <c r="JU145" s="4">
        <v>0</v>
      </c>
      <c r="JV145" s="4">
        <v>1</v>
      </c>
      <c r="JW145" s="4">
        <v>0</v>
      </c>
      <c r="JX145" s="4">
        <v>0</v>
      </c>
      <c r="JY145" s="4">
        <v>1</v>
      </c>
      <c r="JZ145" s="4">
        <v>0</v>
      </c>
      <c r="KA145" s="4">
        <v>0</v>
      </c>
      <c r="KB145" s="4">
        <v>2</v>
      </c>
      <c r="KC145" s="4">
        <v>0</v>
      </c>
      <c r="KD145" s="4">
        <v>1</v>
      </c>
      <c r="KE145" s="4">
        <v>0</v>
      </c>
      <c r="KF145" s="4">
        <v>1</v>
      </c>
      <c r="KG145" s="4">
        <v>0</v>
      </c>
      <c r="KH145" s="4">
        <v>3</v>
      </c>
      <c r="KI145" s="4">
        <v>0</v>
      </c>
      <c r="KJ145" s="4">
        <v>0</v>
      </c>
      <c r="KK145" s="4">
        <v>1</v>
      </c>
      <c r="KL145" s="4">
        <v>0</v>
      </c>
      <c r="KM145" s="4">
        <v>0</v>
      </c>
      <c r="KN145" s="4">
        <v>1</v>
      </c>
      <c r="KO145" s="4">
        <v>0</v>
      </c>
      <c r="KP145" s="4">
        <v>0</v>
      </c>
      <c r="KQ145" s="4">
        <v>1</v>
      </c>
      <c r="KR145" s="4">
        <v>0</v>
      </c>
      <c r="KS145" s="4">
        <v>0</v>
      </c>
      <c r="KT145" s="4">
        <v>1</v>
      </c>
      <c r="KU145" s="4">
        <v>0</v>
      </c>
      <c r="KV145" s="4">
        <v>0</v>
      </c>
      <c r="KW145" s="4">
        <v>1</v>
      </c>
      <c r="KX145" s="4">
        <v>0</v>
      </c>
      <c r="KY145" s="4">
        <v>0</v>
      </c>
      <c r="KZ145" s="4">
        <v>1</v>
      </c>
      <c r="LA145" s="4">
        <v>0</v>
      </c>
      <c r="LB145" s="4">
        <v>0</v>
      </c>
      <c r="LC145" s="4">
        <v>1</v>
      </c>
      <c r="LD145" s="4">
        <v>0</v>
      </c>
      <c r="LE145" s="4">
        <v>0</v>
      </c>
      <c r="LF145" s="4">
        <v>1</v>
      </c>
      <c r="LG145" s="4">
        <v>0</v>
      </c>
      <c r="LH145" s="4">
        <v>0</v>
      </c>
      <c r="LI145" s="4">
        <v>1</v>
      </c>
      <c r="LJ145" s="4">
        <v>0</v>
      </c>
      <c r="LK145" s="4">
        <v>0</v>
      </c>
      <c r="LL145" s="4">
        <v>1</v>
      </c>
      <c r="LM145" s="4">
        <v>0</v>
      </c>
      <c r="LN145" s="4">
        <v>0</v>
      </c>
      <c r="LO145" s="4">
        <v>1</v>
      </c>
      <c r="LP145" s="4">
        <v>0</v>
      </c>
      <c r="LQ145" s="4">
        <v>0</v>
      </c>
      <c r="LR145" s="4">
        <v>3</v>
      </c>
      <c r="LS145" s="4">
        <v>0</v>
      </c>
      <c r="LT145" s="4">
        <v>0</v>
      </c>
      <c r="LU145" s="4">
        <v>1</v>
      </c>
      <c r="LV145" s="4">
        <v>0</v>
      </c>
      <c r="LW145" s="4">
        <v>0</v>
      </c>
      <c r="LX145" s="4">
        <v>2</v>
      </c>
      <c r="LY145" s="4">
        <v>0</v>
      </c>
      <c r="LZ145" s="4">
        <v>0</v>
      </c>
      <c r="MA145" s="4">
        <v>1</v>
      </c>
      <c r="MB145" s="4">
        <v>0</v>
      </c>
      <c r="MC145" s="4">
        <v>0</v>
      </c>
      <c r="MD145" s="4">
        <v>1</v>
      </c>
      <c r="ME145" s="4">
        <v>0</v>
      </c>
      <c r="MF145" s="4">
        <v>0</v>
      </c>
      <c r="MG145" s="4">
        <v>1</v>
      </c>
      <c r="MH145" s="4">
        <v>0</v>
      </c>
      <c r="MI145" s="4">
        <v>0</v>
      </c>
      <c r="MJ145" s="4">
        <v>1</v>
      </c>
      <c r="MK145" s="4">
        <v>0</v>
      </c>
      <c r="ML145" s="4">
        <v>0</v>
      </c>
      <c r="MM145" s="4">
        <v>1</v>
      </c>
      <c r="MN145" s="4">
        <v>0</v>
      </c>
      <c r="MO145" s="4"/>
      <c r="MP145" s="4"/>
      <c r="MQ145" s="4"/>
      <c r="MR145" s="4">
        <v>158</v>
      </c>
      <c r="MS145" s="4">
        <v>503</v>
      </c>
      <c r="MT145" s="4">
        <v>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D145"/>
  <sheetViews>
    <sheetView workbookViewId="0">
      <pane xSplit="1" ySplit="5" topLeftCell="B6" activePane="bottomRight" state="frozen"/>
      <selection activeCell="L1" sqref="L1:L1048576"/>
      <selection pane="topRight" activeCell="L1" sqref="L1:L1048576"/>
      <selection pane="bottomLeft" activeCell="L1" sqref="L1:L1048576"/>
      <selection pane="bottomRight" activeCell="L1" sqref="L1:L1048576"/>
    </sheetView>
  </sheetViews>
  <sheetFormatPr defaultRowHeight="15" x14ac:dyDescent="0.25"/>
  <cols>
    <col min="1" max="1" width="31" customWidth="1"/>
    <col min="2" max="2" width="22.140625" bestFit="1" customWidth="1"/>
    <col min="3" max="3" width="9.7109375" bestFit="1" customWidth="1"/>
    <col min="4" max="4" width="22" bestFit="1" customWidth="1"/>
    <col min="5" max="5" width="22.140625" bestFit="1" customWidth="1"/>
    <col min="6" max="6" width="9.7109375" bestFit="1" customWidth="1"/>
    <col min="7" max="7" width="22" bestFit="1" customWidth="1"/>
    <col min="8" max="8" width="22.140625" bestFit="1" customWidth="1"/>
    <col min="9" max="9" width="9.7109375" bestFit="1" customWidth="1"/>
    <col min="10" max="10" width="22" bestFit="1" customWidth="1"/>
    <col min="11" max="11" width="22.140625" bestFit="1" customWidth="1"/>
    <col min="12" max="12" width="9.7109375" style="143" bestFit="1" customWidth="1"/>
    <col min="13" max="13" width="22" bestFit="1" customWidth="1"/>
    <col min="14" max="14" width="22.140625" bestFit="1" customWidth="1"/>
    <col min="15" max="15" width="9.7109375" bestFit="1" customWidth="1"/>
    <col min="16" max="16" width="22" bestFit="1" customWidth="1"/>
    <col min="17" max="17" width="22.140625" customWidth="1"/>
    <col min="18" max="18" width="9.7109375" bestFit="1" customWidth="1"/>
    <col min="19" max="19" width="22" bestFit="1" customWidth="1"/>
    <col min="20" max="20" width="22.140625" bestFit="1" customWidth="1"/>
    <col min="21" max="21" width="9.7109375" bestFit="1" customWidth="1"/>
    <col min="22" max="22" width="22" bestFit="1" customWidth="1"/>
    <col min="23" max="23" width="24" style="101" bestFit="1" customWidth="1"/>
    <col min="24" max="24" width="9.7109375" bestFit="1" customWidth="1"/>
    <col min="25" max="25" width="22" bestFit="1" customWidth="1"/>
    <col min="26" max="26" width="22.140625" bestFit="1" customWidth="1"/>
    <col min="27" max="27" width="9.7109375" bestFit="1" customWidth="1"/>
    <col min="28" max="28" width="22" bestFit="1" customWidth="1"/>
    <col min="29" max="29" width="22.140625" customWidth="1"/>
    <col min="30" max="30" width="9.7109375" bestFit="1" customWidth="1"/>
    <col min="31" max="31" width="22" bestFit="1" customWidth="1"/>
    <col min="32" max="32" width="29.140625" bestFit="1" customWidth="1"/>
    <col min="33" max="33" width="9.7109375" bestFit="1" customWidth="1"/>
    <col min="34" max="34" width="22" bestFit="1" customWidth="1"/>
    <col min="35" max="35" width="22.140625" customWidth="1"/>
    <col min="36" max="36" width="9.7109375" bestFit="1" customWidth="1"/>
    <col min="37" max="37" width="22" bestFit="1" customWidth="1"/>
    <col min="38" max="38" width="22.140625" bestFit="1" customWidth="1"/>
    <col min="39" max="39" width="9.7109375" bestFit="1" customWidth="1"/>
    <col min="40" max="40" width="22" bestFit="1" customWidth="1"/>
    <col min="41" max="41" width="22.140625" customWidth="1"/>
    <col min="42" max="42" width="9.7109375" bestFit="1" customWidth="1"/>
    <col min="43" max="43" width="22" bestFit="1" customWidth="1"/>
    <col min="44" max="44" width="22.140625" bestFit="1" customWidth="1"/>
    <col min="45" max="45" width="9.7109375" bestFit="1" customWidth="1"/>
    <col min="46" max="46" width="22" bestFit="1" customWidth="1"/>
    <col min="47" max="47" width="22.140625" bestFit="1" customWidth="1"/>
    <col min="48" max="48" width="9.7109375" bestFit="1" customWidth="1"/>
    <col min="49" max="49" width="22" bestFit="1" customWidth="1"/>
    <col min="50" max="50" width="22.140625" bestFit="1" customWidth="1"/>
    <col min="51" max="51" width="9.7109375" bestFit="1" customWidth="1"/>
    <col min="52" max="52" width="22" bestFit="1" customWidth="1"/>
    <col min="53" max="53" width="22.140625" style="101" bestFit="1" customWidth="1"/>
    <col min="54" max="54" width="9.7109375" bestFit="1" customWidth="1"/>
    <col min="55" max="55" width="22" bestFit="1" customWidth="1"/>
    <col min="56" max="56" width="22.140625" bestFit="1" customWidth="1"/>
    <col min="57" max="57" width="9.7109375" bestFit="1" customWidth="1"/>
    <col min="58" max="58" width="22" bestFit="1" customWidth="1"/>
    <col min="59" max="59" width="22.140625" customWidth="1"/>
    <col min="60" max="60" width="9.7109375" bestFit="1" customWidth="1"/>
    <col min="61" max="61" width="22" bestFit="1" customWidth="1"/>
    <col min="62" max="62" width="22.140625" style="101" bestFit="1" customWidth="1"/>
    <col min="63" max="63" width="9.7109375" bestFit="1" customWidth="1"/>
    <col min="64" max="64" width="22" bestFit="1" customWidth="1"/>
    <col min="65" max="65" width="25.7109375" bestFit="1" customWidth="1"/>
    <col min="66" max="66" width="9.7109375" bestFit="1" customWidth="1"/>
    <col min="67" max="67" width="22" bestFit="1" customWidth="1"/>
    <col min="68" max="68" width="22.140625" customWidth="1"/>
    <col min="69" max="69" width="9.7109375" bestFit="1" customWidth="1"/>
    <col min="70" max="70" width="22" bestFit="1" customWidth="1"/>
    <col min="71" max="71" width="22.140625" bestFit="1" customWidth="1"/>
    <col min="72" max="72" width="9.7109375" bestFit="1" customWidth="1"/>
    <col min="73" max="73" width="22" bestFit="1" customWidth="1"/>
    <col min="74" max="74" width="27.140625" bestFit="1" customWidth="1"/>
    <col min="75" max="75" width="14.7109375" bestFit="1" customWidth="1"/>
    <col min="76" max="76" width="27" bestFit="1" customWidth="1"/>
    <col min="77" max="77" width="22.140625" bestFit="1" customWidth="1"/>
    <col min="78" max="78" width="9.7109375" bestFit="1" customWidth="1"/>
    <col min="79" max="79" width="22" bestFit="1" customWidth="1"/>
    <col min="80" max="80" width="22.140625" bestFit="1" customWidth="1"/>
    <col min="81" max="81" width="9.7109375" bestFit="1" customWidth="1"/>
    <col min="82" max="82" width="22" bestFit="1" customWidth="1"/>
    <col min="83" max="83" width="22.140625" bestFit="1" customWidth="1"/>
    <col min="84" max="84" width="9.7109375" bestFit="1" customWidth="1"/>
    <col min="85" max="85" width="22" bestFit="1" customWidth="1"/>
    <col min="86" max="86" width="24.7109375" bestFit="1" customWidth="1"/>
    <col min="87" max="87" width="9.7109375" bestFit="1" customWidth="1"/>
    <col min="88" max="88" width="22" bestFit="1" customWidth="1"/>
    <col min="89" max="89" width="24.42578125" bestFit="1" customWidth="1"/>
    <col min="90" max="90" width="9.7109375" style="10" bestFit="1" customWidth="1"/>
    <col min="91" max="91" width="22" bestFit="1" customWidth="1"/>
    <col min="92" max="92" width="22.140625" bestFit="1" customWidth="1"/>
    <col min="93" max="93" width="9.7109375" bestFit="1" customWidth="1"/>
    <col min="94" max="94" width="22" bestFit="1" customWidth="1"/>
    <col min="95" max="95" width="22.140625" bestFit="1" customWidth="1"/>
    <col min="96" max="96" width="9.7109375" bestFit="1" customWidth="1"/>
    <col min="97" max="97" width="22" bestFit="1" customWidth="1"/>
    <col min="98" max="98" width="22.140625" bestFit="1" customWidth="1"/>
    <col min="99" max="99" width="9.7109375" bestFit="1" customWidth="1"/>
    <col min="100" max="100" width="22" bestFit="1" customWidth="1"/>
    <col min="101" max="101" width="26" bestFit="1" customWidth="1"/>
    <col min="102" max="102" width="9.7109375" bestFit="1" customWidth="1"/>
    <col min="103" max="103" width="22" bestFit="1" customWidth="1"/>
    <col min="104" max="104" width="22.140625" bestFit="1" customWidth="1"/>
    <col min="105" max="105" width="9.7109375" bestFit="1" customWidth="1"/>
    <col min="106" max="106" width="22" bestFit="1" customWidth="1"/>
    <col min="107" max="107" width="22.140625" bestFit="1" customWidth="1"/>
    <col min="108" max="108" width="9.7109375" bestFit="1" customWidth="1"/>
    <col min="109" max="109" width="22" bestFit="1" customWidth="1"/>
    <col min="110" max="110" width="22.140625" bestFit="1" customWidth="1"/>
    <col min="111" max="111" width="9.7109375" bestFit="1" customWidth="1"/>
    <col min="112" max="112" width="22" bestFit="1" customWidth="1"/>
    <col min="113" max="113" width="22.140625" bestFit="1" customWidth="1"/>
    <col min="114" max="114" width="9.7109375" bestFit="1" customWidth="1"/>
    <col min="115" max="115" width="22" bestFit="1" customWidth="1"/>
    <col min="116" max="116" width="23.42578125" bestFit="1" customWidth="1"/>
    <col min="117" max="117" width="9.7109375" bestFit="1" customWidth="1"/>
    <col min="118" max="118" width="22" style="101" bestFit="1" customWidth="1"/>
    <col min="119" max="119" width="25.7109375" style="101" bestFit="1" customWidth="1"/>
    <col min="120" max="120" width="9.7109375" style="101" bestFit="1" customWidth="1"/>
    <col min="121" max="121" width="22" style="101" bestFit="1" customWidth="1"/>
    <col min="122" max="122" width="22.140625" style="101" bestFit="1" customWidth="1"/>
    <col min="123" max="123" width="9.7109375" style="101" bestFit="1" customWidth="1"/>
    <col min="124" max="124" width="22" bestFit="1" customWidth="1"/>
    <col min="125" max="125" width="22.140625" style="101" bestFit="1" customWidth="1"/>
    <col min="126" max="126" width="9.7109375" bestFit="1" customWidth="1"/>
    <col min="127" max="127" width="22" bestFit="1" customWidth="1"/>
    <col min="128" max="128" width="22.140625" bestFit="1" customWidth="1"/>
    <col min="129" max="129" width="9.7109375" bestFit="1" customWidth="1"/>
    <col min="130" max="130" width="22" style="101" bestFit="1" customWidth="1"/>
    <col min="131" max="131" width="26.28515625" style="101" bestFit="1" customWidth="1"/>
    <col min="132" max="132" width="9.7109375" style="101" bestFit="1" customWidth="1"/>
    <col min="133" max="133" width="22" bestFit="1" customWidth="1"/>
    <col min="134" max="134" width="22.140625" style="101" bestFit="1" customWidth="1"/>
    <col min="135" max="135" width="9.7109375" bestFit="1" customWidth="1"/>
    <col min="136" max="136" width="22" bestFit="1" customWidth="1"/>
    <col min="137" max="137" width="22.140625" bestFit="1" customWidth="1"/>
    <col min="138" max="138" width="9.7109375" bestFit="1" customWidth="1"/>
    <col min="139" max="139" width="22" style="101" bestFit="1" customWidth="1"/>
    <col min="140" max="140" width="22.140625" bestFit="1" customWidth="1"/>
    <col min="141" max="141" width="9.7109375" bestFit="1" customWidth="1"/>
    <col min="142" max="142" width="22" bestFit="1" customWidth="1"/>
    <col min="143" max="143" width="22.140625" bestFit="1" customWidth="1"/>
    <col min="144" max="144" width="9.7109375" bestFit="1" customWidth="1"/>
    <col min="145" max="145" width="22" bestFit="1" customWidth="1"/>
    <col min="146" max="146" width="22.140625" bestFit="1" customWidth="1"/>
    <col min="147" max="147" width="9.7109375" bestFit="1" customWidth="1"/>
    <col min="148" max="148" width="22" bestFit="1" customWidth="1"/>
    <col min="149" max="149" width="22.140625" bestFit="1" customWidth="1"/>
    <col min="150" max="150" width="9.7109375" bestFit="1" customWidth="1"/>
    <col min="151" max="151" width="22" bestFit="1" customWidth="1"/>
    <col min="152" max="152" width="22.140625" bestFit="1" customWidth="1"/>
    <col min="153" max="153" width="9.7109375" bestFit="1" customWidth="1"/>
    <col min="154" max="154" width="22" bestFit="1" customWidth="1"/>
    <col min="155" max="155" width="22.140625" bestFit="1" customWidth="1"/>
    <col min="156" max="156" width="9.7109375" bestFit="1" customWidth="1"/>
    <col min="157" max="157" width="22" bestFit="1" customWidth="1"/>
    <col min="158" max="158" width="22.140625" bestFit="1" customWidth="1"/>
    <col min="159" max="159" width="9.7109375" bestFit="1" customWidth="1"/>
    <col min="160" max="160" width="22" bestFit="1" customWidth="1"/>
    <col min="161" max="161" width="22.140625" bestFit="1" customWidth="1"/>
    <col min="162" max="162" width="9.7109375" bestFit="1" customWidth="1"/>
    <col min="163" max="163" width="22" bestFit="1" customWidth="1"/>
    <col min="164" max="164" width="22.140625" bestFit="1" customWidth="1"/>
    <col min="165" max="165" width="9.7109375" bestFit="1" customWidth="1"/>
    <col min="166" max="166" width="22" bestFit="1" customWidth="1"/>
    <col min="167" max="167" width="22.140625" bestFit="1" customWidth="1"/>
    <col min="168" max="168" width="9.7109375" bestFit="1" customWidth="1"/>
    <col min="169" max="169" width="22" bestFit="1" customWidth="1"/>
    <col min="170" max="170" width="22.140625" bestFit="1" customWidth="1"/>
    <col min="171" max="171" width="9.7109375" bestFit="1" customWidth="1"/>
    <col min="172" max="172" width="22" bestFit="1" customWidth="1"/>
    <col min="173" max="173" width="22.140625" bestFit="1" customWidth="1"/>
    <col min="174" max="174" width="9.7109375" bestFit="1" customWidth="1"/>
    <col min="175" max="175" width="22" bestFit="1" customWidth="1"/>
    <col min="176" max="176" width="22.140625" bestFit="1" customWidth="1"/>
    <col min="177" max="177" width="9.7109375" bestFit="1" customWidth="1"/>
    <col min="178" max="178" width="22" bestFit="1" customWidth="1"/>
    <col min="179" max="179" width="25.7109375" bestFit="1" customWidth="1"/>
    <col min="180" max="180" width="9.7109375" bestFit="1" customWidth="1"/>
    <col min="181" max="181" width="22" bestFit="1" customWidth="1"/>
    <col min="182" max="182" width="22.140625" bestFit="1" customWidth="1"/>
    <col min="183" max="183" width="9.7109375" bestFit="1" customWidth="1"/>
    <col min="184" max="184" width="22" bestFit="1" customWidth="1"/>
    <col min="185" max="185" width="22.140625" bestFit="1" customWidth="1"/>
    <col min="186" max="186" width="9.7109375" bestFit="1" customWidth="1"/>
    <col min="187" max="187" width="22" bestFit="1" customWidth="1"/>
    <col min="188" max="188" width="22.140625" bestFit="1" customWidth="1"/>
    <col min="189" max="189" width="9.7109375" bestFit="1" customWidth="1"/>
    <col min="190" max="190" width="22" bestFit="1" customWidth="1"/>
    <col min="191" max="191" width="22.140625" bestFit="1" customWidth="1"/>
    <col min="192" max="192" width="9.7109375" bestFit="1" customWidth="1"/>
    <col min="193" max="193" width="22" bestFit="1" customWidth="1"/>
    <col min="194" max="194" width="22.140625" bestFit="1" customWidth="1"/>
    <col min="195" max="195" width="9.7109375" bestFit="1" customWidth="1"/>
    <col min="196" max="196" width="22" bestFit="1" customWidth="1"/>
    <col min="197" max="197" width="22.140625" bestFit="1" customWidth="1"/>
    <col min="198" max="198" width="9.7109375" bestFit="1" customWidth="1"/>
    <col min="199" max="199" width="22" bestFit="1" customWidth="1"/>
    <col min="200" max="200" width="22.140625" bestFit="1" customWidth="1"/>
    <col min="201" max="201" width="9.7109375" bestFit="1" customWidth="1"/>
    <col min="202" max="202" width="22" bestFit="1" customWidth="1"/>
    <col min="203" max="203" width="22.140625" bestFit="1" customWidth="1"/>
    <col min="204" max="204" width="9.7109375" bestFit="1" customWidth="1"/>
    <col min="205" max="205" width="22" bestFit="1" customWidth="1"/>
    <col min="206" max="206" width="24.5703125" bestFit="1" customWidth="1"/>
    <col min="207" max="207" width="9.7109375" bestFit="1" customWidth="1"/>
    <col min="208" max="208" width="22" bestFit="1" customWidth="1"/>
    <col min="209" max="209" width="22.140625" bestFit="1" customWidth="1"/>
    <col min="210" max="210" width="9.7109375" bestFit="1" customWidth="1"/>
    <col min="211" max="211" width="22" bestFit="1" customWidth="1"/>
    <col min="212" max="212" width="22.140625" bestFit="1" customWidth="1"/>
    <col min="213" max="213" width="9.7109375" bestFit="1" customWidth="1"/>
    <col min="214" max="214" width="22" bestFit="1" customWidth="1"/>
    <col min="215" max="215" width="25" bestFit="1" customWidth="1"/>
    <col min="216" max="216" width="9.7109375" bestFit="1" customWidth="1"/>
    <col min="217" max="217" width="22" bestFit="1" customWidth="1"/>
    <col min="218" max="218" width="22.140625" bestFit="1" customWidth="1"/>
    <col min="219" max="219" width="9.7109375" bestFit="1" customWidth="1"/>
    <col min="220" max="220" width="22" bestFit="1" customWidth="1"/>
    <col min="221" max="221" width="22.140625" bestFit="1" customWidth="1"/>
    <col min="222" max="222" width="9.7109375" bestFit="1" customWidth="1"/>
    <col min="223" max="223" width="22" bestFit="1" customWidth="1"/>
    <col min="224" max="224" width="22.140625" bestFit="1" customWidth="1"/>
    <col min="225" max="225" width="9.7109375" bestFit="1" customWidth="1"/>
    <col min="226" max="226" width="22" bestFit="1" customWidth="1"/>
    <col min="227" max="227" width="22.140625" bestFit="1" customWidth="1"/>
    <col min="228" max="228" width="9.7109375" bestFit="1" customWidth="1"/>
    <col min="229" max="229" width="22" bestFit="1" customWidth="1"/>
    <col min="230" max="230" width="22.140625" bestFit="1" customWidth="1"/>
    <col min="231" max="231" width="9.7109375" bestFit="1" customWidth="1"/>
    <col min="232" max="232" width="22" bestFit="1" customWidth="1"/>
    <col min="233" max="233" width="22.140625" bestFit="1" customWidth="1"/>
    <col min="234" max="234" width="9.7109375" bestFit="1" customWidth="1"/>
    <col min="235" max="235" width="22" bestFit="1" customWidth="1"/>
    <col min="236" max="236" width="22.140625" bestFit="1" customWidth="1"/>
    <col min="237" max="237" width="9.7109375" bestFit="1" customWidth="1"/>
    <col min="238" max="238" width="22" bestFit="1" customWidth="1"/>
    <col min="239" max="239" width="22.140625" bestFit="1" customWidth="1"/>
    <col min="240" max="240" width="9.7109375" bestFit="1" customWidth="1"/>
    <col min="241" max="241" width="22" bestFit="1" customWidth="1"/>
    <col min="242" max="242" width="22.140625" bestFit="1" customWidth="1"/>
    <col min="243" max="243" width="9.7109375" bestFit="1" customWidth="1"/>
    <col min="244" max="244" width="22" bestFit="1" customWidth="1"/>
    <col min="245" max="245" width="22.140625" bestFit="1" customWidth="1"/>
    <col min="246" max="246" width="9.7109375" bestFit="1" customWidth="1"/>
    <col min="247" max="247" width="22" bestFit="1" customWidth="1"/>
    <col min="248" max="248" width="22.140625" bestFit="1" customWidth="1"/>
    <col min="249" max="249" width="9.7109375" bestFit="1" customWidth="1"/>
    <col min="250" max="250" width="22" bestFit="1" customWidth="1"/>
    <col min="251" max="251" width="22.140625" bestFit="1" customWidth="1"/>
    <col min="252" max="252" width="9.7109375" bestFit="1" customWidth="1"/>
    <col min="253" max="253" width="22" bestFit="1" customWidth="1"/>
    <col min="254" max="254" width="22.140625" bestFit="1" customWidth="1"/>
    <col min="255" max="255" width="9.7109375" bestFit="1" customWidth="1"/>
    <col min="256" max="256" width="22" bestFit="1" customWidth="1"/>
    <col min="257" max="257" width="25" bestFit="1" customWidth="1"/>
    <col min="258" max="258" width="9.7109375" bestFit="1" customWidth="1"/>
    <col min="259" max="259" width="22" bestFit="1" customWidth="1"/>
    <col min="260" max="260" width="26.140625" bestFit="1" customWidth="1"/>
    <col min="261" max="261" width="9.7109375" bestFit="1" customWidth="1"/>
    <col min="262" max="262" width="22" bestFit="1" customWidth="1"/>
    <col min="263" max="263" width="31.42578125" bestFit="1" customWidth="1"/>
    <col min="264" max="264" width="9.7109375" bestFit="1" customWidth="1"/>
    <col min="265" max="265" width="22" bestFit="1" customWidth="1"/>
    <col min="266" max="266" width="22.140625" bestFit="1" customWidth="1"/>
    <col min="267" max="267" width="9.7109375" bestFit="1" customWidth="1"/>
    <col min="268" max="268" width="22" bestFit="1" customWidth="1"/>
    <col min="269" max="269" width="22.140625" bestFit="1" customWidth="1"/>
    <col min="270" max="270" width="9.7109375" bestFit="1" customWidth="1"/>
    <col min="271" max="271" width="22" bestFit="1" customWidth="1"/>
    <col min="272" max="272" width="22.140625" bestFit="1" customWidth="1"/>
    <col min="273" max="273" width="9.7109375" bestFit="1" customWidth="1"/>
    <col min="274" max="274" width="22" bestFit="1" customWidth="1"/>
    <col min="275" max="275" width="22.140625" bestFit="1" customWidth="1"/>
    <col min="276" max="276" width="9.7109375" bestFit="1" customWidth="1"/>
    <col min="277" max="277" width="22" bestFit="1" customWidth="1"/>
    <col min="278" max="278" width="22.140625" bestFit="1" customWidth="1"/>
    <col min="279" max="279" width="9.7109375" bestFit="1" customWidth="1"/>
    <col min="280" max="280" width="22" bestFit="1" customWidth="1"/>
    <col min="281" max="281" width="22.140625" bestFit="1" customWidth="1"/>
    <col min="282" max="282" width="9.7109375" bestFit="1" customWidth="1"/>
    <col min="283" max="283" width="22" bestFit="1" customWidth="1"/>
    <col min="284" max="284" width="22.140625" bestFit="1" customWidth="1"/>
    <col min="285" max="285" width="9.7109375" bestFit="1" customWidth="1"/>
    <col min="286" max="286" width="22" bestFit="1" customWidth="1"/>
    <col min="287" max="287" width="22.140625" bestFit="1" customWidth="1"/>
    <col min="288" max="288" width="9.7109375" bestFit="1" customWidth="1"/>
    <col min="289" max="289" width="22" bestFit="1" customWidth="1"/>
    <col min="290" max="290" width="22.140625" bestFit="1" customWidth="1"/>
    <col min="291" max="291" width="9.7109375" bestFit="1" customWidth="1"/>
    <col min="292" max="292" width="22" bestFit="1" customWidth="1"/>
    <col min="293" max="293" width="22.140625" bestFit="1" customWidth="1"/>
    <col min="294" max="294" width="9.7109375" bestFit="1" customWidth="1"/>
    <col min="295" max="295" width="22" bestFit="1" customWidth="1"/>
    <col min="296" max="296" width="22.140625" bestFit="1" customWidth="1"/>
    <col min="297" max="297" width="9.7109375" bestFit="1" customWidth="1"/>
    <col min="298" max="298" width="22" bestFit="1" customWidth="1"/>
    <col min="299" max="299" width="32" bestFit="1" customWidth="1"/>
    <col min="300" max="300" width="9.7109375" bestFit="1" customWidth="1"/>
    <col min="301" max="301" width="22" bestFit="1" customWidth="1"/>
    <col min="302" max="302" width="22.140625" bestFit="1" customWidth="1"/>
    <col min="303" max="303" width="9.7109375" bestFit="1" customWidth="1"/>
    <col min="304" max="304" width="22" bestFit="1" customWidth="1"/>
    <col min="305" max="305" width="22.140625" bestFit="1" customWidth="1"/>
    <col min="306" max="306" width="9.7109375" bestFit="1" customWidth="1"/>
    <col min="307" max="307" width="22" bestFit="1" customWidth="1"/>
    <col min="308" max="308" width="22.140625" bestFit="1" customWidth="1"/>
    <col min="309" max="309" width="9.7109375" bestFit="1" customWidth="1"/>
    <col min="310" max="310" width="22" bestFit="1" customWidth="1"/>
    <col min="311" max="311" width="24" bestFit="1" customWidth="1"/>
    <col min="312" max="312" width="9.7109375" bestFit="1" customWidth="1"/>
    <col min="313" max="313" width="22" bestFit="1" customWidth="1"/>
    <col min="314" max="314" width="22.140625" bestFit="1" customWidth="1"/>
    <col min="315" max="315" width="9.7109375" bestFit="1" customWidth="1"/>
    <col min="316" max="316" width="22" bestFit="1" customWidth="1"/>
    <col min="317" max="317" width="22.140625" bestFit="1" customWidth="1"/>
    <col min="318" max="318" width="9.7109375" bestFit="1" customWidth="1"/>
    <col min="319" max="319" width="22" bestFit="1" customWidth="1"/>
    <col min="320" max="320" width="22.140625" bestFit="1" customWidth="1"/>
    <col min="321" max="321" width="9.7109375" bestFit="1" customWidth="1"/>
    <col min="322" max="322" width="22" bestFit="1" customWidth="1"/>
    <col min="323" max="323" width="22.140625" bestFit="1" customWidth="1"/>
    <col min="324" max="324" width="9.7109375" bestFit="1" customWidth="1"/>
    <col min="325" max="325" width="22" bestFit="1" customWidth="1"/>
    <col min="326" max="326" width="23.42578125" bestFit="1" customWidth="1"/>
    <col min="327" max="327" width="9.7109375" bestFit="1" customWidth="1"/>
    <col min="328" max="328" width="22" bestFit="1" customWidth="1"/>
    <col min="329" max="329" width="26.5703125" bestFit="1" customWidth="1"/>
    <col min="330" max="330" width="9.7109375" bestFit="1" customWidth="1"/>
    <col min="331" max="331" width="22" bestFit="1" customWidth="1"/>
    <col min="332" max="332" width="25" bestFit="1" customWidth="1"/>
    <col min="333" max="333" width="9.7109375" bestFit="1" customWidth="1"/>
    <col min="334" max="334" width="22" bestFit="1" customWidth="1"/>
    <col min="335" max="335" width="24.7109375" bestFit="1" customWidth="1"/>
    <col min="336" max="336" width="9.7109375" bestFit="1" customWidth="1"/>
    <col min="337" max="337" width="22" bestFit="1" customWidth="1"/>
    <col min="338" max="338" width="22.140625" bestFit="1" customWidth="1"/>
    <col min="339" max="339" width="9.7109375" bestFit="1" customWidth="1"/>
    <col min="340" max="340" width="22" bestFit="1" customWidth="1"/>
    <col min="341" max="341" width="25.140625" bestFit="1" customWidth="1"/>
    <col min="342" max="342" width="9.7109375" bestFit="1" customWidth="1"/>
    <col min="343" max="343" width="22" bestFit="1" customWidth="1"/>
    <col min="344" max="344" width="22.140625" bestFit="1" customWidth="1"/>
    <col min="345" max="345" width="9.7109375" bestFit="1" customWidth="1"/>
    <col min="346" max="346" width="22" bestFit="1" customWidth="1"/>
    <col min="347" max="347" width="22.140625" bestFit="1" customWidth="1"/>
    <col min="348" max="348" width="9.7109375" bestFit="1" customWidth="1"/>
    <col min="349" max="349" width="22" bestFit="1" customWidth="1"/>
    <col min="350" max="350" width="25" bestFit="1" customWidth="1"/>
    <col min="351" max="351" width="9.7109375" bestFit="1" customWidth="1"/>
    <col min="352" max="352" width="22" bestFit="1" customWidth="1"/>
    <col min="353" max="353" width="22.140625" bestFit="1" customWidth="1"/>
    <col min="354" max="354" width="9.7109375" bestFit="1" customWidth="1"/>
    <col min="355" max="355" width="22" bestFit="1" customWidth="1"/>
    <col min="356" max="356" width="27.140625" bestFit="1" customWidth="1"/>
    <col min="357" max="357" width="14.7109375" bestFit="1" customWidth="1"/>
    <col min="358" max="358" width="27" customWidth="1"/>
    <col min="359" max="416" width="31.140625" bestFit="1" customWidth="1"/>
    <col min="417" max="417" width="27.140625" bestFit="1" customWidth="1"/>
    <col min="418" max="418" width="14.7109375" customWidth="1"/>
    <col min="419" max="420" width="27" bestFit="1" customWidth="1"/>
  </cols>
  <sheetData>
    <row r="1" spans="1:420" x14ac:dyDescent="0.25">
      <c r="A1" s="10">
        <v>1</v>
      </c>
      <c r="B1" s="10">
        <f>A1+1</f>
        <v>2</v>
      </c>
      <c r="C1" s="10">
        <f t="shared" ref="C1:BN1" si="0">B1+1</f>
        <v>3</v>
      </c>
      <c r="D1" s="10">
        <f t="shared" si="0"/>
        <v>4</v>
      </c>
      <c r="E1" s="10">
        <f t="shared" si="0"/>
        <v>5</v>
      </c>
      <c r="F1" s="10">
        <f t="shared" si="0"/>
        <v>6</v>
      </c>
      <c r="G1" s="10">
        <f t="shared" si="0"/>
        <v>7</v>
      </c>
      <c r="H1" s="10">
        <f t="shared" si="0"/>
        <v>8</v>
      </c>
      <c r="I1" s="10">
        <f t="shared" si="0"/>
        <v>9</v>
      </c>
      <c r="J1" s="10">
        <f t="shared" si="0"/>
        <v>10</v>
      </c>
      <c r="K1" s="10">
        <f t="shared" si="0"/>
        <v>11</v>
      </c>
      <c r="L1" s="144">
        <f t="shared" si="0"/>
        <v>12</v>
      </c>
      <c r="M1" s="10">
        <f t="shared" si="0"/>
        <v>13</v>
      </c>
      <c r="N1" s="10">
        <f t="shared" si="0"/>
        <v>14</v>
      </c>
      <c r="O1" s="10">
        <f t="shared" si="0"/>
        <v>15</v>
      </c>
      <c r="P1" s="10">
        <f t="shared" si="0"/>
        <v>16</v>
      </c>
      <c r="Q1" s="10">
        <f t="shared" si="0"/>
        <v>17</v>
      </c>
      <c r="R1" s="10">
        <f t="shared" si="0"/>
        <v>18</v>
      </c>
      <c r="S1" s="10">
        <f t="shared" si="0"/>
        <v>19</v>
      </c>
      <c r="T1" s="10">
        <f t="shared" si="0"/>
        <v>20</v>
      </c>
      <c r="U1" s="10">
        <f t="shared" si="0"/>
        <v>21</v>
      </c>
      <c r="V1" s="10">
        <f t="shared" si="0"/>
        <v>22</v>
      </c>
      <c r="W1" s="10">
        <f t="shared" si="0"/>
        <v>23</v>
      </c>
      <c r="X1" s="10">
        <f t="shared" si="0"/>
        <v>24</v>
      </c>
      <c r="Y1" s="10">
        <f t="shared" si="0"/>
        <v>25</v>
      </c>
      <c r="Z1" s="10">
        <f t="shared" si="0"/>
        <v>26</v>
      </c>
      <c r="AA1" s="10">
        <f t="shared" si="0"/>
        <v>27</v>
      </c>
      <c r="AB1" s="10">
        <f t="shared" si="0"/>
        <v>28</v>
      </c>
      <c r="AC1" s="10">
        <f t="shared" si="0"/>
        <v>29</v>
      </c>
      <c r="AD1" s="10">
        <f t="shared" si="0"/>
        <v>30</v>
      </c>
      <c r="AE1" s="10">
        <f t="shared" si="0"/>
        <v>31</v>
      </c>
      <c r="AF1" s="10">
        <f t="shared" si="0"/>
        <v>32</v>
      </c>
      <c r="AG1" s="10">
        <f t="shared" si="0"/>
        <v>33</v>
      </c>
      <c r="AH1" s="10">
        <f t="shared" si="0"/>
        <v>34</v>
      </c>
      <c r="AI1" s="10">
        <f t="shared" si="0"/>
        <v>35</v>
      </c>
      <c r="AJ1" s="10">
        <f t="shared" si="0"/>
        <v>36</v>
      </c>
      <c r="AK1" s="10">
        <f t="shared" si="0"/>
        <v>37</v>
      </c>
      <c r="AL1" s="10">
        <f t="shared" si="0"/>
        <v>38</v>
      </c>
      <c r="AM1" s="10">
        <f t="shared" si="0"/>
        <v>39</v>
      </c>
      <c r="AN1" s="10">
        <f t="shared" si="0"/>
        <v>40</v>
      </c>
      <c r="AO1" s="10">
        <f t="shared" si="0"/>
        <v>41</v>
      </c>
      <c r="AP1" s="10">
        <f t="shared" si="0"/>
        <v>42</v>
      </c>
      <c r="AQ1" s="10">
        <f t="shared" si="0"/>
        <v>43</v>
      </c>
      <c r="AR1" s="10">
        <f t="shared" si="0"/>
        <v>44</v>
      </c>
      <c r="AS1" s="10">
        <f t="shared" si="0"/>
        <v>45</v>
      </c>
      <c r="AT1" s="10">
        <f t="shared" si="0"/>
        <v>46</v>
      </c>
      <c r="AU1" s="10">
        <f t="shared" si="0"/>
        <v>47</v>
      </c>
      <c r="AV1" s="10">
        <f t="shared" si="0"/>
        <v>48</v>
      </c>
      <c r="AW1" s="10">
        <f t="shared" si="0"/>
        <v>49</v>
      </c>
      <c r="AX1" s="10">
        <f t="shared" si="0"/>
        <v>50</v>
      </c>
      <c r="AY1" s="10">
        <f t="shared" si="0"/>
        <v>51</v>
      </c>
      <c r="AZ1" s="10">
        <f t="shared" si="0"/>
        <v>52</v>
      </c>
      <c r="BA1" s="10">
        <f t="shared" si="0"/>
        <v>53</v>
      </c>
      <c r="BB1" s="10">
        <f t="shared" si="0"/>
        <v>54</v>
      </c>
      <c r="BC1" s="10">
        <f t="shared" si="0"/>
        <v>55</v>
      </c>
      <c r="BD1" s="10">
        <f t="shared" si="0"/>
        <v>56</v>
      </c>
      <c r="BE1" s="10">
        <f t="shared" si="0"/>
        <v>57</v>
      </c>
      <c r="BF1" s="10">
        <f t="shared" si="0"/>
        <v>58</v>
      </c>
      <c r="BG1" s="10">
        <f t="shared" si="0"/>
        <v>59</v>
      </c>
      <c r="BH1" s="10">
        <f t="shared" si="0"/>
        <v>60</v>
      </c>
      <c r="BI1" s="10">
        <f t="shared" si="0"/>
        <v>61</v>
      </c>
      <c r="BJ1" s="10">
        <f t="shared" si="0"/>
        <v>62</v>
      </c>
      <c r="BK1" s="10">
        <f t="shared" si="0"/>
        <v>63</v>
      </c>
      <c r="BL1" s="10">
        <f t="shared" si="0"/>
        <v>64</v>
      </c>
      <c r="BM1" s="10">
        <f t="shared" si="0"/>
        <v>65</v>
      </c>
      <c r="BN1" s="10">
        <f t="shared" si="0"/>
        <v>66</v>
      </c>
      <c r="BO1" s="10">
        <f t="shared" ref="BO1:BX1" si="1">BN1+1</f>
        <v>67</v>
      </c>
      <c r="BP1" s="10">
        <f t="shared" si="1"/>
        <v>68</v>
      </c>
      <c r="BQ1" s="10">
        <f t="shared" si="1"/>
        <v>69</v>
      </c>
      <c r="BR1" s="10">
        <f t="shared" si="1"/>
        <v>70</v>
      </c>
      <c r="BS1" s="10">
        <f t="shared" si="1"/>
        <v>71</v>
      </c>
      <c r="BT1" s="10">
        <f t="shared" si="1"/>
        <v>72</v>
      </c>
      <c r="BU1" s="10">
        <f t="shared" si="1"/>
        <v>73</v>
      </c>
      <c r="BV1" s="10">
        <f t="shared" si="1"/>
        <v>74</v>
      </c>
      <c r="BW1" s="10">
        <f t="shared" si="1"/>
        <v>75</v>
      </c>
      <c r="BX1" s="10">
        <f t="shared" si="1"/>
        <v>76</v>
      </c>
    </row>
    <row r="3" spans="1:420" x14ac:dyDescent="0.25">
      <c r="B3" s="2" t="s">
        <v>2327</v>
      </c>
      <c r="H3" s="101"/>
      <c r="W3"/>
      <c r="Y3" s="101"/>
      <c r="BA3"/>
      <c r="BC3" s="101"/>
      <c r="BJ3"/>
      <c r="BL3" s="101"/>
      <c r="CL3"/>
      <c r="DN3"/>
      <c r="DO3"/>
      <c r="DP3"/>
      <c r="DQ3"/>
      <c r="DR3"/>
      <c r="DS3"/>
      <c r="DU3"/>
      <c r="DZ3"/>
      <c r="EA3"/>
      <c r="EB3"/>
      <c r="ED3"/>
      <c r="EI3"/>
    </row>
    <row r="4" spans="1:420" x14ac:dyDescent="0.25">
      <c r="B4" t="s">
        <v>1517</v>
      </c>
      <c r="E4" t="s">
        <v>1787</v>
      </c>
      <c r="H4" t="s">
        <v>2273</v>
      </c>
      <c r="K4" t="s">
        <v>2312</v>
      </c>
      <c r="N4" t="s">
        <v>2308</v>
      </c>
      <c r="Q4" t="s">
        <v>2321</v>
      </c>
      <c r="T4" t="s">
        <v>2309</v>
      </c>
      <c r="W4" t="s">
        <v>2322</v>
      </c>
      <c r="Z4" t="s">
        <v>2314</v>
      </c>
      <c r="AC4" t="s">
        <v>2313</v>
      </c>
      <c r="AF4" t="s">
        <v>2315</v>
      </c>
      <c r="AI4" t="s">
        <v>2319</v>
      </c>
      <c r="AL4" t="s">
        <v>2324</v>
      </c>
      <c r="AO4" t="s">
        <v>2316</v>
      </c>
      <c r="AR4" t="s">
        <v>2326</v>
      </c>
      <c r="AU4" t="s">
        <v>2311</v>
      </c>
      <c r="AX4" t="s">
        <v>2317</v>
      </c>
      <c r="BA4" t="s">
        <v>2325</v>
      </c>
      <c r="BD4" t="s">
        <v>2318</v>
      </c>
      <c r="BG4" t="s">
        <v>2310</v>
      </c>
      <c r="BJ4" t="s">
        <v>2323</v>
      </c>
      <c r="BM4" t="s">
        <v>2320</v>
      </c>
      <c r="BP4" t="s">
        <v>2332</v>
      </c>
      <c r="BS4" t="s">
        <v>2333</v>
      </c>
      <c r="BV4" t="s">
        <v>2328</v>
      </c>
      <c r="BW4" t="s">
        <v>2329</v>
      </c>
      <c r="BX4" t="s">
        <v>2330</v>
      </c>
      <c r="CL4"/>
      <c r="DN4"/>
      <c r="DO4"/>
      <c r="DP4"/>
      <c r="DQ4"/>
      <c r="DR4"/>
      <c r="DS4"/>
      <c r="DU4"/>
      <c r="DZ4"/>
      <c r="EA4"/>
      <c r="EB4"/>
      <c r="ED4"/>
      <c r="EI4"/>
    </row>
    <row r="5" spans="1:420" x14ac:dyDescent="0.25">
      <c r="A5" s="2" t="s">
        <v>2132</v>
      </c>
      <c r="B5" t="s">
        <v>2258</v>
      </c>
      <c r="C5" t="s">
        <v>2302</v>
      </c>
      <c r="D5" t="s">
        <v>2256</v>
      </c>
      <c r="E5" t="s">
        <v>2258</v>
      </c>
      <c r="F5" t="s">
        <v>2302</v>
      </c>
      <c r="G5" t="s">
        <v>2256</v>
      </c>
      <c r="H5" t="s">
        <v>2258</v>
      </c>
      <c r="I5" t="s">
        <v>2302</v>
      </c>
      <c r="J5" t="s">
        <v>2256</v>
      </c>
      <c r="K5" t="s">
        <v>2258</v>
      </c>
      <c r="L5" s="143" t="s">
        <v>2302</v>
      </c>
      <c r="M5" t="s">
        <v>2256</v>
      </c>
      <c r="N5" t="s">
        <v>2258</v>
      </c>
      <c r="O5" t="s">
        <v>2302</v>
      </c>
      <c r="P5" t="s">
        <v>2256</v>
      </c>
      <c r="Q5" t="s">
        <v>2258</v>
      </c>
      <c r="R5" t="s">
        <v>2302</v>
      </c>
      <c r="S5" t="s">
        <v>2256</v>
      </c>
      <c r="T5" t="s">
        <v>2258</v>
      </c>
      <c r="U5" t="s">
        <v>2302</v>
      </c>
      <c r="V5" t="s">
        <v>2256</v>
      </c>
      <c r="W5" t="s">
        <v>2258</v>
      </c>
      <c r="X5" t="s">
        <v>2302</v>
      </c>
      <c r="Y5" t="s">
        <v>2256</v>
      </c>
      <c r="Z5" t="s">
        <v>2258</v>
      </c>
      <c r="AA5" t="s">
        <v>2302</v>
      </c>
      <c r="AB5" t="s">
        <v>2256</v>
      </c>
      <c r="AC5" t="s">
        <v>2258</v>
      </c>
      <c r="AD5" t="s">
        <v>2302</v>
      </c>
      <c r="AE5" t="s">
        <v>2256</v>
      </c>
      <c r="AF5" t="s">
        <v>2258</v>
      </c>
      <c r="AG5" t="s">
        <v>2302</v>
      </c>
      <c r="AH5" t="s">
        <v>2256</v>
      </c>
      <c r="AI5" t="s">
        <v>2258</v>
      </c>
      <c r="AJ5" t="s">
        <v>2302</v>
      </c>
      <c r="AK5" t="s">
        <v>2256</v>
      </c>
      <c r="AL5" t="s">
        <v>2258</v>
      </c>
      <c r="AM5" t="s">
        <v>2302</v>
      </c>
      <c r="AN5" t="s">
        <v>2256</v>
      </c>
      <c r="AO5" t="s">
        <v>2258</v>
      </c>
      <c r="AP5" t="s">
        <v>2302</v>
      </c>
      <c r="AQ5" t="s">
        <v>2256</v>
      </c>
      <c r="AR5" t="s">
        <v>2258</v>
      </c>
      <c r="AS5" t="s">
        <v>2302</v>
      </c>
      <c r="AT5" t="s">
        <v>2256</v>
      </c>
      <c r="AU5" t="s">
        <v>2258</v>
      </c>
      <c r="AV5" t="s">
        <v>2302</v>
      </c>
      <c r="AW5" t="s">
        <v>2256</v>
      </c>
      <c r="AX5" t="s">
        <v>2258</v>
      </c>
      <c r="AY5" t="s">
        <v>2302</v>
      </c>
      <c r="AZ5" t="s">
        <v>2256</v>
      </c>
      <c r="BA5" t="s">
        <v>2258</v>
      </c>
      <c r="BB5" t="s">
        <v>2302</v>
      </c>
      <c r="BC5" t="s">
        <v>2256</v>
      </c>
      <c r="BD5" t="s">
        <v>2258</v>
      </c>
      <c r="BE5" t="s">
        <v>2302</v>
      </c>
      <c r="BF5" t="s">
        <v>2256</v>
      </c>
      <c r="BG5" t="s">
        <v>2258</v>
      </c>
      <c r="BH5" t="s">
        <v>2302</v>
      </c>
      <c r="BI5" t="s">
        <v>2256</v>
      </c>
      <c r="BJ5" t="s">
        <v>2258</v>
      </c>
      <c r="BK5" t="s">
        <v>2302</v>
      </c>
      <c r="BL5" t="s">
        <v>2256</v>
      </c>
      <c r="BM5" t="s">
        <v>2258</v>
      </c>
      <c r="BN5" t="s">
        <v>2302</v>
      </c>
      <c r="BO5" t="s">
        <v>2256</v>
      </c>
      <c r="BP5" t="s">
        <v>2258</v>
      </c>
      <c r="BQ5" t="s">
        <v>2302</v>
      </c>
      <c r="BR5" t="s">
        <v>2256</v>
      </c>
      <c r="BS5" t="s">
        <v>2258</v>
      </c>
      <c r="BT5" t="s">
        <v>2302</v>
      </c>
      <c r="BU5" t="s">
        <v>2256</v>
      </c>
      <c r="CL5"/>
      <c r="DN5"/>
      <c r="DO5"/>
      <c r="DP5"/>
      <c r="DQ5"/>
      <c r="DR5"/>
      <c r="DS5"/>
      <c r="DU5"/>
      <c r="DZ5"/>
      <c r="EA5"/>
      <c r="EB5"/>
      <c r="ED5"/>
      <c r="EI5"/>
    </row>
    <row r="6" spans="1:420" x14ac:dyDescent="0.25">
      <c r="A6" s="3" t="s">
        <v>54</v>
      </c>
      <c r="B6" s="4"/>
      <c r="C6" s="4"/>
      <c r="D6" s="4"/>
      <c r="E6" s="4"/>
      <c r="F6" s="4"/>
      <c r="G6" s="4"/>
      <c r="H6" s="4"/>
      <c r="I6" s="4"/>
      <c r="J6" s="4"/>
      <c r="K6" s="4"/>
      <c r="L6" s="142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>
        <v>1</v>
      </c>
      <c r="BQ6" s="4">
        <v>1</v>
      </c>
      <c r="BR6" s="4">
        <v>0</v>
      </c>
      <c r="BS6" s="4"/>
      <c r="BT6" s="4"/>
      <c r="BU6" s="4"/>
      <c r="BV6" s="4">
        <v>1</v>
      </c>
      <c r="BW6" s="4">
        <v>1</v>
      </c>
      <c r="BX6" s="4">
        <v>0</v>
      </c>
      <c r="CL6"/>
      <c r="DN6"/>
      <c r="DO6"/>
      <c r="DP6"/>
      <c r="DQ6"/>
      <c r="DR6"/>
      <c r="DS6"/>
      <c r="DU6"/>
      <c r="DZ6"/>
      <c r="EA6"/>
      <c r="EB6"/>
      <c r="ED6"/>
      <c r="EI6"/>
    </row>
    <row r="7" spans="1:420" x14ac:dyDescent="0.25">
      <c r="A7" s="3" t="s">
        <v>238</v>
      </c>
      <c r="B7" s="4"/>
      <c r="C7" s="4"/>
      <c r="D7" s="4"/>
      <c r="E7" s="4"/>
      <c r="F7" s="4"/>
      <c r="G7" s="4"/>
      <c r="H7" s="4"/>
      <c r="I7" s="4"/>
      <c r="J7" s="4"/>
      <c r="K7" s="4">
        <v>0</v>
      </c>
      <c r="L7" s="142">
        <v>1</v>
      </c>
      <c r="M7" s="4">
        <v>0</v>
      </c>
      <c r="N7" s="4">
        <v>0</v>
      </c>
      <c r="O7" s="4">
        <v>2</v>
      </c>
      <c r="P7" s="4">
        <v>0</v>
      </c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>
        <v>0</v>
      </c>
      <c r="BT7" s="4">
        <v>1</v>
      </c>
      <c r="BU7" s="4">
        <v>0</v>
      </c>
      <c r="BV7" s="4">
        <v>0</v>
      </c>
      <c r="BW7" s="4">
        <v>4</v>
      </c>
      <c r="BX7" s="4">
        <v>0</v>
      </c>
      <c r="CL7"/>
      <c r="DN7"/>
      <c r="DO7"/>
      <c r="DP7"/>
      <c r="DQ7"/>
      <c r="DR7"/>
      <c r="DS7"/>
      <c r="DU7"/>
      <c r="DZ7"/>
      <c r="EA7"/>
      <c r="EB7"/>
      <c r="ED7"/>
      <c r="EI7"/>
    </row>
    <row r="8" spans="1:420" x14ac:dyDescent="0.25">
      <c r="A8" s="3" t="s">
        <v>1064</v>
      </c>
      <c r="B8" s="4"/>
      <c r="C8" s="4"/>
      <c r="D8" s="4"/>
      <c r="E8" s="4"/>
      <c r="F8" s="4"/>
      <c r="G8" s="4"/>
      <c r="H8" s="4"/>
      <c r="I8" s="4"/>
      <c r="J8" s="4"/>
      <c r="K8" s="4"/>
      <c r="L8" s="142"/>
      <c r="M8" s="4"/>
      <c r="N8" s="4">
        <v>2</v>
      </c>
      <c r="O8" s="4">
        <v>0</v>
      </c>
      <c r="P8" s="4">
        <v>0</v>
      </c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>
        <v>2</v>
      </c>
      <c r="BW8" s="4">
        <v>0</v>
      </c>
      <c r="BX8" s="4">
        <v>0</v>
      </c>
      <c r="CL8"/>
      <c r="DN8"/>
      <c r="DO8"/>
      <c r="DP8"/>
      <c r="DQ8"/>
      <c r="DR8"/>
      <c r="DS8"/>
      <c r="DU8"/>
      <c r="DZ8"/>
      <c r="EA8"/>
      <c r="EB8"/>
      <c r="ED8"/>
      <c r="EI8"/>
    </row>
    <row r="9" spans="1:420" x14ac:dyDescent="0.25">
      <c r="A9" s="3" t="s">
        <v>1692</v>
      </c>
      <c r="B9" s="4"/>
      <c r="C9" s="4"/>
      <c r="D9" s="4"/>
      <c r="E9" s="4"/>
      <c r="F9" s="4"/>
      <c r="G9" s="4"/>
      <c r="H9" s="4"/>
      <c r="I9" s="4"/>
      <c r="J9" s="4"/>
      <c r="K9" s="4"/>
      <c r="L9" s="142"/>
      <c r="M9" s="4"/>
      <c r="N9" s="4">
        <v>1</v>
      </c>
      <c r="O9" s="4">
        <v>0</v>
      </c>
      <c r="P9" s="4">
        <v>0</v>
      </c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>
        <v>1</v>
      </c>
      <c r="BW9" s="4">
        <v>0</v>
      </c>
      <c r="BX9" s="4">
        <v>0</v>
      </c>
      <c r="CL9"/>
      <c r="DN9"/>
      <c r="DO9"/>
      <c r="DP9"/>
      <c r="DQ9"/>
      <c r="DR9"/>
      <c r="DS9"/>
      <c r="DU9"/>
      <c r="DZ9"/>
      <c r="EA9"/>
      <c r="EB9"/>
      <c r="ED9"/>
      <c r="EI9"/>
    </row>
    <row r="10" spans="1:420" x14ac:dyDescent="0.25">
      <c r="A10" s="3" t="s">
        <v>2274</v>
      </c>
      <c r="B10" s="4"/>
      <c r="C10" s="4"/>
      <c r="D10" s="4"/>
      <c r="E10" s="4"/>
      <c r="F10" s="4"/>
      <c r="G10" s="4"/>
      <c r="H10" s="4"/>
      <c r="I10" s="4"/>
      <c r="J10" s="4"/>
      <c r="K10" s="4"/>
      <c r="L10" s="142"/>
      <c r="M10" s="4"/>
      <c r="N10" s="4">
        <v>0</v>
      </c>
      <c r="O10" s="4">
        <v>5</v>
      </c>
      <c r="P10" s="4">
        <v>0</v>
      </c>
      <c r="Q10" s="4">
        <v>0</v>
      </c>
      <c r="R10" s="4">
        <v>2</v>
      </c>
      <c r="S10" s="4">
        <v>0</v>
      </c>
      <c r="T10" s="4">
        <v>1</v>
      </c>
      <c r="U10" s="4">
        <v>0</v>
      </c>
      <c r="V10" s="4">
        <v>2</v>
      </c>
      <c r="W10" s="4">
        <v>0</v>
      </c>
      <c r="X10" s="4">
        <v>1</v>
      </c>
      <c r="Y10" s="4">
        <v>0</v>
      </c>
      <c r="Z10" s="4">
        <v>0</v>
      </c>
      <c r="AA10" s="4">
        <v>1</v>
      </c>
      <c r="AB10" s="4">
        <v>0</v>
      </c>
      <c r="AC10" s="4">
        <v>0</v>
      </c>
      <c r="AD10" s="4">
        <v>1</v>
      </c>
      <c r="AE10" s="4">
        <v>0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>
        <v>1</v>
      </c>
      <c r="BW10" s="4">
        <v>10</v>
      </c>
      <c r="BX10" s="4">
        <v>2</v>
      </c>
      <c r="CL10"/>
      <c r="DN10"/>
      <c r="DO10"/>
      <c r="DP10"/>
      <c r="DQ10"/>
      <c r="DR10"/>
      <c r="DS10"/>
      <c r="DU10"/>
      <c r="DZ10"/>
      <c r="EA10"/>
      <c r="EB10"/>
      <c r="ED10"/>
      <c r="EI10"/>
    </row>
    <row r="11" spans="1:420" s="101" customFormat="1" x14ac:dyDescent="0.25">
      <c r="A11" s="3" t="s">
        <v>2275</v>
      </c>
      <c r="B11" s="4"/>
      <c r="C11" s="4"/>
      <c r="D11" s="4"/>
      <c r="E11" s="4"/>
      <c r="F11" s="4"/>
      <c r="G11" s="4"/>
      <c r="H11" s="4"/>
      <c r="I11" s="4"/>
      <c r="J11" s="4"/>
      <c r="K11" s="4">
        <v>0</v>
      </c>
      <c r="L11" s="142">
        <v>1</v>
      </c>
      <c r="M11" s="4">
        <v>0</v>
      </c>
      <c r="N11" s="4">
        <v>2</v>
      </c>
      <c r="O11" s="4">
        <v>6</v>
      </c>
      <c r="P11" s="4">
        <v>3</v>
      </c>
      <c r="Q11" s="4"/>
      <c r="R11" s="4"/>
      <c r="S11" s="4"/>
      <c r="T11" s="4">
        <v>0</v>
      </c>
      <c r="U11" s="4">
        <v>1</v>
      </c>
      <c r="V11" s="4">
        <v>0</v>
      </c>
      <c r="W11" s="4"/>
      <c r="X11" s="4"/>
      <c r="Y11" s="4"/>
      <c r="Z11" s="4"/>
      <c r="AA11" s="4"/>
      <c r="AB11" s="4"/>
      <c r="AC11" s="4"/>
      <c r="AD11" s="4"/>
      <c r="AE11" s="4"/>
      <c r="AF11" s="4">
        <v>0</v>
      </c>
      <c r="AG11" s="4">
        <v>1</v>
      </c>
      <c r="AH11" s="4">
        <v>0</v>
      </c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>
        <v>2</v>
      </c>
      <c r="BW11" s="4">
        <v>9</v>
      </c>
      <c r="BX11" s="4">
        <v>3</v>
      </c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</row>
    <row r="12" spans="1:420" x14ac:dyDescent="0.25">
      <c r="A12" s="3" t="s">
        <v>2276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142"/>
      <c r="M12" s="4"/>
      <c r="N12" s="4">
        <v>1</v>
      </c>
      <c r="O12" s="4">
        <v>1</v>
      </c>
      <c r="P12" s="4">
        <v>1</v>
      </c>
      <c r="Q12" s="4">
        <v>1</v>
      </c>
      <c r="R12" s="4">
        <v>0</v>
      </c>
      <c r="S12" s="4">
        <v>0</v>
      </c>
      <c r="T12" s="4">
        <v>5</v>
      </c>
      <c r="U12" s="4">
        <v>17</v>
      </c>
      <c r="V12" s="4">
        <v>0</v>
      </c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>
        <v>0</v>
      </c>
      <c r="BT12" s="4">
        <v>1</v>
      </c>
      <c r="BU12" s="4">
        <v>0</v>
      </c>
      <c r="BV12" s="4">
        <v>7</v>
      </c>
      <c r="BW12" s="4">
        <v>19</v>
      </c>
      <c r="BX12" s="4">
        <v>1</v>
      </c>
      <c r="CL12"/>
      <c r="DN12"/>
      <c r="DO12"/>
      <c r="DP12"/>
      <c r="DQ12"/>
      <c r="DR12"/>
      <c r="DS12"/>
      <c r="DU12"/>
      <c r="DZ12"/>
      <c r="EA12"/>
      <c r="EB12"/>
      <c r="ED12"/>
      <c r="EI12"/>
    </row>
    <row r="13" spans="1:420" x14ac:dyDescent="0.25">
      <c r="A13" s="3" t="s">
        <v>1721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142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>
        <v>0</v>
      </c>
      <c r="BT13" s="4">
        <v>0</v>
      </c>
      <c r="BU13" s="4">
        <v>1</v>
      </c>
      <c r="BV13" s="4">
        <v>0</v>
      </c>
      <c r="BW13" s="4">
        <v>0</v>
      </c>
      <c r="BX13" s="4">
        <v>1</v>
      </c>
      <c r="CL13"/>
      <c r="DN13"/>
      <c r="DO13"/>
      <c r="DP13"/>
      <c r="DQ13"/>
      <c r="DR13"/>
      <c r="DS13"/>
      <c r="DU13"/>
      <c r="DZ13"/>
      <c r="EA13"/>
      <c r="EB13"/>
      <c r="ED13"/>
      <c r="EI13"/>
    </row>
    <row r="14" spans="1:420" x14ac:dyDescent="0.25">
      <c r="A14" s="3" t="s">
        <v>372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142"/>
      <c r="M14" s="4"/>
      <c r="N14" s="4">
        <v>6</v>
      </c>
      <c r="O14" s="4">
        <v>8</v>
      </c>
      <c r="P14" s="4">
        <v>1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6</v>
      </c>
      <c r="BW14" s="4">
        <v>8</v>
      </c>
      <c r="BX14" s="4">
        <v>1</v>
      </c>
      <c r="CL14"/>
      <c r="DN14"/>
      <c r="DO14"/>
      <c r="DP14"/>
      <c r="DQ14"/>
      <c r="DR14"/>
      <c r="DS14"/>
      <c r="DU14"/>
      <c r="DZ14"/>
      <c r="EA14"/>
      <c r="EB14"/>
      <c r="ED14"/>
      <c r="EI14"/>
    </row>
    <row r="15" spans="1:420" x14ac:dyDescent="0.25">
      <c r="A15" s="3" t="s">
        <v>1866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142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>
        <v>0</v>
      </c>
      <c r="BT15" s="4">
        <v>1</v>
      </c>
      <c r="BU15" s="4">
        <v>0</v>
      </c>
      <c r="BV15" s="4">
        <v>0</v>
      </c>
      <c r="BW15" s="4">
        <v>1</v>
      </c>
      <c r="BX15" s="4">
        <v>0</v>
      </c>
      <c r="CL15"/>
      <c r="DN15"/>
      <c r="DO15"/>
      <c r="DP15"/>
      <c r="DQ15"/>
      <c r="DR15"/>
      <c r="DS15"/>
      <c r="DU15"/>
      <c r="DZ15"/>
      <c r="EA15"/>
      <c r="EB15"/>
      <c r="ED15"/>
      <c r="EI15"/>
    </row>
    <row r="16" spans="1:420" x14ac:dyDescent="0.25">
      <c r="A16" s="3" t="s">
        <v>1066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142"/>
      <c r="M16" s="4"/>
      <c r="N16" s="4">
        <v>0</v>
      </c>
      <c r="O16" s="4">
        <v>2</v>
      </c>
      <c r="P16" s="4">
        <v>0</v>
      </c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>
        <v>0</v>
      </c>
      <c r="BW16" s="4">
        <v>2</v>
      </c>
      <c r="BX16" s="4">
        <v>0</v>
      </c>
      <c r="CL16"/>
      <c r="DN16"/>
      <c r="DO16"/>
      <c r="DP16"/>
      <c r="DQ16"/>
      <c r="DR16"/>
      <c r="DS16"/>
      <c r="DU16"/>
      <c r="DZ16"/>
      <c r="EA16"/>
      <c r="EB16"/>
      <c r="ED16"/>
      <c r="EI16"/>
    </row>
    <row r="17" spans="1:139" x14ac:dyDescent="0.25">
      <c r="A17" s="3" t="s">
        <v>1731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142"/>
      <c r="M17" s="4"/>
      <c r="N17" s="4">
        <v>0</v>
      </c>
      <c r="O17" s="4">
        <v>1</v>
      </c>
      <c r="P17" s="4">
        <v>0</v>
      </c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>
        <v>0</v>
      </c>
      <c r="BW17" s="4">
        <v>1</v>
      </c>
      <c r="BX17" s="4">
        <v>0</v>
      </c>
      <c r="CL17"/>
      <c r="DN17"/>
      <c r="DO17"/>
      <c r="DP17"/>
      <c r="DQ17"/>
      <c r="DR17"/>
      <c r="DS17"/>
      <c r="DU17"/>
      <c r="DZ17"/>
      <c r="EA17"/>
      <c r="EB17"/>
      <c r="ED17"/>
      <c r="EI17"/>
    </row>
    <row r="18" spans="1:139" x14ac:dyDescent="0.25">
      <c r="A18" s="3" t="s">
        <v>2277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142"/>
      <c r="M18" s="4"/>
      <c r="N18" s="4">
        <v>0</v>
      </c>
      <c r="O18" s="4">
        <v>2</v>
      </c>
      <c r="P18" s="4">
        <v>1</v>
      </c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>
        <v>0</v>
      </c>
      <c r="AJ18" s="4">
        <v>0</v>
      </c>
      <c r="AK18" s="4">
        <v>1</v>
      </c>
      <c r="AL18" s="4">
        <v>1</v>
      </c>
      <c r="AM18" s="4">
        <v>0</v>
      </c>
      <c r="AN18" s="4">
        <v>0</v>
      </c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>
        <v>1</v>
      </c>
      <c r="BW18" s="4">
        <v>2</v>
      </c>
      <c r="BX18" s="4">
        <v>2</v>
      </c>
      <c r="CL18"/>
      <c r="DN18"/>
      <c r="DO18"/>
      <c r="DP18"/>
      <c r="DQ18"/>
      <c r="DR18"/>
      <c r="DS18"/>
      <c r="DU18"/>
      <c r="DZ18"/>
      <c r="EA18"/>
      <c r="EB18"/>
      <c r="ED18"/>
      <c r="EI18"/>
    </row>
    <row r="19" spans="1:139" x14ac:dyDescent="0.25">
      <c r="A19" s="3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142"/>
      <c r="M19" s="4"/>
      <c r="N19" s="4">
        <v>0</v>
      </c>
      <c r="O19" s="4">
        <v>2</v>
      </c>
      <c r="P19" s="4">
        <v>2</v>
      </c>
      <c r="Q19" s="4">
        <v>0</v>
      </c>
      <c r="R19" s="4">
        <v>1</v>
      </c>
      <c r="S19" s="4">
        <v>0</v>
      </c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>
        <v>0</v>
      </c>
      <c r="BW19" s="4">
        <v>3</v>
      </c>
      <c r="BX19" s="4">
        <v>2</v>
      </c>
      <c r="CL19"/>
      <c r="DN19"/>
      <c r="DO19"/>
      <c r="DP19"/>
      <c r="DQ19"/>
      <c r="DR19"/>
      <c r="DS19"/>
      <c r="DU19"/>
      <c r="DZ19"/>
      <c r="EA19"/>
      <c r="EB19"/>
      <c r="ED19"/>
      <c r="EI19"/>
    </row>
    <row r="20" spans="1:139" x14ac:dyDescent="0.25">
      <c r="A20" s="3" t="s">
        <v>1797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142"/>
      <c r="M20" s="4"/>
      <c r="N20" s="4"/>
      <c r="O20" s="4"/>
      <c r="P20" s="4"/>
      <c r="Q20" s="4"/>
      <c r="R20" s="4"/>
      <c r="S20" s="4"/>
      <c r="T20" s="4">
        <v>1</v>
      </c>
      <c r="U20" s="4">
        <v>0</v>
      </c>
      <c r="V20" s="4">
        <v>0</v>
      </c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>
        <v>1</v>
      </c>
      <c r="BW20" s="4">
        <v>0</v>
      </c>
      <c r="BX20" s="4">
        <v>0</v>
      </c>
      <c r="CL20"/>
      <c r="DN20"/>
      <c r="DO20"/>
      <c r="DP20"/>
      <c r="DQ20"/>
      <c r="DR20"/>
      <c r="DS20"/>
      <c r="DU20"/>
      <c r="DZ20"/>
      <c r="EA20"/>
      <c r="EB20"/>
      <c r="ED20"/>
      <c r="EI20"/>
    </row>
    <row r="21" spans="1:139" x14ac:dyDescent="0.25">
      <c r="A21" s="3" t="s">
        <v>1718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142"/>
      <c r="M21" s="4"/>
      <c r="N21" s="4"/>
      <c r="O21" s="4"/>
      <c r="P21" s="4"/>
      <c r="Q21" s="4"/>
      <c r="R21" s="4"/>
      <c r="S21" s="4"/>
      <c r="T21" s="4">
        <v>0</v>
      </c>
      <c r="U21" s="4">
        <v>2</v>
      </c>
      <c r="V21" s="4">
        <v>0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>
        <v>0</v>
      </c>
      <c r="BW21" s="4">
        <v>2</v>
      </c>
      <c r="BX21" s="4">
        <v>0</v>
      </c>
      <c r="CL21"/>
      <c r="DN21"/>
      <c r="DO21"/>
      <c r="DP21"/>
      <c r="DQ21"/>
      <c r="DR21"/>
      <c r="DS21"/>
      <c r="DU21"/>
      <c r="DZ21"/>
      <c r="EA21"/>
      <c r="EB21"/>
      <c r="ED21"/>
      <c r="EI21"/>
    </row>
    <row r="22" spans="1:139" x14ac:dyDescent="0.25">
      <c r="A22" s="3" t="s">
        <v>2278</v>
      </c>
      <c r="B22" s="4"/>
      <c r="C22" s="4"/>
      <c r="D22" s="4"/>
      <c r="E22" s="4"/>
      <c r="F22" s="4"/>
      <c r="G22" s="4"/>
      <c r="H22" s="4"/>
      <c r="I22" s="4"/>
      <c r="J22" s="4"/>
      <c r="K22" s="4">
        <v>1</v>
      </c>
      <c r="L22" s="142">
        <v>1</v>
      </c>
      <c r="M22" s="4">
        <v>0</v>
      </c>
      <c r="N22" s="4">
        <v>0</v>
      </c>
      <c r="O22" s="4">
        <v>5</v>
      </c>
      <c r="P22" s="4">
        <v>1</v>
      </c>
      <c r="Q22" s="4"/>
      <c r="R22" s="4"/>
      <c r="S22" s="4"/>
      <c r="T22" s="4">
        <v>4</v>
      </c>
      <c r="U22" s="4">
        <v>3</v>
      </c>
      <c r="V22" s="4">
        <v>1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>
        <v>0</v>
      </c>
      <c r="AM22" s="4">
        <v>3</v>
      </c>
      <c r="AN22" s="4">
        <v>1</v>
      </c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>
        <v>0</v>
      </c>
      <c r="BT22" s="4">
        <v>1</v>
      </c>
      <c r="BU22" s="4">
        <v>0</v>
      </c>
      <c r="BV22" s="4">
        <v>5</v>
      </c>
      <c r="BW22" s="4">
        <v>13</v>
      </c>
      <c r="BX22" s="4">
        <v>3</v>
      </c>
      <c r="CL22"/>
      <c r="DN22"/>
      <c r="DO22"/>
      <c r="DP22"/>
      <c r="DQ22"/>
      <c r="DR22"/>
      <c r="DS22"/>
      <c r="DU22"/>
      <c r="DZ22"/>
      <c r="EA22"/>
      <c r="EB22"/>
      <c r="ED22"/>
      <c r="EI22"/>
    </row>
    <row r="23" spans="1:139" x14ac:dyDescent="0.25">
      <c r="A23" s="3" t="s">
        <v>480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142"/>
      <c r="M23" s="4"/>
      <c r="N23" s="4"/>
      <c r="O23" s="4"/>
      <c r="P23" s="4"/>
      <c r="Q23" s="4">
        <v>0</v>
      </c>
      <c r="R23" s="4">
        <v>1</v>
      </c>
      <c r="S23" s="4">
        <v>0</v>
      </c>
      <c r="T23" s="4">
        <v>0</v>
      </c>
      <c r="U23" s="4">
        <v>1</v>
      </c>
      <c r="V23" s="4">
        <v>0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>
        <v>0</v>
      </c>
      <c r="BW23" s="4">
        <v>2</v>
      </c>
      <c r="BX23" s="4">
        <v>0</v>
      </c>
      <c r="CL23"/>
      <c r="DN23"/>
      <c r="DO23"/>
      <c r="DP23"/>
      <c r="DQ23"/>
      <c r="DR23"/>
      <c r="DS23"/>
      <c r="DU23"/>
      <c r="DZ23"/>
      <c r="EA23"/>
      <c r="EB23"/>
      <c r="ED23"/>
      <c r="EI23"/>
    </row>
    <row r="24" spans="1:139" x14ac:dyDescent="0.25">
      <c r="A24" s="3" t="s">
        <v>2279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142"/>
      <c r="M24" s="4"/>
      <c r="N24" s="4">
        <v>1</v>
      </c>
      <c r="O24" s="4">
        <v>1</v>
      </c>
      <c r="P24" s="4">
        <v>1</v>
      </c>
      <c r="Q24" s="4"/>
      <c r="R24" s="4"/>
      <c r="S24" s="4"/>
      <c r="T24" s="4">
        <v>3</v>
      </c>
      <c r="U24" s="4">
        <v>3</v>
      </c>
      <c r="V24" s="4">
        <v>0</v>
      </c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>
        <v>4</v>
      </c>
      <c r="BW24" s="4">
        <v>4</v>
      </c>
      <c r="BX24" s="4">
        <v>1</v>
      </c>
      <c r="CL24"/>
      <c r="DN24"/>
      <c r="DO24"/>
      <c r="DP24"/>
      <c r="DQ24"/>
      <c r="DR24"/>
      <c r="DS24"/>
      <c r="DU24"/>
      <c r="DZ24"/>
      <c r="EA24"/>
      <c r="EB24"/>
      <c r="ED24"/>
      <c r="EI24"/>
    </row>
    <row r="25" spans="1:139" x14ac:dyDescent="0.25">
      <c r="A25" s="3" t="s">
        <v>2280</v>
      </c>
      <c r="B25" s="4"/>
      <c r="C25" s="4"/>
      <c r="D25" s="4"/>
      <c r="E25" s="4"/>
      <c r="F25" s="4"/>
      <c r="G25" s="4"/>
      <c r="H25" s="4"/>
      <c r="I25" s="4"/>
      <c r="J25" s="4"/>
      <c r="K25" s="4">
        <v>2</v>
      </c>
      <c r="L25" s="142">
        <v>1</v>
      </c>
      <c r="M25" s="4">
        <v>0</v>
      </c>
      <c r="N25" s="4">
        <v>0</v>
      </c>
      <c r="O25" s="4">
        <v>3</v>
      </c>
      <c r="P25" s="4">
        <v>0</v>
      </c>
      <c r="Q25" s="4">
        <v>0</v>
      </c>
      <c r="R25" s="4">
        <v>1</v>
      </c>
      <c r="S25" s="4">
        <v>0</v>
      </c>
      <c r="T25" s="4">
        <v>4</v>
      </c>
      <c r="U25" s="4">
        <v>5</v>
      </c>
      <c r="V25" s="4">
        <v>0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>
        <v>6</v>
      </c>
      <c r="BW25" s="4">
        <v>10</v>
      </c>
      <c r="BX25" s="4">
        <v>0</v>
      </c>
      <c r="CL25"/>
      <c r="DN25"/>
      <c r="DO25"/>
      <c r="DP25"/>
      <c r="DQ25"/>
      <c r="DR25"/>
      <c r="DS25"/>
      <c r="DU25"/>
      <c r="DZ25"/>
      <c r="EA25"/>
      <c r="EB25"/>
      <c r="ED25"/>
      <c r="EI25"/>
    </row>
    <row r="26" spans="1:139" x14ac:dyDescent="0.25">
      <c r="A26" s="3" t="s">
        <v>550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142"/>
      <c r="M26" s="4"/>
      <c r="N26" s="4">
        <v>0</v>
      </c>
      <c r="O26" s="4">
        <v>0</v>
      </c>
      <c r="P26" s="4">
        <v>3</v>
      </c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>
        <v>0</v>
      </c>
      <c r="BW26" s="4">
        <v>0</v>
      </c>
      <c r="BX26" s="4">
        <v>3</v>
      </c>
      <c r="CL26"/>
      <c r="DN26"/>
      <c r="DO26"/>
      <c r="DP26"/>
      <c r="DQ26"/>
      <c r="DR26"/>
      <c r="DS26"/>
      <c r="DU26"/>
      <c r="DZ26"/>
      <c r="EA26"/>
      <c r="EB26"/>
      <c r="ED26"/>
      <c r="EI26"/>
    </row>
    <row r="27" spans="1:139" x14ac:dyDescent="0.25">
      <c r="A27" s="3" t="s">
        <v>379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142"/>
      <c r="M27" s="4"/>
      <c r="N27" s="4">
        <v>0</v>
      </c>
      <c r="O27" s="4">
        <v>1</v>
      </c>
      <c r="P27" s="4">
        <v>1</v>
      </c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>
        <v>0</v>
      </c>
      <c r="AP27" s="4">
        <v>1</v>
      </c>
      <c r="AQ27" s="4">
        <v>0</v>
      </c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>
        <v>0</v>
      </c>
      <c r="BW27" s="4">
        <v>2</v>
      </c>
      <c r="BX27" s="4">
        <v>1</v>
      </c>
      <c r="CL27"/>
      <c r="DN27"/>
      <c r="DO27"/>
      <c r="DP27"/>
      <c r="DQ27"/>
      <c r="DR27"/>
      <c r="DS27"/>
      <c r="DU27"/>
      <c r="DZ27"/>
      <c r="EA27"/>
      <c r="EB27"/>
      <c r="ED27"/>
      <c r="EI27"/>
    </row>
    <row r="28" spans="1:139" s="143" customFormat="1" x14ac:dyDescent="0.25">
      <c r="A28" s="141" t="s">
        <v>1398</v>
      </c>
      <c r="B28" s="142"/>
      <c r="C28" s="142"/>
      <c r="D28" s="142"/>
      <c r="E28" s="142"/>
      <c r="F28" s="142"/>
      <c r="G28" s="142"/>
      <c r="H28" s="142"/>
      <c r="I28" s="142"/>
      <c r="J28" s="142"/>
      <c r="K28" s="142">
        <v>0</v>
      </c>
      <c r="L28" s="142">
        <v>1</v>
      </c>
      <c r="M28" s="142">
        <v>0</v>
      </c>
      <c r="N28" s="142"/>
      <c r="O28" s="142"/>
      <c r="P28" s="142"/>
      <c r="Q28" s="142"/>
      <c r="R28" s="142"/>
      <c r="S28" s="142"/>
      <c r="T28" s="142">
        <v>1</v>
      </c>
      <c r="U28" s="142">
        <v>0</v>
      </c>
      <c r="V28" s="142">
        <v>0</v>
      </c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>
        <v>1</v>
      </c>
      <c r="BW28" s="142">
        <v>1</v>
      </c>
      <c r="BX28" s="142">
        <v>0</v>
      </c>
    </row>
    <row r="29" spans="1:139" x14ac:dyDescent="0.25">
      <c r="A29" s="3" t="s">
        <v>2282</v>
      </c>
      <c r="B29" s="4"/>
      <c r="C29" s="4"/>
      <c r="D29" s="4"/>
      <c r="E29" s="4"/>
      <c r="F29" s="4"/>
      <c r="G29" s="4"/>
      <c r="H29" s="4"/>
      <c r="I29" s="4"/>
      <c r="J29" s="4"/>
      <c r="K29" s="4">
        <v>0</v>
      </c>
      <c r="L29" s="142">
        <v>1</v>
      </c>
      <c r="M29" s="4">
        <v>1</v>
      </c>
      <c r="N29" s="4">
        <v>3</v>
      </c>
      <c r="O29" s="4">
        <v>3</v>
      </c>
      <c r="P29" s="4">
        <v>0</v>
      </c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>
        <v>0</v>
      </c>
      <c r="AP29" s="4">
        <v>1</v>
      </c>
      <c r="AQ29" s="4">
        <v>0</v>
      </c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>
        <v>3</v>
      </c>
      <c r="BW29" s="4">
        <v>5</v>
      </c>
      <c r="BX29" s="4">
        <v>1</v>
      </c>
      <c r="CL29"/>
      <c r="DN29"/>
      <c r="DO29"/>
      <c r="DP29"/>
      <c r="DQ29"/>
      <c r="DR29"/>
      <c r="DS29"/>
      <c r="DU29"/>
      <c r="DZ29"/>
      <c r="EA29"/>
      <c r="EB29"/>
      <c r="ED29"/>
      <c r="EI29"/>
    </row>
    <row r="30" spans="1:139" x14ac:dyDescent="0.25">
      <c r="A30" s="3" t="s">
        <v>2283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142"/>
      <c r="M30" s="4"/>
      <c r="N30" s="4"/>
      <c r="O30" s="4"/>
      <c r="P30" s="4"/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/>
      <c r="X30" s="4"/>
      <c r="Y30" s="4"/>
      <c r="Z30" s="4"/>
      <c r="AA30" s="4"/>
      <c r="AB30" s="4"/>
      <c r="AC30" s="4"/>
      <c r="AD30" s="4"/>
      <c r="AE30" s="4"/>
      <c r="AF30" s="4">
        <v>0</v>
      </c>
      <c r="AG30" s="4">
        <v>1</v>
      </c>
      <c r="AH30" s="4">
        <v>0</v>
      </c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>
        <v>1</v>
      </c>
      <c r="BW30" s="4">
        <v>2</v>
      </c>
      <c r="BX30" s="4">
        <v>0</v>
      </c>
      <c r="CL30"/>
      <c r="DN30"/>
      <c r="DO30"/>
      <c r="DP30"/>
      <c r="DQ30"/>
      <c r="DR30"/>
      <c r="DS30"/>
      <c r="DU30"/>
      <c r="DZ30"/>
      <c r="EA30"/>
      <c r="EB30"/>
      <c r="ED30"/>
      <c r="EI30"/>
    </row>
    <row r="31" spans="1:139" x14ac:dyDescent="0.25">
      <c r="A31" s="3" t="s">
        <v>2284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142"/>
      <c r="M31" s="4"/>
      <c r="N31" s="4">
        <v>1</v>
      </c>
      <c r="O31" s="4">
        <v>1</v>
      </c>
      <c r="P31" s="4">
        <v>1</v>
      </c>
      <c r="Q31" s="4">
        <v>0</v>
      </c>
      <c r="R31" s="4">
        <v>1</v>
      </c>
      <c r="S31" s="4">
        <v>1</v>
      </c>
      <c r="T31" s="4">
        <v>2</v>
      </c>
      <c r="U31" s="4">
        <v>23</v>
      </c>
      <c r="V31" s="4">
        <v>7</v>
      </c>
      <c r="W31" s="4"/>
      <c r="X31" s="4"/>
      <c r="Y31" s="4"/>
      <c r="Z31" s="4"/>
      <c r="AA31" s="4"/>
      <c r="AB31" s="4"/>
      <c r="AC31" s="4"/>
      <c r="AD31" s="4"/>
      <c r="AE31" s="4"/>
      <c r="AF31" s="4">
        <v>0</v>
      </c>
      <c r="AG31" s="4">
        <v>1</v>
      </c>
      <c r="AH31" s="4">
        <v>0</v>
      </c>
      <c r="AI31" s="4"/>
      <c r="AJ31" s="4"/>
      <c r="AK31" s="4"/>
      <c r="AL31" s="4"/>
      <c r="AM31" s="4"/>
      <c r="AN31" s="4"/>
      <c r="AO31" s="4">
        <v>1</v>
      </c>
      <c r="AP31" s="4">
        <v>0</v>
      </c>
      <c r="AQ31" s="4">
        <v>0</v>
      </c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>
        <v>0</v>
      </c>
      <c r="BT31" s="4">
        <v>1</v>
      </c>
      <c r="BU31" s="4">
        <v>0</v>
      </c>
      <c r="BV31" s="4">
        <v>4</v>
      </c>
      <c r="BW31" s="4">
        <v>27</v>
      </c>
      <c r="BX31" s="4">
        <v>9</v>
      </c>
      <c r="CL31"/>
      <c r="DN31"/>
      <c r="DO31"/>
      <c r="DP31"/>
      <c r="DQ31"/>
      <c r="DR31"/>
      <c r="DS31"/>
      <c r="DU31"/>
      <c r="DZ31"/>
      <c r="EA31"/>
      <c r="EB31"/>
      <c r="ED31"/>
      <c r="EI31"/>
    </row>
    <row r="32" spans="1:139" x14ac:dyDescent="0.25">
      <c r="A32" s="3" t="s">
        <v>1095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142"/>
      <c r="M32" s="4"/>
      <c r="N32" s="4"/>
      <c r="O32" s="4"/>
      <c r="P32" s="4"/>
      <c r="Q32" s="4"/>
      <c r="R32" s="4"/>
      <c r="S32" s="4"/>
      <c r="T32" s="4">
        <v>1</v>
      </c>
      <c r="U32" s="4">
        <v>1</v>
      </c>
      <c r="V32" s="4">
        <v>0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>
        <v>1</v>
      </c>
      <c r="BW32" s="4">
        <v>1</v>
      </c>
      <c r="BX32" s="4">
        <v>0</v>
      </c>
      <c r="CL32"/>
      <c r="DN32"/>
      <c r="DO32"/>
      <c r="DP32"/>
      <c r="DQ32"/>
      <c r="DR32"/>
      <c r="DS32"/>
      <c r="DU32"/>
      <c r="DZ32"/>
      <c r="EA32"/>
      <c r="EB32"/>
      <c r="ED32"/>
      <c r="EI32"/>
    </row>
    <row r="33" spans="1:420" x14ac:dyDescent="0.25">
      <c r="A33" s="3" t="s">
        <v>2285</v>
      </c>
      <c r="B33" s="4"/>
      <c r="C33" s="4"/>
      <c r="D33" s="4"/>
      <c r="E33" s="4"/>
      <c r="F33" s="4"/>
      <c r="G33" s="4"/>
      <c r="H33" s="4"/>
      <c r="I33" s="4"/>
      <c r="J33" s="4"/>
      <c r="K33" s="4">
        <v>5</v>
      </c>
      <c r="L33" s="142">
        <v>3</v>
      </c>
      <c r="M33" s="4">
        <v>4</v>
      </c>
      <c r="N33" s="4">
        <v>2</v>
      </c>
      <c r="O33" s="4">
        <v>3</v>
      </c>
      <c r="P33" s="4">
        <v>4</v>
      </c>
      <c r="Q33" s="4">
        <v>2</v>
      </c>
      <c r="R33" s="4">
        <v>0</v>
      </c>
      <c r="S33" s="4">
        <v>2</v>
      </c>
      <c r="T33" s="4">
        <v>4</v>
      </c>
      <c r="U33" s="4">
        <v>5</v>
      </c>
      <c r="V33" s="4">
        <v>4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>
        <v>0</v>
      </c>
      <c r="AM33" s="4">
        <v>1</v>
      </c>
      <c r="AN33" s="4">
        <v>0</v>
      </c>
      <c r="AO33" s="4">
        <v>0</v>
      </c>
      <c r="AP33" s="4">
        <v>0</v>
      </c>
      <c r="AQ33" s="4">
        <v>1</v>
      </c>
      <c r="AR33" s="4">
        <v>0</v>
      </c>
      <c r="AS33" s="4">
        <v>1</v>
      </c>
      <c r="AT33" s="4">
        <v>0</v>
      </c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>
        <v>0</v>
      </c>
      <c r="BT33" s="4">
        <v>1</v>
      </c>
      <c r="BU33" s="4">
        <v>0</v>
      </c>
      <c r="BV33" s="4">
        <v>13</v>
      </c>
      <c r="BW33" s="4">
        <v>14</v>
      </c>
      <c r="BX33" s="4">
        <v>15</v>
      </c>
      <c r="CL33"/>
      <c r="DN33"/>
      <c r="DO33"/>
      <c r="DP33"/>
      <c r="DQ33"/>
      <c r="DR33"/>
      <c r="DS33"/>
      <c r="DU33"/>
      <c r="DZ33"/>
      <c r="EA33"/>
      <c r="EB33"/>
      <c r="ED33"/>
      <c r="EI33"/>
    </row>
    <row r="34" spans="1:420" x14ac:dyDescent="0.25">
      <c r="A34" s="3" t="s">
        <v>610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142"/>
      <c r="M34" s="4"/>
      <c r="N34" s="4">
        <v>0</v>
      </c>
      <c r="O34" s="4">
        <v>2</v>
      </c>
      <c r="P34" s="4">
        <v>0</v>
      </c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>
        <v>0</v>
      </c>
      <c r="BW34" s="4">
        <v>2</v>
      </c>
      <c r="BX34" s="4">
        <v>0</v>
      </c>
      <c r="CL34"/>
      <c r="DN34"/>
      <c r="DO34"/>
      <c r="DP34"/>
      <c r="DQ34"/>
      <c r="DR34"/>
      <c r="DS34"/>
      <c r="DU34"/>
      <c r="DZ34"/>
      <c r="EA34"/>
      <c r="EB34"/>
      <c r="ED34"/>
      <c r="EI34"/>
    </row>
    <row r="35" spans="1:420" x14ac:dyDescent="0.25">
      <c r="A35" s="3" t="s">
        <v>34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142"/>
      <c r="M35" s="4"/>
      <c r="N35" s="4"/>
      <c r="O35" s="4"/>
      <c r="P35" s="4"/>
      <c r="Q35" s="4">
        <v>0</v>
      </c>
      <c r="R35" s="4">
        <v>1</v>
      </c>
      <c r="S35" s="4">
        <v>0</v>
      </c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>
        <v>0</v>
      </c>
      <c r="AP35" s="4">
        <v>1</v>
      </c>
      <c r="AQ35" s="4">
        <v>0</v>
      </c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>
        <v>0</v>
      </c>
      <c r="BW35" s="4">
        <v>2</v>
      </c>
      <c r="BX35" s="4">
        <v>0</v>
      </c>
      <c r="CL35"/>
      <c r="DN35"/>
      <c r="DO35"/>
      <c r="DP35"/>
      <c r="DQ35"/>
      <c r="DR35"/>
      <c r="DS35"/>
      <c r="DU35"/>
      <c r="DZ35"/>
      <c r="EA35"/>
      <c r="EB35"/>
      <c r="ED35"/>
      <c r="EI35"/>
    </row>
    <row r="36" spans="1:420" x14ac:dyDescent="0.25">
      <c r="A36" s="3" t="s">
        <v>2286</v>
      </c>
      <c r="B36" s="4"/>
      <c r="C36" s="4"/>
      <c r="D36" s="4"/>
      <c r="E36" s="4"/>
      <c r="F36" s="4"/>
      <c r="G36" s="4"/>
      <c r="H36" s="4"/>
      <c r="I36" s="4"/>
      <c r="J36" s="4"/>
      <c r="K36" s="4">
        <v>1</v>
      </c>
      <c r="L36" s="142">
        <v>3</v>
      </c>
      <c r="M36" s="4">
        <v>4</v>
      </c>
      <c r="N36" s="4">
        <v>0</v>
      </c>
      <c r="O36" s="4">
        <v>5</v>
      </c>
      <c r="P36" s="4">
        <v>4</v>
      </c>
      <c r="Q36" s="4">
        <v>0</v>
      </c>
      <c r="R36" s="4">
        <v>1</v>
      </c>
      <c r="S36" s="4">
        <v>1</v>
      </c>
      <c r="T36" s="4">
        <v>0</v>
      </c>
      <c r="U36" s="4">
        <v>8</v>
      </c>
      <c r="V36" s="4">
        <v>2</v>
      </c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>
        <v>1</v>
      </c>
      <c r="BQ36" s="4">
        <v>1</v>
      </c>
      <c r="BR36" s="4">
        <v>0</v>
      </c>
      <c r="BS36" s="4"/>
      <c r="BT36" s="4"/>
      <c r="BU36" s="4"/>
      <c r="BV36" s="4">
        <v>2</v>
      </c>
      <c r="BW36" s="4">
        <v>18</v>
      </c>
      <c r="BX36" s="4">
        <v>11</v>
      </c>
      <c r="CL36"/>
      <c r="DN36"/>
      <c r="DO36"/>
      <c r="DP36"/>
      <c r="DQ36"/>
      <c r="DR36"/>
      <c r="DS36"/>
      <c r="DU36"/>
      <c r="DZ36"/>
      <c r="EA36"/>
      <c r="EB36"/>
      <c r="ED36"/>
      <c r="EI36"/>
    </row>
    <row r="37" spans="1:420" x14ac:dyDescent="0.25">
      <c r="A37" s="3" t="s">
        <v>2295</v>
      </c>
      <c r="B37" s="4"/>
      <c r="C37" s="4"/>
      <c r="D37" s="4"/>
      <c r="E37" s="4"/>
      <c r="F37" s="4"/>
      <c r="G37" s="4"/>
      <c r="H37" s="4"/>
      <c r="I37" s="4"/>
      <c r="J37" s="4"/>
      <c r="K37" s="4">
        <v>0</v>
      </c>
      <c r="L37" s="142">
        <v>1</v>
      </c>
      <c r="M37" s="4">
        <v>0</v>
      </c>
      <c r="N37" s="4">
        <v>0</v>
      </c>
      <c r="O37" s="4">
        <v>1</v>
      </c>
      <c r="P37" s="4">
        <v>0</v>
      </c>
      <c r="Q37" s="4"/>
      <c r="R37" s="4"/>
      <c r="S37" s="4"/>
      <c r="T37" s="4">
        <v>0</v>
      </c>
      <c r="U37" s="4">
        <v>2</v>
      </c>
      <c r="V37" s="4">
        <v>0</v>
      </c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>
        <v>0</v>
      </c>
      <c r="BW37" s="4">
        <v>4</v>
      </c>
      <c r="BX37" s="4">
        <v>0</v>
      </c>
      <c r="CL37"/>
      <c r="DN37"/>
      <c r="DO37"/>
      <c r="DP37"/>
      <c r="DQ37"/>
      <c r="DR37"/>
      <c r="DS37"/>
      <c r="DU37"/>
      <c r="DZ37"/>
      <c r="EA37"/>
      <c r="EB37"/>
      <c r="ED37"/>
      <c r="EI37"/>
    </row>
    <row r="38" spans="1:420" x14ac:dyDescent="0.25">
      <c r="A38" s="3" t="s">
        <v>1100</v>
      </c>
      <c r="B38" s="4"/>
      <c r="C38" s="4"/>
      <c r="D38" s="4"/>
      <c r="E38" s="4"/>
      <c r="F38" s="4"/>
      <c r="G38" s="4"/>
      <c r="H38" s="4"/>
      <c r="I38" s="4"/>
      <c r="J38" s="4"/>
      <c r="K38" s="4">
        <v>0</v>
      </c>
      <c r="L38" s="142">
        <v>2</v>
      </c>
      <c r="M38" s="4">
        <v>0</v>
      </c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>
        <v>0</v>
      </c>
      <c r="BW38" s="4">
        <v>2</v>
      </c>
      <c r="BX38" s="4">
        <v>0</v>
      </c>
      <c r="CL38"/>
      <c r="DN38"/>
      <c r="DO38"/>
      <c r="DP38"/>
      <c r="DQ38"/>
      <c r="DR38"/>
      <c r="DS38"/>
      <c r="DU38"/>
      <c r="DZ38"/>
      <c r="EA38"/>
      <c r="EB38"/>
      <c r="ED38"/>
      <c r="EI38"/>
    </row>
    <row r="39" spans="1:420" x14ac:dyDescent="0.25">
      <c r="A39" s="3" t="s">
        <v>850</v>
      </c>
      <c r="B39" s="4"/>
      <c r="C39" s="4"/>
      <c r="D39" s="4"/>
      <c r="E39" s="4"/>
      <c r="F39" s="4"/>
      <c r="G39" s="4"/>
      <c r="H39" s="4"/>
      <c r="I39" s="4"/>
      <c r="J39" s="4"/>
      <c r="K39" s="4">
        <v>0</v>
      </c>
      <c r="L39" s="142">
        <v>1</v>
      </c>
      <c r="M39" s="4">
        <v>0</v>
      </c>
      <c r="N39" s="4"/>
      <c r="O39" s="4"/>
      <c r="P39" s="4"/>
      <c r="Q39" s="4">
        <v>0</v>
      </c>
      <c r="R39" s="4">
        <v>0</v>
      </c>
      <c r="S39" s="4">
        <v>1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>
        <v>0</v>
      </c>
      <c r="BW39" s="4">
        <v>1</v>
      </c>
      <c r="BX39" s="4">
        <v>1</v>
      </c>
      <c r="CL39"/>
      <c r="DN39"/>
      <c r="DO39"/>
      <c r="DP39"/>
      <c r="DQ39"/>
      <c r="DR39"/>
      <c r="DS39"/>
      <c r="DU39"/>
      <c r="DZ39"/>
      <c r="EA39"/>
      <c r="EB39"/>
      <c r="ED39"/>
      <c r="EI39"/>
    </row>
    <row r="40" spans="1:420" x14ac:dyDescent="0.25">
      <c r="A40" s="3" t="s">
        <v>1167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142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>
        <v>0</v>
      </c>
      <c r="AV40" s="4">
        <v>1</v>
      </c>
      <c r="AW40" s="4">
        <v>0</v>
      </c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>
        <v>0</v>
      </c>
      <c r="BW40" s="4">
        <v>1</v>
      </c>
      <c r="BX40" s="4">
        <v>0</v>
      </c>
      <c r="CL40"/>
      <c r="DN40"/>
      <c r="DO40"/>
      <c r="DP40"/>
      <c r="DQ40"/>
      <c r="DR40"/>
      <c r="DS40"/>
      <c r="DU40"/>
      <c r="DZ40"/>
      <c r="EA40"/>
      <c r="EB40"/>
      <c r="ED40"/>
      <c r="EI40"/>
    </row>
    <row r="41" spans="1:420" x14ac:dyDescent="0.25">
      <c r="A41" s="3" t="s">
        <v>1206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142"/>
      <c r="M41" s="4"/>
      <c r="N41" s="4"/>
      <c r="O41" s="4"/>
      <c r="P41" s="4"/>
      <c r="Q41" s="4"/>
      <c r="R41" s="4"/>
      <c r="S41" s="4"/>
      <c r="T41" s="4">
        <v>0</v>
      </c>
      <c r="U41" s="4">
        <v>1</v>
      </c>
      <c r="V41" s="4">
        <v>0</v>
      </c>
      <c r="W41" s="4"/>
      <c r="X41" s="4"/>
      <c r="Y41" s="4"/>
      <c r="Z41" s="4"/>
      <c r="AA41" s="4"/>
      <c r="AB41" s="4"/>
      <c r="AC41" s="4">
        <v>0</v>
      </c>
      <c r="AD41" s="4">
        <v>0</v>
      </c>
      <c r="AE41" s="4">
        <v>1</v>
      </c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>
        <v>0</v>
      </c>
      <c r="BW41" s="4">
        <v>1</v>
      </c>
      <c r="BX41" s="4">
        <v>1</v>
      </c>
      <c r="CL41"/>
      <c r="DN41"/>
      <c r="DO41"/>
      <c r="DP41"/>
      <c r="DQ41"/>
      <c r="DR41"/>
      <c r="DS41"/>
      <c r="DU41"/>
      <c r="DZ41"/>
      <c r="EA41"/>
      <c r="EB41"/>
      <c r="ED41"/>
      <c r="EI41"/>
    </row>
    <row r="42" spans="1:420" x14ac:dyDescent="0.25">
      <c r="A42" s="3" t="s">
        <v>2287</v>
      </c>
      <c r="B42" s="4"/>
      <c r="C42" s="4"/>
      <c r="D42" s="4"/>
      <c r="E42" s="4"/>
      <c r="F42" s="4"/>
      <c r="G42" s="4"/>
      <c r="H42" s="4"/>
      <c r="I42" s="4"/>
      <c r="J42" s="4"/>
      <c r="K42" s="4">
        <v>3</v>
      </c>
      <c r="L42" s="142">
        <v>3</v>
      </c>
      <c r="M42" s="4">
        <v>2</v>
      </c>
      <c r="N42" s="4">
        <v>0</v>
      </c>
      <c r="O42" s="4">
        <v>3</v>
      </c>
      <c r="P42" s="4">
        <v>4</v>
      </c>
      <c r="Q42" s="4">
        <v>0</v>
      </c>
      <c r="R42" s="4">
        <v>1</v>
      </c>
      <c r="S42" s="4">
        <v>0</v>
      </c>
      <c r="T42" s="4">
        <v>1</v>
      </c>
      <c r="U42" s="4">
        <v>2</v>
      </c>
      <c r="V42" s="4">
        <v>3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>
        <v>1</v>
      </c>
      <c r="AP42" s="4">
        <v>0</v>
      </c>
      <c r="AQ42" s="4">
        <v>0</v>
      </c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>
        <v>5</v>
      </c>
      <c r="BW42" s="4">
        <v>9</v>
      </c>
      <c r="BX42" s="4">
        <v>9</v>
      </c>
      <c r="CL42"/>
      <c r="DN42"/>
      <c r="DO42"/>
      <c r="DP42"/>
      <c r="DQ42"/>
      <c r="DR42"/>
      <c r="DS42"/>
      <c r="DU42"/>
      <c r="DZ42"/>
      <c r="EA42"/>
      <c r="EB42"/>
      <c r="ED42"/>
      <c r="EI42"/>
    </row>
    <row r="43" spans="1:420" x14ac:dyDescent="0.25">
      <c r="A43" s="3" t="s">
        <v>2288</v>
      </c>
      <c r="B43" s="4"/>
      <c r="C43" s="4"/>
      <c r="D43" s="4"/>
      <c r="E43" s="4"/>
      <c r="F43" s="4"/>
      <c r="G43" s="4"/>
      <c r="H43" s="4"/>
      <c r="I43" s="4"/>
      <c r="J43" s="4"/>
      <c r="K43" s="4">
        <v>0</v>
      </c>
      <c r="L43" s="142">
        <v>2</v>
      </c>
      <c r="M43" s="4">
        <v>3</v>
      </c>
      <c r="N43" s="4">
        <v>4</v>
      </c>
      <c r="O43" s="4">
        <v>6</v>
      </c>
      <c r="P43" s="4">
        <v>3</v>
      </c>
      <c r="Q43" s="4">
        <v>0</v>
      </c>
      <c r="R43" s="4">
        <v>0</v>
      </c>
      <c r="S43" s="4">
        <v>1</v>
      </c>
      <c r="T43" s="4">
        <v>16</v>
      </c>
      <c r="U43" s="4">
        <v>17</v>
      </c>
      <c r="V43" s="4">
        <v>8</v>
      </c>
      <c r="W43" s="4"/>
      <c r="X43" s="4"/>
      <c r="Y43" s="4"/>
      <c r="Z43" s="4"/>
      <c r="AA43" s="4"/>
      <c r="AB43" s="4"/>
      <c r="AC43" s="4"/>
      <c r="AD43" s="4"/>
      <c r="AE43" s="4"/>
      <c r="AF43" s="4">
        <v>0</v>
      </c>
      <c r="AG43" s="4">
        <v>0</v>
      </c>
      <c r="AH43" s="4">
        <v>1</v>
      </c>
      <c r="AI43" s="4"/>
      <c r="AJ43" s="4"/>
      <c r="AK43" s="4"/>
      <c r="AL43" s="4">
        <v>0</v>
      </c>
      <c r="AM43" s="4">
        <v>1</v>
      </c>
      <c r="AN43" s="4">
        <v>1</v>
      </c>
      <c r="AO43" s="4">
        <v>0</v>
      </c>
      <c r="AP43" s="4">
        <v>1</v>
      </c>
      <c r="AQ43" s="4">
        <v>0</v>
      </c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>
        <v>0</v>
      </c>
      <c r="BT43" s="4">
        <v>1</v>
      </c>
      <c r="BU43" s="4">
        <v>0</v>
      </c>
      <c r="BV43" s="4">
        <v>20</v>
      </c>
      <c r="BW43" s="4">
        <v>28</v>
      </c>
      <c r="BX43" s="4">
        <v>17</v>
      </c>
      <c r="CL43"/>
      <c r="DN43"/>
      <c r="DO43"/>
      <c r="DP43"/>
      <c r="DQ43"/>
      <c r="DR43"/>
      <c r="DS43"/>
      <c r="DU43"/>
      <c r="DZ43"/>
      <c r="EA43"/>
      <c r="EB43"/>
      <c r="ED43"/>
      <c r="EI43"/>
    </row>
    <row r="44" spans="1:420" x14ac:dyDescent="0.25">
      <c r="A44" s="3" t="s">
        <v>2038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142"/>
      <c r="M44" s="4"/>
      <c r="N44" s="4"/>
      <c r="O44" s="4"/>
      <c r="P44" s="4"/>
      <c r="Q44" s="4"/>
      <c r="R44" s="4"/>
      <c r="S44" s="4"/>
      <c r="T44" s="4">
        <v>1</v>
      </c>
      <c r="U44" s="4">
        <v>0</v>
      </c>
      <c r="V44" s="4">
        <v>0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>
        <v>1</v>
      </c>
      <c r="BW44" s="4">
        <v>0</v>
      </c>
      <c r="BX44" s="4">
        <v>0</v>
      </c>
      <c r="CL44"/>
      <c r="DN44"/>
      <c r="DO44"/>
      <c r="DP44"/>
      <c r="DQ44"/>
      <c r="DR44"/>
      <c r="DS44"/>
      <c r="DU44"/>
      <c r="DZ44"/>
      <c r="EA44"/>
      <c r="EB44"/>
      <c r="ED44"/>
      <c r="EI44"/>
    </row>
    <row r="45" spans="1:420" x14ac:dyDescent="0.25">
      <c r="A45" s="3" t="s">
        <v>2289</v>
      </c>
      <c r="B45" s="4"/>
      <c r="C45" s="4"/>
      <c r="D45" s="4"/>
      <c r="E45" s="4"/>
      <c r="F45" s="4"/>
      <c r="G45" s="4"/>
      <c r="H45" s="4"/>
      <c r="I45" s="4"/>
      <c r="J45" s="4"/>
      <c r="K45" s="4">
        <v>3</v>
      </c>
      <c r="L45" s="142">
        <v>0</v>
      </c>
      <c r="M45" s="4">
        <v>0</v>
      </c>
      <c r="N45" s="4"/>
      <c r="O45" s="4"/>
      <c r="P45" s="4"/>
      <c r="Q45" s="4"/>
      <c r="R45" s="4"/>
      <c r="S45" s="4"/>
      <c r="T45" s="4">
        <v>0</v>
      </c>
      <c r="U45" s="4">
        <v>1</v>
      </c>
      <c r="V45" s="4">
        <v>0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>
        <v>3</v>
      </c>
      <c r="BW45" s="4">
        <v>1</v>
      </c>
      <c r="BX45" s="4">
        <v>0</v>
      </c>
      <c r="CL45"/>
      <c r="DN45"/>
      <c r="DO45"/>
      <c r="DP45"/>
      <c r="DQ45"/>
      <c r="DR45"/>
      <c r="DS45"/>
      <c r="DU45"/>
      <c r="DZ45"/>
      <c r="EA45"/>
      <c r="EB45"/>
      <c r="ED45"/>
      <c r="EI45"/>
    </row>
    <row r="46" spans="1:420" s="101" customFormat="1" x14ac:dyDescent="0.25">
      <c r="A46" s="3" t="s">
        <v>2290</v>
      </c>
      <c r="B46" s="4"/>
      <c r="C46" s="4"/>
      <c r="D46" s="4"/>
      <c r="E46" s="4"/>
      <c r="F46" s="4"/>
      <c r="G46" s="4"/>
      <c r="H46" s="4"/>
      <c r="I46" s="4"/>
      <c r="J46" s="4"/>
      <c r="K46" s="4">
        <v>0</v>
      </c>
      <c r="L46" s="142">
        <v>2</v>
      </c>
      <c r="M46" s="4">
        <v>0</v>
      </c>
      <c r="N46" s="4">
        <v>0</v>
      </c>
      <c r="O46" s="4">
        <v>1</v>
      </c>
      <c r="P46" s="4">
        <v>3</v>
      </c>
      <c r="Q46" s="4"/>
      <c r="R46" s="4"/>
      <c r="S46" s="4"/>
      <c r="T46" s="4">
        <v>2</v>
      </c>
      <c r="U46" s="4">
        <v>11</v>
      </c>
      <c r="V46" s="4">
        <v>2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>
        <v>2</v>
      </c>
      <c r="BW46" s="4">
        <v>14</v>
      </c>
      <c r="BX46" s="4">
        <v>5</v>
      </c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</row>
    <row r="47" spans="1:420" x14ac:dyDescent="0.25">
      <c r="A47" s="3" t="s">
        <v>464</v>
      </c>
      <c r="B47" s="4"/>
      <c r="C47" s="4"/>
      <c r="D47" s="4"/>
      <c r="E47" s="4"/>
      <c r="F47" s="4"/>
      <c r="G47" s="4"/>
      <c r="H47" s="4"/>
      <c r="I47" s="4"/>
      <c r="J47" s="4"/>
      <c r="K47" s="4">
        <v>0</v>
      </c>
      <c r="L47" s="142">
        <v>1</v>
      </c>
      <c r="M47" s="4">
        <v>0</v>
      </c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>
        <v>0</v>
      </c>
      <c r="BW47" s="4">
        <v>1</v>
      </c>
      <c r="BX47" s="4">
        <v>0</v>
      </c>
      <c r="CL47"/>
      <c r="DN47"/>
      <c r="DO47"/>
      <c r="DP47"/>
      <c r="DQ47"/>
      <c r="DR47"/>
      <c r="DS47"/>
      <c r="DU47"/>
      <c r="DZ47"/>
      <c r="EA47"/>
      <c r="EB47"/>
      <c r="ED47"/>
      <c r="EI47"/>
    </row>
    <row r="48" spans="1:420" x14ac:dyDescent="0.25">
      <c r="A48" s="3" t="s">
        <v>281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142"/>
      <c r="M48" s="4"/>
      <c r="N48" s="4">
        <v>0</v>
      </c>
      <c r="O48" s="4">
        <v>2</v>
      </c>
      <c r="P48" s="4">
        <v>0</v>
      </c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>
        <v>0</v>
      </c>
      <c r="BW48" s="4">
        <v>2</v>
      </c>
      <c r="BX48" s="4">
        <v>0</v>
      </c>
      <c r="CL48"/>
      <c r="DN48"/>
      <c r="DO48"/>
      <c r="DP48"/>
      <c r="DQ48"/>
      <c r="DR48"/>
      <c r="DS48"/>
      <c r="DU48"/>
      <c r="DZ48"/>
      <c r="EA48"/>
      <c r="EB48"/>
      <c r="ED48"/>
      <c r="EI48"/>
    </row>
    <row r="49" spans="1:139" x14ac:dyDescent="0.25">
      <c r="A49" s="3" t="s">
        <v>2291</v>
      </c>
      <c r="B49" s="4"/>
      <c r="C49" s="4"/>
      <c r="D49" s="4"/>
      <c r="E49" s="4"/>
      <c r="F49" s="4"/>
      <c r="G49" s="4"/>
      <c r="H49" s="4"/>
      <c r="I49" s="4"/>
      <c r="J49" s="4"/>
      <c r="K49" s="4">
        <v>0</v>
      </c>
      <c r="L49" s="142">
        <v>0</v>
      </c>
      <c r="M49" s="4">
        <v>1</v>
      </c>
      <c r="N49" s="4">
        <v>1</v>
      </c>
      <c r="O49" s="4">
        <v>17</v>
      </c>
      <c r="P49" s="4">
        <v>2</v>
      </c>
      <c r="Q49" s="4"/>
      <c r="R49" s="4"/>
      <c r="S49" s="4"/>
      <c r="T49" s="4">
        <v>4</v>
      </c>
      <c r="U49" s="4">
        <v>5</v>
      </c>
      <c r="V49" s="4">
        <v>2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>
        <v>1</v>
      </c>
      <c r="AP49" s="4">
        <v>0</v>
      </c>
      <c r="AQ49" s="4">
        <v>0</v>
      </c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>
        <v>6</v>
      </c>
      <c r="BW49" s="4">
        <v>22</v>
      </c>
      <c r="BX49" s="4">
        <v>5</v>
      </c>
      <c r="CL49"/>
      <c r="DN49"/>
      <c r="DO49"/>
      <c r="DP49"/>
      <c r="DQ49"/>
      <c r="DR49"/>
      <c r="DS49"/>
      <c r="DU49"/>
      <c r="DZ49"/>
      <c r="EA49"/>
      <c r="EB49"/>
      <c r="ED49"/>
      <c r="EI49"/>
    </row>
    <row r="50" spans="1:139" x14ac:dyDescent="0.25">
      <c r="A50" s="3" t="s">
        <v>1745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142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>
        <v>0</v>
      </c>
      <c r="AG50" s="4">
        <v>1</v>
      </c>
      <c r="AH50" s="4">
        <v>0</v>
      </c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>
        <v>1</v>
      </c>
      <c r="BT50" s="4">
        <v>0</v>
      </c>
      <c r="BU50" s="4">
        <v>0</v>
      </c>
      <c r="BV50" s="4">
        <v>1</v>
      </c>
      <c r="BW50" s="4">
        <v>1</v>
      </c>
      <c r="BX50" s="4">
        <v>0</v>
      </c>
      <c r="CL50"/>
      <c r="DN50"/>
      <c r="DO50"/>
      <c r="DP50"/>
      <c r="DQ50"/>
      <c r="DR50"/>
      <c r="DS50"/>
      <c r="DU50"/>
      <c r="DZ50"/>
      <c r="EA50"/>
      <c r="EB50"/>
      <c r="ED50"/>
      <c r="EI50"/>
    </row>
    <row r="51" spans="1:139" x14ac:dyDescent="0.25">
      <c r="A51" s="3" t="s">
        <v>2069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142"/>
      <c r="M51" s="4"/>
      <c r="N51" s="4">
        <v>0</v>
      </c>
      <c r="O51" s="4">
        <v>1</v>
      </c>
      <c r="P51" s="4">
        <v>0</v>
      </c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>
        <v>0</v>
      </c>
      <c r="BW51" s="4">
        <v>1</v>
      </c>
      <c r="BX51" s="4">
        <v>0</v>
      </c>
      <c r="CL51"/>
      <c r="DN51"/>
      <c r="DO51"/>
      <c r="DP51"/>
      <c r="DQ51"/>
      <c r="DR51"/>
      <c r="DS51"/>
      <c r="DU51"/>
      <c r="DZ51"/>
      <c r="EA51"/>
      <c r="EB51"/>
      <c r="ED51"/>
      <c r="EI51"/>
    </row>
    <row r="52" spans="1:139" x14ac:dyDescent="0.25">
      <c r="A52" s="3" t="s">
        <v>2064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142"/>
      <c r="M52" s="4"/>
      <c r="N52" s="4">
        <v>0</v>
      </c>
      <c r="O52" s="4">
        <v>1</v>
      </c>
      <c r="P52" s="4">
        <v>0</v>
      </c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>
        <v>0</v>
      </c>
      <c r="BW52" s="4">
        <v>1</v>
      </c>
      <c r="BX52" s="4">
        <v>0</v>
      </c>
      <c r="CL52"/>
      <c r="DN52"/>
      <c r="DO52"/>
      <c r="DP52"/>
      <c r="DQ52"/>
      <c r="DR52"/>
      <c r="DS52"/>
      <c r="DU52"/>
      <c r="DZ52"/>
      <c r="EA52"/>
      <c r="EB52"/>
      <c r="ED52"/>
      <c r="EI52"/>
    </row>
    <row r="53" spans="1:139" x14ac:dyDescent="0.25">
      <c r="A53" s="3" t="s">
        <v>2296</v>
      </c>
      <c r="B53" s="4"/>
      <c r="C53" s="4"/>
      <c r="D53" s="4"/>
      <c r="E53" s="4"/>
      <c r="F53" s="4"/>
      <c r="G53" s="4"/>
      <c r="H53" s="4"/>
      <c r="I53" s="4"/>
      <c r="J53" s="4"/>
      <c r="K53" s="4">
        <v>0</v>
      </c>
      <c r="L53" s="142">
        <v>3</v>
      </c>
      <c r="M53" s="4">
        <v>1</v>
      </c>
      <c r="N53" s="4">
        <v>0</v>
      </c>
      <c r="O53" s="4">
        <v>0</v>
      </c>
      <c r="P53" s="4">
        <v>1</v>
      </c>
      <c r="Q53" s="4"/>
      <c r="R53" s="4"/>
      <c r="S53" s="4"/>
      <c r="T53" s="4">
        <v>1</v>
      </c>
      <c r="U53" s="4">
        <v>4</v>
      </c>
      <c r="V53" s="4">
        <v>0</v>
      </c>
      <c r="W53" s="4"/>
      <c r="X53" s="4"/>
      <c r="Y53" s="4"/>
      <c r="Z53" s="4">
        <v>0</v>
      </c>
      <c r="AA53" s="4">
        <v>1</v>
      </c>
      <c r="AB53" s="4">
        <v>0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>
        <v>1</v>
      </c>
      <c r="BW53" s="4">
        <v>8</v>
      </c>
      <c r="BX53" s="4">
        <v>2</v>
      </c>
      <c r="CL53"/>
      <c r="DN53"/>
      <c r="DO53"/>
      <c r="DP53"/>
      <c r="DQ53"/>
      <c r="DR53"/>
      <c r="DS53"/>
      <c r="DU53"/>
      <c r="DZ53"/>
      <c r="EA53"/>
      <c r="EB53"/>
      <c r="ED53"/>
      <c r="EI53"/>
    </row>
    <row r="54" spans="1:139" x14ac:dyDescent="0.25">
      <c r="A54" s="3" t="s">
        <v>884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142"/>
      <c r="M54" s="4"/>
      <c r="N54" s="4">
        <v>0</v>
      </c>
      <c r="O54" s="4">
        <v>1</v>
      </c>
      <c r="P54" s="4">
        <v>0</v>
      </c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>
        <v>0</v>
      </c>
      <c r="BW54" s="4">
        <v>1</v>
      </c>
      <c r="BX54" s="4">
        <v>0</v>
      </c>
      <c r="CL54"/>
      <c r="DN54"/>
      <c r="DO54"/>
      <c r="DP54"/>
      <c r="DQ54"/>
      <c r="DR54"/>
      <c r="DS54"/>
      <c r="DU54"/>
      <c r="DZ54"/>
      <c r="EA54"/>
      <c r="EB54"/>
      <c r="ED54"/>
      <c r="EI54"/>
    </row>
    <row r="55" spans="1:139" x14ac:dyDescent="0.25">
      <c r="A55" s="3" t="s">
        <v>406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142"/>
      <c r="M55" s="4"/>
      <c r="N55" s="4"/>
      <c r="O55" s="4"/>
      <c r="P55" s="4"/>
      <c r="Q55" s="4"/>
      <c r="R55" s="4"/>
      <c r="S55" s="4"/>
      <c r="T55" s="4">
        <v>0</v>
      </c>
      <c r="U55" s="4">
        <v>2</v>
      </c>
      <c r="V55" s="4">
        <v>0</v>
      </c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>
        <v>0</v>
      </c>
      <c r="BW55" s="4">
        <v>2</v>
      </c>
      <c r="BX55" s="4">
        <v>0</v>
      </c>
      <c r="CL55"/>
      <c r="DN55"/>
      <c r="DO55"/>
      <c r="DP55"/>
      <c r="DQ55"/>
      <c r="DR55"/>
      <c r="DS55"/>
      <c r="DU55"/>
      <c r="DZ55"/>
      <c r="EA55"/>
      <c r="EB55"/>
      <c r="ED55"/>
      <c r="EI55"/>
    </row>
    <row r="56" spans="1:139" x14ac:dyDescent="0.25">
      <c r="A56" s="3" t="s">
        <v>1905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142"/>
      <c r="M56" s="4"/>
      <c r="N56" s="4">
        <v>0</v>
      </c>
      <c r="O56" s="4">
        <v>1</v>
      </c>
      <c r="P56" s="4">
        <v>0</v>
      </c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>
        <v>0</v>
      </c>
      <c r="BT56" s="4">
        <v>1</v>
      </c>
      <c r="BU56" s="4">
        <v>0</v>
      </c>
      <c r="BV56" s="4">
        <v>0</v>
      </c>
      <c r="BW56" s="4">
        <v>2</v>
      </c>
      <c r="BX56" s="4">
        <v>0</v>
      </c>
      <c r="CL56"/>
      <c r="DN56"/>
      <c r="DO56"/>
      <c r="DP56"/>
      <c r="DQ56"/>
      <c r="DR56"/>
      <c r="DS56"/>
      <c r="DU56"/>
      <c r="DZ56"/>
      <c r="EA56"/>
      <c r="EB56"/>
      <c r="ED56"/>
      <c r="EI56"/>
    </row>
    <row r="57" spans="1:139" x14ac:dyDescent="0.25">
      <c r="A57" s="3" t="s">
        <v>707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142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>
        <v>0</v>
      </c>
      <c r="AM57" s="4">
        <v>1</v>
      </c>
      <c r="AN57" s="4">
        <v>0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>
        <v>0</v>
      </c>
      <c r="BW57" s="4">
        <v>1</v>
      </c>
      <c r="BX57" s="4">
        <v>0</v>
      </c>
      <c r="CL57"/>
      <c r="DN57"/>
      <c r="DO57"/>
      <c r="DP57"/>
      <c r="DQ57"/>
      <c r="DR57"/>
      <c r="DS57"/>
      <c r="DU57"/>
      <c r="DZ57"/>
      <c r="EA57"/>
      <c r="EB57"/>
      <c r="ED57"/>
      <c r="EI57"/>
    </row>
    <row r="58" spans="1:139" x14ac:dyDescent="0.25">
      <c r="A58" s="3" t="s">
        <v>1140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142"/>
      <c r="M58" s="4"/>
      <c r="N58" s="4"/>
      <c r="O58" s="4"/>
      <c r="P58" s="4"/>
      <c r="Q58" s="4"/>
      <c r="R58" s="4"/>
      <c r="S58" s="4"/>
      <c r="T58" s="4">
        <v>0</v>
      </c>
      <c r="U58" s="4">
        <v>1</v>
      </c>
      <c r="V58" s="4">
        <v>0</v>
      </c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>
        <v>0</v>
      </c>
      <c r="AP58" s="4">
        <v>1</v>
      </c>
      <c r="AQ58" s="4">
        <v>0</v>
      </c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>
        <v>0</v>
      </c>
      <c r="BW58" s="4">
        <v>2</v>
      </c>
      <c r="BX58" s="4">
        <v>0</v>
      </c>
      <c r="CL58"/>
      <c r="DN58"/>
      <c r="DO58"/>
      <c r="DP58"/>
      <c r="DQ58"/>
      <c r="DR58"/>
      <c r="DS58"/>
      <c r="DU58"/>
      <c r="DZ58"/>
      <c r="EA58"/>
      <c r="EB58"/>
      <c r="ED58"/>
      <c r="EI58"/>
    </row>
    <row r="59" spans="1:139" x14ac:dyDescent="0.25">
      <c r="A59" s="3" t="s">
        <v>1728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142"/>
      <c r="M59" s="4"/>
      <c r="N59" s="4">
        <v>0</v>
      </c>
      <c r="O59" s="4">
        <v>1</v>
      </c>
      <c r="P59" s="4">
        <v>0</v>
      </c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>
        <v>0</v>
      </c>
      <c r="BW59" s="4">
        <v>1</v>
      </c>
      <c r="BX59" s="4">
        <v>0</v>
      </c>
      <c r="CL59"/>
      <c r="DN59"/>
      <c r="DO59"/>
      <c r="DP59"/>
      <c r="DQ59"/>
      <c r="DR59"/>
      <c r="DS59"/>
      <c r="DU59"/>
      <c r="DZ59"/>
      <c r="EA59"/>
      <c r="EB59"/>
      <c r="ED59"/>
      <c r="EI59"/>
    </row>
    <row r="60" spans="1:139" x14ac:dyDescent="0.25">
      <c r="A60" s="3" t="s">
        <v>2297</v>
      </c>
      <c r="B60" s="4"/>
      <c r="C60" s="4"/>
      <c r="D60" s="4"/>
      <c r="E60" s="4"/>
      <c r="F60" s="4"/>
      <c r="G60" s="4"/>
      <c r="H60" s="4"/>
      <c r="I60" s="4"/>
      <c r="J60" s="4"/>
      <c r="K60" s="4">
        <v>1</v>
      </c>
      <c r="L60" s="142">
        <v>1</v>
      </c>
      <c r="M60" s="4">
        <v>3</v>
      </c>
      <c r="N60" s="4"/>
      <c r="O60" s="4"/>
      <c r="P60" s="4"/>
      <c r="Q60" s="4"/>
      <c r="R60" s="4"/>
      <c r="S60" s="4"/>
      <c r="T60" s="4">
        <v>2</v>
      </c>
      <c r="U60" s="4">
        <v>3</v>
      </c>
      <c r="V60" s="4">
        <v>0</v>
      </c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>
        <v>0</v>
      </c>
      <c r="AP60" s="4">
        <v>1</v>
      </c>
      <c r="AQ60" s="4">
        <v>0</v>
      </c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>
        <v>3</v>
      </c>
      <c r="BW60" s="4">
        <v>5</v>
      </c>
      <c r="BX60" s="4">
        <v>3</v>
      </c>
      <c r="CL60"/>
      <c r="DN60"/>
      <c r="DO60"/>
      <c r="DP60"/>
      <c r="DQ60"/>
      <c r="DR60"/>
      <c r="DS60"/>
      <c r="DU60"/>
      <c r="DZ60"/>
      <c r="EA60"/>
      <c r="EB60"/>
      <c r="ED60"/>
      <c r="EI60"/>
    </row>
    <row r="61" spans="1:139" x14ac:dyDescent="0.25">
      <c r="A61" s="3" t="s">
        <v>1986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142"/>
      <c r="M61" s="4"/>
      <c r="N61" s="4">
        <v>0</v>
      </c>
      <c r="O61" s="4">
        <v>1</v>
      </c>
      <c r="P61" s="4">
        <v>0</v>
      </c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>
        <v>0</v>
      </c>
      <c r="BW61" s="4">
        <v>1</v>
      </c>
      <c r="BX61" s="4">
        <v>0</v>
      </c>
      <c r="CL61"/>
      <c r="DN61"/>
      <c r="DO61"/>
      <c r="DP61"/>
      <c r="DQ61"/>
      <c r="DR61"/>
      <c r="DS61"/>
      <c r="DU61"/>
      <c r="DZ61"/>
      <c r="EA61"/>
      <c r="EB61"/>
      <c r="ED61"/>
      <c r="EI61"/>
    </row>
    <row r="62" spans="1:139" x14ac:dyDescent="0.25">
      <c r="A62" s="3" t="s">
        <v>1132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142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>
        <v>0</v>
      </c>
      <c r="AY62" s="4">
        <v>1</v>
      </c>
      <c r="AZ62" s="4">
        <v>0</v>
      </c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>
        <v>0</v>
      </c>
      <c r="BW62" s="4">
        <v>1</v>
      </c>
      <c r="BX62" s="4">
        <v>0</v>
      </c>
      <c r="CL62"/>
      <c r="DN62"/>
      <c r="DO62"/>
      <c r="DP62"/>
      <c r="DQ62"/>
      <c r="DR62"/>
      <c r="DS62"/>
      <c r="DU62"/>
      <c r="DZ62"/>
      <c r="EA62"/>
      <c r="EB62"/>
      <c r="ED62"/>
      <c r="EI62"/>
    </row>
    <row r="63" spans="1:139" x14ac:dyDescent="0.25">
      <c r="A63" s="3" t="s">
        <v>1415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142"/>
      <c r="M63" s="4"/>
      <c r="N63" s="4"/>
      <c r="O63" s="4"/>
      <c r="P63" s="4"/>
      <c r="Q63" s="4">
        <v>1</v>
      </c>
      <c r="R63" s="4">
        <v>0</v>
      </c>
      <c r="S63" s="4">
        <v>0</v>
      </c>
      <c r="T63" s="4">
        <v>1</v>
      </c>
      <c r="U63" s="4">
        <v>0</v>
      </c>
      <c r="V63" s="4">
        <v>0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>
        <v>2</v>
      </c>
      <c r="BW63" s="4">
        <v>0</v>
      </c>
      <c r="BX63" s="4">
        <v>0</v>
      </c>
      <c r="CL63"/>
      <c r="DN63"/>
      <c r="DO63"/>
      <c r="DP63"/>
      <c r="DQ63"/>
      <c r="DR63"/>
      <c r="DS63"/>
      <c r="DU63"/>
      <c r="DZ63"/>
      <c r="EA63"/>
      <c r="EB63"/>
      <c r="ED63"/>
      <c r="EI63"/>
    </row>
    <row r="64" spans="1:139" x14ac:dyDescent="0.25">
      <c r="A64" s="3" t="s">
        <v>768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142"/>
      <c r="M64" s="4"/>
      <c r="N64" s="4">
        <v>0</v>
      </c>
      <c r="O64" s="4">
        <v>0</v>
      </c>
      <c r="P64" s="4">
        <v>1</v>
      </c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>
        <v>0</v>
      </c>
      <c r="BW64" s="4">
        <v>0</v>
      </c>
      <c r="BX64" s="4">
        <v>1</v>
      </c>
      <c r="CL64"/>
      <c r="DN64"/>
      <c r="DO64"/>
      <c r="DP64"/>
      <c r="DQ64"/>
      <c r="DR64"/>
      <c r="DS64"/>
      <c r="DU64"/>
      <c r="DZ64"/>
      <c r="EA64"/>
      <c r="EB64"/>
      <c r="ED64"/>
      <c r="EI64"/>
    </row>
    <row r="65" spans="1:139" x14ac:dyDescent="0.25">
      <c r="A65" s="3" t="s">
        <v>495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142"/>
      <c r="M65" s="4"/>
      <c r="N65" s="4"/>
      <c r="O65" s="4"/>
      <c r="P65" s="4"/>
      <c r="Q65" s="4">
        <v>0</v>
      </c>
      <c r="R65" s="4">
        <v>1</v>
      </c>
      <c r="S65" s="4">
        <v>0</v>
      </c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>
        <v>0</v>
      </c>
      <c r="BW65" s="4">
        <v>1</v>
      </c>
      <c r="BX65" s="4">
        <v>0</v>
      </c>
      <c r="CL65"/>
      <c r="DN65"/>
      <c r="DO65"/>
      <c r="DP65"/>
      <c r="DQ65"/>
      <c r="DR65"/>
      <c r="DS65"/>
      <c r="DU65"/>
      <c r="DZ65"/>
      <c r="EA65"/>
      <c r="EB65"/>
      <c r="ED65"/>
      <c r="EI65"/>
    </row>
    <row r="66" spans="1:139" x14ac:dyDescent="0.25">
      <c r="A66" s="3" t="s">
        <v>1290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142"/>
      <c r="M66" s="4"/>
      <c r="N66" s="4"/>
      <c r="O66" s="4"/>
      <c r="P66" s="4"/>
      <c r="Q66" s="4"/>
      <c r="R66" s="4"/>
      <c r="S66" s="4"/>
      <c r="T66" s="4">
        <v>0</v>
      </c>
      <c r="U66" s="4">
        <v>1</v>
      </c>
      <c r="V66" s="4">
        <v>0</v>
      </c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>
        <v>0</v>
      </c>
      <c r="BW66" s="4">
        <v>1</v>
      </c>
      <c r="BX66" s="4">
        <v>0</v>
      </c>
      <c r="CL66"/>
      <c r="DN66"/>
      <c r="DO66"/>
      <c r="DP66"/>
      <c r="DQ66"/>
      <c r="DR66"/>
      <c r="DS66"/>
      <c r="DU66"/>
      <c r="DZ66"/>
      <c r="EA66"/>
      <c r="EB66"/>
      <c r="ED66"/>
      <c r="EI66"/>
    </row>
    <row r="67" spans="1:139" x14ac:dyDescent="0.25">
      <c r="A67" s="3" t="s">
        <v>1287</v>
      </c>
      <c r="B67" s="4"/>
      <c r="C67" s="4"/>
      <c r="D67" s="4"/>
      <c r="E67" s="4"/>
      <c r="F67" s="4"/>
      <c r="G67" s="4"/>
      <c r="H67" s="4"/>
      <c r="I67" s="4"/>
      <c r="J67" s="4"/>
      <c r="K67" s="4">
        <v>1</v>
      </c>
      <c r="L67" s="142">
        <v>0</v>
      </c>
      <c r="M67" s="4">
        <v>0</v>
      </c>
      <c r="N67" s="4"/>
      <c r="O67" s="4"/>
      <c r="P67" s="4"/>
      <c r="Q67" s="4">
        <v>0</v>
      </c>
      <c r="R67" s="4">
        <v>1</v>
      </c>
      <c r="S67" s="4">
        <v>0</v>
      </c>
      <c r="T67" s="4">
        <v>0</v>
      </c>
      <c r="U67" s="4">
        <v>1</v>
      </c>
      <c r="V67" s="4">
        <v>0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>
        <v>1</v>
      </c>
      <c r="BW67" s="4">
        <v>2</v>
      </c>
      <c r="BX67" s="4">
        <v>0</v>
      </c>
      <c r="CL67"/>
      <c r="DN67"/>
      <c r="DO67"/>
      <c r="DP67"/>
      <c r="DQ67"/>
      <c r="DR67"/>
      <c r="DS67"/>
      <c r="DU67"/>
      <c r="DZ67"/>
      <c r="EA67"/>
      <c r="EB67"/>
      <c r="ED67"/>
      <c r="EI67"/>
    </row>
    <row r="68" spans="1:139" x14ac:dyDescent="0.25">
      <c r="A68" s="3" t="s">
        <v>76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142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>
        <v>0</v>
      </c>
      <c r="BQ68" s="4">
        <v>1</v>
      </c>
      <c r="BR68" s="4">
        <v>0</v>
      </c>
      <c r="BS68" s="4"/>
      <c r="BT68" s="4"/>
      <c r="BU68" s="4"/>
      <c r="BV68" s="4">
        <v>0</v>
      </c>
      <c r="BW68" s="4">
        <v>1</v>
      </c>
      <c r="BX68" s="4">
        <v>0</v>
      </c>
      <c r="CL68"/>
      <c r="DN68"/>
      <c r="DO68"/>
      <c r="DP68"/>
      <c r="DQ68"/>
      <c r="DR68"/>
      <c r="DS68"/>
      <c r="DU68"/>
      <c r="DZ68"/>
      <c r="EA68"/>
      <c r="EB68"/>
      <c r="ED68"/>
      <c r="EI68"/>
    </row>
    <row r="69" spans="1:139" x14ac:dyDescent="0.25">
      <c r="A69" s="3" t="s">
        <v>416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142"/>
      <c r="M69" s="4"/>
      <c r="N69" s="4">
        <v>0</v>
      </c>
      <c r="O69" s="4">
        <v>1</v>
      </c>
      <c r="P69" s="4">
        <v>0</v>
      </c>
      <c r="Q69" s="4">
        <v>0</v>
      </c>
      <c r="R69" s="4">
        <v>1</v>
      </c>
      <c r="S69" s="4">
        <v>0</v>
      </c>
      <c r="T69" s="4">
        <v>0</v>
      </c>
      <c r="U69" s="4">
        <v>1</v>
      </c>
      <c r="V69" s="4">
        <v>0</v>
      </c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>
        <v>0</v>
      </c>
      <c r="BW69" s="4">
        <v>3</v>
      </c>
      <c r="BX69" s="4">
        <v>0</v>
      </c>
      <c r="CL69"/>
      <c r="DN69"/>
      <c r="DO69"/>
      <c r="DP69"/>
      <c r="DQ69"/>
      <c r="DR69"/>
      <c r="DS69"/>
      <c r="DU69"/>
      <c r="DZ69"/>
      <c r="EA69"/>
      <c r="EB69"/>
      <c r="ED69"/>
      <c r="EI69"/>
    </row>
    <row r="70" spans="1:139" x14ac:dyDescent="0.25">
      <c r="A70" s="3" t="s">
        <v>212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142"/>
      <c r="M70" s="4"/>
      <c r="N70" s="4">
        <v>0</v>
      </c>
      <c r="O70" s="4">
        <v>1</v>
      </c>
      <c r="P70" s="4">
        <v>0</v>
      </c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>
        <v>0</v>
      </c>
      <c r="BW70" s="4">
        <v>1</v>
      </c>
      <c r="BX70" s="4">
        <v>0</v>
      </c>
      <c r="CL70"/>
      <c r="DN70"/>
      <c r="DO70"/>
      <c r="DP70"/>
      <c r="DQ70"/>
      <c r="DR70"/>
      <c r="DS70"/>
      <c r="DU70"/>
      <c r="DZ70"/>
      <c r="EA70"/>
      <c r="EB70"/>
      <c r="ED70"/>
      <c r="EI70"/>
    </row>
    <row r="71" spans="1:139" x14ac:dyDescent="0.25">
      <c r="A71" s="3" t="s">
        <v>71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142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>
        <v>1</v>
      </c>
      <c r="BQ71" s="4">
        <v>1</v>
      </c>
      <c r="BR71" s="4">
        <v>0</v>
      </c>
      <c r="BS71" s="4"/>
      <c r="BT71" s="4"/>
      <c r="BU71" s="4"/>
      <c r="BV71" s="4">
        <v>1</v>
      </c>
      <c r="BW71" s="4">
        <v>1</v>
      </c>
      <c r="BX71" s="4">
        <v>0</v>
      </c>
      <c r="CL71"/>
      <c r="DN71"/>
      <c r="DO71"/>
      <c r="DP71"/>
      <c r="DQ71"/>
      <c r="DR71"/>
      <c r="DS71"/>
      <c r="DU71"/>
      <c r="DZ71"/>
      <c r="EA71"/>
      <c r="EB71"/>
      <c r="ED71"/>
      <c r="EI71"/>
    </row>
    <row r="72" spans="1:139" x14ac:dyDescent="0.25">
      <c r="A72" s="3" t="s">
        <v>509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142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>
        <v>0</v>
      </c>
      <c r="AV72" s="4">
        <v>3</v>
      </c>
      <c r="AW72" s="4">
        <v>0</v>
      </c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>
        <v>0</v>
      </c>
      <c r="BW72" s="4">
        <v>3</v>
      </c>
      <c r="BX72" s="4">
        <v>0</v>
      </c>
      <c r="CL72"/>
      <c r="DN72"/>
      <c r="DO72"/>
      <c r="DP72"/>
      <c r="DQ72"/>
      <c r="DR72"/>
      <c r="DS72"/>
      <c r="DU72"/>
      <c r="DZ72"/>
      <c r="EA72"/>
      <c r="EB72"/>
      <c r="ED72"/>
      <c r="EI72"/>
    </row>
    <row r="73" spans="1:139" x14ac:dyDescent="0.25">
      <c r="A73" s="3" t="s">
        <v>518</v>
      </c>
      <c r="B73" s="4"/>
      <c r="C73" s="4"/>
      <c r="D73" s="4"/>
      <c r="E73" s="4"/>
      <c r="F73" s="4"/>
      <c r="G73" s="4"/>
      <c r="H73" s="4"/>
      <c r="I73" s="4"/>
      <c r="J73" s="4"/>
      <c r="K73" s="4">
        <v>0</v>
      </c>
      <c r="L73" s="142">
        <v>0</v>
      </c>
      <c r="M73" s="4">
        <v>1</v>
      </c>
      <c r="N73" s="4">
        <v>0</v>
      </c>
      <c r="O73" s="4">
        <v>0</v>
      </c>
      <c r="P73" s="4">
        <v>1</v>
      </c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>
        <v>0</v>
      </c>
      <c r="BW73" s="4">
        <v>0</v>
      </c>
      <c r="BX73" s="4">
        <v>2</v>
      </c>
      <c r="CL73"/>
      <c r="DN73"/>
      <c r="DO73"/>
      <c r="DP73"/>
      <c r="DQ73"/>
      <c r="DR73"/>
      <c r="DS73"/>
      <c r="DU73"/>
      <c r="DZ73"/>
      <c r="EA73"/>
      <c r="EB73"/>
      <c r="ED73"/>
      <c r="EI73"/>
    </row>
    <row r="74" spans="1:139" x14ac:dyDescent="0.25">
      <c r="A74" s="3" t="s">
        <v>446</v>
      </c>
      <c r="B74" s="4"/>
      <c r="C74" s="4"/>
      <c r="D74" s="4"/>
      <c r="E74" s="4"/>
      <c r="F74" s="4"/>
      <c r="G74" s="4"/>
      <c r="H74" s="4"/>
      <c r="I74" s="4"/>
      <c r="J74" s="4"/>
      <c r="K74" s="4">
        <v>0</v>
      </c>
      <c r="L74" s="142">
        <v>1</v>
      </c>
      <c r="M74" s="4">
        <v>0</v>
      </c>
      <c r="N74" s="4">
        <v>0</v>
      </c>
      <c r="O74" s="4">
        <v>1</v>
      </c>
      <c r="P74" s="4">
        <v>0</v>
      </c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>
        <v>0</v>
      </c>
      <c r="AD74" s="4">
        <v>1</v>
      </c>
      <c r="AE74" s="4">
        <v>0</v>
      </c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>
        <v>0</v>
      </c>
      <c r="BW74" s="4">
        <v>3</v>
      </c>
      <c r="BX74" s="4">
        <v>0</v>
      </c>
      <c r="CL74"/>
      <c r="DN74"/>
      <c r="DO74"/>
      <c r="DP74"/>
      <c r="DQ74"/>
      <c r="DR74"/>
      <c r="DS74"/>
      <c r="DU74"/>
      <c r="DZ74"/>
      <c r="EA74"/>
      <c r="EB74"/>
      <c r="ED74"/>
      <c r="EI74"/>
    </row>
    <row r="75" spans="1:139" x14ac:dyDescent="0.25">
      <c r="A75" s="3" t="s">
        <v>1468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142"/>
      <c r="M75" s="4"/>
      <c r="N75" s="4">
        <v>0</v>
      </c>
      <c r="O75" s="4">
        <v>1</v>
      </c>
      <c r="P75" s="4">
        <v>0</v>
      </c>
      <c r="Q75" s="4"/>
      <c r="R75" s="4"/>
      <c r="S75" s="4"/>
      <c r="T75" s="4">
        <v>1</v>
      </c>
      <c r="U75" s="4">
        <v>0</v>
      </c>
      <c r="V75" s="4">
        <v>0</v>
      </c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>
        <v>1</v>
      </c>
      <c r="BW75" s="4">
        <v>1</v>
      </c>
      <c r="BX75" s="4">
        <v>0</v>
      </c>
      <c r="CL75"/>
      <c r="DN75"/>
      <c r="DO75"/>
      <c r="DP75"/>
      <c r="DQ75"/>
      <c r="DR75"/>
      <c r="DS75"/>
      <c r="DU75"/>
      <c r="DZ75"/>
      <c r="EA75"/>
      <c r="EB75"/>
      <c r="ED75"/>
      <c r="EI75"/>
    </row>
    <row r="76" spans="1:139" x14ac:dyDescent="0.25">
      <c r="A76" s="3" t="s">
        <v>1809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142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>
        <v>0</v>
      </c>
      <c r="AM76" s="4">
        <v>1</v>
      </c>
      <c r="AN76" s="4">
        <v>0</v>
      </c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>
        <v>0</v>
      </c>
      <c r="BW76" s="4">
        <v>1</v>
      </c>
      <c r="BX76" s="4">
        <v>0</v>
      </c>
      <c r="CL76"/>
      <c r="DN76"/>
      <c r="DO76"/>
      <c r="DP76"/>
      <c r="DQ76"/>
      <c r="DR76"/>
      <c r="DS76"/>
      <c r="DU76"/>
      <c r="DZ76"/>
      <c r="EA76"/>
      <c r="EB76"/>
      <c r="ED76"/>
      <c r="EI76"/>
    </row>
    <row r="77" spans="1:139" x14ac:dyDescent="0.25">
      <c r="A77" s="3" t="s">
        <v>916</v>
      </c>
      <c r="B77" s="4"/>
      <c r="C77" s="4"/>
      <c r="D77" s="4"/>
      <c r="E77" s="4"/>
      <c r="F77" s="4"/>
      <c r="G77" s="4"/>
      <c r="H77" s="4"/>
      <c r="I77" s="4"/>
      <c r="J77" s="4"/>
      <c r="K77" s="4">
        <v>1</v>
      </c>
      <c r="L77" s="142">
        <v>0</v>
      </c>
      <c r="M77" s="4">
        <v>0</v>
      </c>
      <c r="N77" s="4"/>
      <c r="O77" s="4"/>
      <c r="P77" s="4"/>
      <c r="Q77" s="4">
        <v>0</v>
      </c>
      <c r="R77" s="4">
        <v>0</v>
      </c>
      <c r="S77" s="4">
        <v>1</v>
      </c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>
        <v>1</v>
      </c>
      <c r="BW77" s="4">
        <v>0</v>
      </c>
      <c r="BX77" s="4">
        <v>1</v>
      </c>
      <c r="CL77"/>
      <c r="DN77"/>
      <c r="DO77"/>
      <c r="DP77"/>
      <c r="DQ77"/>
      <c r="DR77"/>
      <c r="DS77"/>
      <c r="DU77"/>
      <c r="DZ77"/>
      <c r="EA77"/>
      <c r="EB77"/>
      <c r="ED77"/>
      <c r="EI77"/>
    </row>
    <row r="78" spans="1:139" x14ac:dyDescent="0.25">
      <c r="A78" s="3" t="s">
        <v>468</v>
      </c>
      <c r="B78" s="4"/>
      <c r="C78" s="4"/>
      <c r="D78" s="4"/>
      <c r="E78" s="4"/>
      <c r="F78" s="4"/>
      <c r="G78" s="4"/>
      <c r="H78" s="4"/>
      <c r="I78" s="4"/>
      <c r="J78" s="4"/>
      <c r="K78" s="4">
        <v>0</v>
      </c>
      <c r="L78" s="142">
        <v>3</v>
      </c>
      <c r="M78" s="4">
        <v>0</v>
      </c>
      <c r="N78" s="4">
        <v>1</v>
      </c>
      <c r="O78" s="4">
        <v>3</v>
      </c>
      <c r="P78" s="4">
        <v>0</v>
      </c>
      <c r="Q78" s="4">
        <v>1</v>
      </c>
      <c r="R78" s="4">
        <v>0</v>
      </c>
      <c r="S78" s="4">
        <v>0</v>
      </c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>
        <v>2</v>
      </c>
      <c r="BW78" s="4">
        <v>6</v>
      </c>
      <c r="BX78" s="4">
        <v>0</v>
      </c>
      <c r="CL78"/>
      <c r="DN78"/>
      <c r="DO78"/>
      <c r="DP78"/>
      <c r="DQ78"/>
      <c r="DR78"/>
      <c r="DS78"/>
      <c r="DU78"/>
      <c r="DZ78"/>
      <c r="EA78"/>
      <c r="EB78"/>
      <c r="ED78"/>
      <c r="EI78"/>
    </row>
    <row r="79" spans="1:139" x14ac:dyDescent="0.25">
      <c r="A79" s="3" t="s">
        <v>1153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142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>
        <v>0</v>
      </c>
      <c r="AY79" s="4">
        <v>1</v>
      </c>
      <c r="AZ79" s="4">
        <v>0</v>
      </c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>
        <v>0</v>
      </c>
      <c r="BW79" s="4">
        <v>1</v>
      </c>
      <c r="BX79" s="4">
        <v>0</v>
      </c>
      <c r="CL79"/>
      <c r="DN79"/>
      <c r="DO79"/>
      <c r="DP79"/>
      <c r="DQ79"/>
      <c r="DR79"/>
      <c r="DS79"/>
      <c r="DU79"/>
      <c r="DZ79"/>
      <c r="EA79"/>
      <c r="EB79"/>
      <c r="ED79"/>
      <c r="EI79"/>
    </row>
    <row r="80" spans="1:139" x14ac:dyDescent="0.25">
      <c r="A80" s="3" t="s">
        <v>2298</v>
      </c>
      <c r="B80" s="4"/>
      <c r="C80" s="4"/>
      <c r="D80" s="4"/>
      <c r="E80" s="4"/>
      <c r="F80" s="4"/>
      <c r="G80" s="4"/>
      <c r="H80" s="4"/>
      <c r="I80" s="4"/>
      <c r="J80" s="4"/>
      <c r="K80" s="4">
        <v>3</v>
      </c>
      <c r="L80" s="142">
        <v>6</v>
      </c>
      <c r="M80" s="4">
        <v>0</v>
      </c>
      <c r="N80" s="4">
        <v>0</v>
      </c>
      <c r="O80" s="4">
        <v>6</v>
      </c>
      <c r="P80" s="4">
        <v>0</v>
      </c>
      <c r="Q80" s="4">
        <v>0</v>
      </c>
      <c r="R80" s="4">
        <v>1</v>
      </c>
      <c r="S80" s="4">
        <v>0</v>
      </c>
      <c r="T80" s="4">
        <v>1</v>
      </c>
      <c r="U80" s="4">
        <v>2</v>
      </c>
      <c r="V80" s="4">
        <v>0</v>
      </c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>
        <v>4</v>
      </c>
      <c r="BW80" s="4">
        <v>15</v>
      </c>
      <c r="BX80" s="4">
        <v>0</v>
      </c>
      <c r="CL80"/>
      <c r="DN80"/>
      <c r="DO80"/>
      <c r="DP80"/>
      <c r="DQ80"/>
      <c r="DR80"/>
      <c r="DS80"/>
      <c r="DU80"/>
      <c r="DZ80"/>
      <c r="EA80"/>
      <c r="EB80"/>
      <c r="ED80"/>
      <c r="EI80"/>
    </row>
    <row r="81" spans="1:139" x14ac:dyDescent="0.25">
      <c r="A81" s="3" t="s">
        <v>717</v>
      </c>
      <c r="B81" s="4"/>
      <c r="C81" s="4"/>
      <c r="D81" s="4"/>
      <c r="E81" s="4">
        <v>0</v>
      </c>
      <c r="F81" s="4">
        <v>1</v>
      </c>
      <c r="G81" s="4">
        <v>0</v>
      </c>
      <c r="H81" s="4"/>
      <c r="I81" s="4"/>
      <c r="J81" s="4"/>
      <c r="K81" s="4">
        <v>0</v>
      </c>
      <c r="L81" s="142">
        <v>0</v>
      </c>
      <c r="M81" s="4">
        <v>1</v>
      </c>
      <c r="N81" s="4">
        <v>0</v>
      </c>
      <c r="O81" s="4">
        <v>2</v>
      </c>
      <c r="P81" s="4">
        <v>0</v>
      </c>
      <c r="Q81" s="4"/>
      <c r="R81" s="4"/>
      <c r="S81" s="4"/>
      <c r="T81" s="4">
        <v>0</v>
      </c>
      <c r="U81" s="4">
        <v>0</v>
      </c>
      <c r="V81" s="4">
        <v>1</v>
      </c>
      <c r="W81" s="4"/>
      <c r="X81" s="4"/>
      <c r="Y81" s="4"/>
      <c r="Z81" s="4">
        <v>0</v>
      </c>
      <c r="AA81" s="4">
        <v>2</v>
      </c>
      <c r="AB81" s="4">
        <v>0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>
        <v>0</v>
      </c>
      <c r="AY81" s="4">
        <v>1</v>
      </c>
      <c r="AZ81" s="4">
        <v>0</v>
      </c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>
        <v>0</v>
      </c>
      <c r="BW81" s="4">
        <v>6</v>
      </c>
      <c r="BX81" s="4">
        <v>2</v>
      </c>
      <c r="CL81"/>
      <c r="DN81"/>
      <c r="DO81"/>
      <c r="DP81"/>
      <c r="DQ81"/>
      <c r="DR81"/>
      <c r="DS81"/>
      <c r="DU81"/>
      <c r="DZ81"/>
      <c r="EA81"/>
      <c r="EB81"/>
      <c r="ED81"/>
      <c r="EI81"/>
    </row>
    <row r="82" spans="1:139" x14ac:dyDescent="0.25">
      <c r="A82" s="3" t="s">
        <v>1767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142"/>
      <c r="M82" s="4"/>
      <c r="N82" s="4">
        <v>1</v>
      </c>
      <c r="O82" s="4">
        <v>0</v>
      </c>
      <c r="P82" s="4">
        <v>0</v>
      </c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>
        <v>1</v>
      </c>
      <c r="BW82" s="4">
        <v>0</v>
      </c>
      <c r="BX82" s="4">
        <v>0</v>
      </c>
      <c r="CL82"/>
      <c r="DN82"/>
      <c r="DO82"/>
      <c r="DP82"/>
      <c r="DQ82"/>
      <c r="DR82"/>
      <c r="DS82"/>
      <c r="DU82"/>
      <c r="DZ82"/>
      <c r="EA82"/>
      <c r="EB82"/>
      <c r="ED82"/>
      <c r="EI82"/>
    </row>
    <row r="83" spans="1:139" x14ac:dyDescent="0.25">
      <c r="A83" s="3" t="s">
        <v>110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142"/>
      <c r="M83" s="4"/>
      <c r="N83" s="4"/>
      <c r="O83" s="4"/>
      <c r="P83" s="4"/>
      <c r="Q83" s="4"/>
      <c r="R83" s="4"/>
      <c r="S83" s="4"/>
      <c r="T83" s="4">
        <v>1</v>
      </c>
      <c r="U83" s="4">
        <v>0</v>
      </c>
      <c r="V83" s="4">
        <v>0</v>
      </c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>
        <v>0</v>
      </c>
      <c r="AP83" s="4">
        <v>2</v>
      </c>
      <c r="AQ83" s="4">
        <v>0</v>
      </c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>
        <v>1</v>
      </c>
      <c r="BW83" s="4">
        <v>2</v>
      </c>
      <c r="BX83" s="4">
        <v>0</v>
      </c>
      <c r="CL83"/>
      <c r="DN83"/>
      <c r="DO83"/>
      <c r="DP83"/>
      <c r="DQ83"/>
      <c r="DR83"/>
      <c r="DS83"/>
      <c r="DU83"/>
      <c r="DZ83"/>
      <c r="EA83"/>
      <c r="EB83"/>
      <c r="ED83"/>
      <c r="EI83"/>
    </row>
    <row r="84" spans="1:139" x14ac:dyDescent="0.25">
      <c r="A84" s="3" t="s">
        <v>432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142"/>
      <c r="M84" s="4"/>
      <c r="N84" s="4">
        <v>0</v>
      </c>
      <c r="O84" s="4">
        <v>1</v>
      </c>
      <c r="P84" s="4">
        <v>0</v>
      </c>
      <c r="Q84" s="4">
        <v>0</v>
      </c>
      <c r="R84" s="4">
        <v>1</v>
      </c>
      <c r="S84" s="4">
        <v>0</v>
      </c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>
        <v>0</v>
      </c>
      <c r="BW84" s="4">
        <v>2</v>
      </c>
      <c r="BX84" s="4">
        <v>0</v>
      </c>
      <c r="CL84"/>
      <c r="DN84"/>
      <c r="DO84"/>
      <c r="DP84"/>
      <c r="DQ84"/>
      <c r="DR84"/>
      <c r="DS84"/>
      <c r="DU84"/>
      <c r="DZ84"/>
      <c r="EA84"/>
      <c r="EB84"/>
      <c r="ED84"/>
      <c r="EI84"/>
    </row>
    <row r="85" spans="1:139" x14ac:dyDescent="0.25">
      <c r="A85" s="3" t="s">
        <v>1091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142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>
        <v>1</v>
      </c>
      <c r="AD85" s="4">
        <v>1</v>
      </c>
      <c r="AE85" s="4">
        <v>0</v>
      </c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>
        <v>1</v>
      </c>
      <c r="BW85" s="4">
        <v>1</v>
      </c>
      <c r="BX85" s="4">
        <v>0</v>
      </c>
      <c r="CL85"/>
      <c r="DN85"/>
      <c r="DO85"/>
      <c r="DP85"/>
      <c r="DQ85"/>
      <c r="DR85"/>
      <c r="DS85"/>
      <c r="DU85"/>
      <c r="DZ85"/>
      <c r="EA85"/>
      <c r="EB85"/>
      <c r="ED85"/>
      <c r="EI85"/>
    </row>
    <row r="86" spans="1:139" x14ac:dyDescent="0.25">
      <c r="A86" s="3" t="s">
        <v>978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142"/>
      <c r="M86" s="4"/>
      <c r="N86" s="4">
        <v>0</v>
      </c>
      <c r="O86" s="4">
        <v>1</v>
      </c>
      <c r="P86" s="4">
        <v>0</v>
      </c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>
        <v>0</v>
      </c>
      <c r="BW86" s="4">
        <v>1</v>
      </c>
      <c r="BX86" s="4">
        <v>0</v>
      </c>
      <c r="CL86"/>
      <c r="DN86"/>
      <c r="DO86"/>
      <c r="DP86"/>
      <c r="DQ86"/>
      <c r="DR86"/>
      <c r="DS86"/>
      <c r="DU86"/>
      <c r="DZ86"/>
      <c r="EA86"/>
      <c r="EB86"/>
      <c r="ED86"/>
      <c r="EI86"/>
    </row>
    <row r="87" spans="1:139" x14ac:dyDescent="0.25">
      <c r="A87" s="3" t="s">
        <v>451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142"/>
      <c r="M87" s="4"/>
      <c r="N87" s="4"/>
      <c r="O87" s="4"/>
      <c r="P87" s="4"/>
      <c r="Q87" s="4">
        <v>0</v>
      </c>
      <c r="R87" s="4">
        <v>1</v>
      </c>
      <c r="S87" s="4">
        <v>0</v>
      </c>
      <c r="T87" s="4">
        <v>0</v>
      </c>
      <c r="U87" s="4">
        <v>1</v>
      </c>
      <c r="V87" s="4">
        <v>0</v>
      </c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>
        <v>0</v>
      </c>
      <c r="BW87" s="4">
        <v>2</v>
      </c>
      <c r="BX87" s="4">
        <v>0</v>
      </c>
      <c r="CL87"/>
      <c r="DN87"/>
      <c r="DO87"/>
      <c r="DP87"/>
      <c r="DQ87"/>
      <c r="DR87"/>
      <c r="DS87"/>
      <c r="DU87"/>
      <c r="DZ87"/>
      <c r="EA87"/>
      <c r="EB87"/>
      <c r="ED87"/>
      <c r="EI87"/>
    </row>
    <row r="88" spans="1:139" x14ac:dyDescent="0.25">
      <c r="A88" s="3" t="s">
        <v>1010</v>
      </c>
      <c r="B88" s="4"/>
      <c r="C88" s="4"/>
      <c r="D88" s="4"/>
      <c r="E88" s="4">
        <v>0</v>
      </c>
      <c r="F88" s="4">
        <v>1</v>
      </c>
      <c r="G88" s="4">
        <v>0</v>
      </c>
      <c r="H88" s="4"/>
      <c r="I88" s="4"/>
      <c r="J88" s="4"/>
      <c r="K88" s="4">
        <v>0</v>
      </c>
      <c r="L88" s="142">
        <v>1</v>
      </c>
      <c r="M88" s="4">
        <v>0</v>
      </c>
      <c r="N88" s="4">
        <v>0</v>
      </c>
      <c r="O88" s="4">
        <v>1</v>
      </c>
      <c r="P88" s="4">
        <v>0</v>
      </c>
      <c r="Q88" s="4"/>
      <c r="R88" s="4"/>
      <c r="S88" s="4"/>
      <c r="T88" s="4">
        <v>2</v>
      </c>
      <c r="U88" s="4">
        <v>6</v>
      </c>
      <c r="V88" s="4">
        <v>0</v>
      </c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>
        <v>2</v>
      </c>
      <c r="AP88" s="4">
        <v>0</v>
      </c>
      <c r="AQ88" s="4">
        <v>0</v>
      </c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>
        <v>4</v>
      </c>
      <c r="BW88" s="4">
        <v>9</v>
      </c>
      <c r="BX88" s="4">
        <v>0</v>
      </c>
      <c r="CL88"/>
      <c r="DN88"/>
      <c r="DO88"/>
      <c r="DP88"/>
      <c r="DQ88"/>
      <c r="DR88"/>
      <c r="DS88"/>
      <c r="DU88"/>
      <c r="DZ88"/>
      <c r="EA88"/>
      <c r="EB88"/>
      <c r="ED88"/>
      <c r="EI88"/>
    </row>
    <row r="89" spans="1:139" x14ac:dyDescent="0.25">
      <c r="A89" s="3" t="s">
        <v>613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142"/>
      <c r="M89" s="4"/>
      <c r="N89" s="4">
        <v>0</v>
      </c>
      <c r="O89" s="4">
        <v>0</v>
      </c>
      <c r="P89" s="4">
        <v>1</v>
      </c>
      <c r="Q89" s="4">
        <v>0</v>
      </c>
      <c r="R89" s="4">
        <v>0</v>
      </c>
      <c r="S89" s="4">
        <v>2</v>
      </c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>
        <v>0</v>
      </c>
      <c r="BB89" s="4">
        <v>1</v>
      </c>
      <c r="BC89" s="4">
        <v>0</v>
      </c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>
        <v>0</v>
      </c>
      <c r="BW89" s="4">
        <v>1</v>
      </c>
      <c r="BX89" s="4">
        <v>3</v>
      </c>
      <c r="CL89"/>
      <c r="DN89"/>
      <c r="DO89"/>
      <c r="DP89"/>
      <c r="DQ89"/>
      <c r="DR89"/>
      <c r="DS89"/>
      <c r="DU89"/>
      <c r="DZ89"/>
      <c r="EA89"/>
      <c r="EB89"/>
      <c r="ED89"/>
      <c r="EI89"/>
    </row>
    <row r="90" spans="1:139" x14ac:dyDescent="0.25">
      <c r="A90" s="3" t="s">
        <v>1308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142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>
        <v>0</v>
      </c>
      <c r="AP90" s="4">
        <v>1</v>
      </c>
      <c r="AQ90" s="4">
        <v>0</v>
      </c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>
        <v>0</v>
      </c>
      <c r="BW90" s="4">
        <v>1</v>
      </c>
      <c r="BX90" s="4">
        <v>0</v>
      </c>
      <c r="CL90"/>
      <c r="DN90"/>
      <c r="DO90"/>
      <c r="DP90"/>
      <c r="DQ90"/>
      <c r="DR90"/>
      <c r="DS90"/>
      <c r="DU90"/>
      <c r="DZ90"/>
      <c r="EA90"/>
      <c r="EB90"/>
      <c r="ED90"/>
      <c r="EI90"/>
    </row>
    <row r="91" spans="1:139" x14ac:dyDescent="0.25">
      <c r="A91" s="3" t="s">
        <v>389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142"/>
      <c r="M91" s="4"/>
      <c r="N91" s="4"/>
      <c r="O91" s="4"/>
      <c r="P91" s="4"/>
      <c r="Q91" s="4">
        <v>0</v>
      </c>
      <c r="R91" s="4">
        <v>1</v>
      </c>
      <c r="S91" s="4">
        <v>0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>
        <v>0</v>
      </c>
      <c r="BW91" s="4">
        <v>1</v>
      </c>
      <c r="BX91" s="4">
        <v>0</v>
      </c>
      <c r="CL91"/>
      <c r="DN91"/>
      <c r="DO91"/>
      <c r="DP91"/>
      <c r="DQ91"/>
      <c r="DR91"/>
      <c r="DS91"/>
      <c r="DU91"/>
      <c r="DZ91"/>
      <c r="EA91"/>
      <c r="EB91"/>
      <c r="ED91"/>
      <c r="EI91"/>
    </row>
    <row r="92" spans="1:139" x14ac:dyDescent="0.25">
      <c r="A92" s="3" t="s">
        <v>1036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142"/>
      <c r="M92" s="4"/>
      <c r="N92" s="4"/>
      <c r="O92" s="4"/>
      <c r="P92" s="4"/>
      <c r="Q92" s="4"/>
      <c r="R92" s="4"/>
      <c r="S92" s="4"/>
      <c r="T92" s="4">
        <v>0</v>
      </c>
      <c r="U92" s="4">
        <v>2</v>
      </c>
      <c r="V92" s="4">
        <v>0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>
        <v>0</v>
      </c>
      <c r="AP92" s="4">
        <v>0</v>
      </c>
      <c r="AQ92" s="4">
        <v>1</v>
      </c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>
        <v>0</v>
      </c>
      <c r="BW92" s="4">
        <v>2</v>
      </c>
      <c r="BX92" s="4">
        <v>1</v>
      </c>
      <c r="CL92"/>
      <c r="DN92"/>
      <c r="DO92"/>
      <c r="DP92"/>
      <c r="DQ92"/>
      <c r="DR92"/>
      <c r="DS92"/>
      <c r="DU92"/>
      <c r="DZ92"/>
      <c r="EA92"/>
      <c r="EB92"/>
      <c r="ED92"/>
      <c r="EI92"/>
    </row>
    <row r="93" spans="1:139" x14ac:dyDescent="0.25">
      <c r="A93" s="3" t="s">
        <v>1872</v>
      </c>
      <c r="B93" s="4"/>
      <c r="C93" s="4"/>
      <c r="D93" s="4"/>
      <c r="E93" s="4"/>
      <c r="F93" s="4"/>
      <c r="G93" s="4"/>
      <c r="H93" s="4"/>
      <c r="I93" s="4"/>
      <c r="J93" s="4"/>
      <c r="K93" s="4">
        <v>0</v>
      </c>
      <c r="L93" s="142">
        <v>1</v>
      </c>
      <c r="M93" s="4">
        <v>0</v>
      </c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>
        <v>0</v>
      </c>
      <c r="AA93" s="4">
        <v>1</v>
      </c>
      <c r="AB93" s="4">
        <v>0</v>
      </c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0</v>
      </c>
      <c r="BE93" s="4">
        <v>1</v>
      </c>
      <c r="BF93" s="4">
        <v>0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>
        <v>0</v>
      </c>
      <c r="BW93" s="4">
        <v>3</v>
      </c>
      <c r="BX93" s="4">
        <v>0</v>
      </c>
      <c r="CL93"/>
      <c r="DN93"/>
      <c r="DO93"/>
      <c r="DP93"/>
      <c r="DQ93"/>
      <c r="DR93"/>
      <c r="DS93"/>
      <c r="DU93"/>
      <c r="DZ93"/>
      <c r="EA93"/>
      <c r="EB93"/>
      <c r="ED93"/>
      <c r="EI93"/>
    </row>
    <row r="94" spans="1:139" x14ac:dyDescent="0.25">
      <c r="A94" s="3" t="s">
        <v>1381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142"/>
      <c r="M94" s="4"/>
      <c r="N94" s="4">
        <v>0</v>
      </c>
      <c r="O94" s="4">
        <v>1</v>
      </c>
      <c r="P94" s="4">
        <v>0</v>
      </c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>
        <v>0</v>
      </c>
      <c r="BW94" s="4">
        <v>1</v>
      </c>
      <c r="BX94" s="4">
        <v>0</v>
      </c>
      <c r="CL94"/>
      <c r="DN94"/>
      <c r="DO94"/>
      <c r="DP94"/>
      <c r="DQ94"/>
      <c r="DR94"/>
      <c r="DS94"/>
      <c r="DU94"/>
      <c r="DZ94"/>
      <c r="EA94"/>
      <c r="EB94"/>
      <c r="ED94"/>
      <c r="EI94"/>
    </row>
    <row r="95" spans="1:139" x14ac:dyDescent="0.25">
      <c r="A95" s="3" t="s">
        <v>1547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142"/>
      <c r="M95" s="4"/>
      <c r="N95" s="4">
        <v>0</v>
      </c>
      <c r="O95" s="4">
        <v>2</v>
      </c>
      <c r="P95" s="4">
        <v>0</v>
      </c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>
        <v>0</v>
      </c>
      <c r="BW95" s="4">
        <v>2</v>
      </c>
      <c r="BX95" s="4">
        <v>0</v>
      </c>
      <c r="CL95"/>
      <c r="DN95"/>
      <c r="DO95"/>
      <c r="DP95"/>
      <c r="DQ95"/>
      <c r="DR95"/>
      <c r="DS95"/>
      <c r="DU95"/>
      <c r="DZ95"/>
      <c r="EA95"/>
      <c r="EB95"/>
      <c r="ED95"/>
      <c r="EI95"/>
    </row>
    <row r="96" spans="1:139" x14ac:dyDescent="0.25">
      <c r="A96" s="3" t="s">
        <v>954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142"/>
      <c r="M96" s="4"/>
      <c r="N96" s="4">
        <v>1</v>
      </c>
      <c r="O96" s="4">
        <v>1</v>
      </c>
      <c r="P96" s="4">
        <v>0</v>
      </c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>
        <v>1</v>
      </c>
      <c r="BW96" s="4">
        <v>1</v>
      </c>
      <c r="BX96" s="4">
        <v>0</v>
      </c>
      <c r="CL96"/>
      <c r="DN96"/>
      <c r="DO96"/>
      <c r="DP96"/>
      <c r="DQ96"/>
      <c r="DR96"/>
      <c r="DS96"/>
      <c r="DU96"/>
      <c r="DZ96"/>
      <c r="EA96"/>
      <c r="EB96"/>
      <c r="ED96"/>
      <c r="EI96"/>
    </row>
    <row r="97" spans="1:139" x14ac:dyDescent="0.25">
      <c r="A97" s="3" t="s">
        <v>1231</v>
      </c>
      <c r="B97" s="4"/>
      <c r="C97" s="4"/>
      <c r="D97" s="4"/>
      <c r="E97" s="4"/>
      <c r="F97" s="4"/>
      <c r="G97" s="4"/>
      <c r="H97" s="4"/>
      <c r="I97" s="4"/>
      <c r="J97" s="4"/>
      <c r="K97" s="4">
        <v>0</v>
      </c>
      <c r="L97" s="142">
        <v>2</v>
      </c>
      <c r="M97" s="4">
        <v>0</v>
      </c>
      <c r="N97" s="4">
        <v>0</v>
      </c>
      <c r="O97" s="4">
        <v>3</v>
      </c>
      <c r="P97" s="4">
        <v>0</v>
      </c>
      <c r="Q97" s="4"/>
      <c r="R97" s="4"/>
      <c r="S97" s="4"/>
      <c r="T97" s="4">
        <v>2</v>
      </c>
      <c r="U97" s="4">
        <v>2</v>
      </c>
      <c r="V97" s="4">
        <v>0</v>
      </c>
      <c r="W97" s="4"/>
      <c r="X97" s="4"/>
      <c r="Y97" s="4"/>
      <c r="Z97" s="4">
        <v>0</v>
      </c>
      <c r="AA97" s="4">
        <v>1</v>
      </c>
      <c r="AB97" s="4">
        <v>0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>
        <v>2</v>
      </c>
      <c r="BW97" s="4">
        <v>8</v>
      </c>
      <c r="BX97" s="4">
        <v>0</v>
      </c>
      <c r="CL97"/>
      <c r="DN97"/>
      <c r="DO97"/>
      <c r="DP97"/>
      <c r="DQ97"/>
      <c r="DR97"/>
      <c r="DS97"/>
      <c r="DU97"/>
      <c r="DZ97"/>
      <c r="EA97"/>
      <c r="EB97"/>
      <c r="ED97"/>
      <c r="EI97"/>
    </row>
    <row r="98" spans="1:139" x14ac:dyDescent="0.25">
      <c r="A98" s="3" t="s">
        <v>2077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142"/>
      <c r="M98" s="4"/>
      <c r="N98" s="4">
        <v>0</v>
      </c>
      <c r="O98" s="4">
        <v>0</v>
      </c>
      <c r="P98" s="4">
        <v>1</v>
      </c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>
        <v>0</v>
      </c>
      <c r="BW98" s="4">
        <v>0</v>
      </c>
      <c r="BX98" s="4">
        <v>1</v>
      </c>
      <c r="CL98"/>
      <c r="DN98"/>
      <c r="DO98"/>
      <c r="DP98"/>
      <c r="DQ98"/>
      <c r="DR98"/>
      <c r="DS98"/>
      <c r="DU98"/>
      <c r="DZ98"/>
      <c r="EA98"/>
      <c r="EB98"/>
      <c r="ED98"/>
      <c r="EI98"/>
    </row>
    <row r="99" spans="1:139" x14ac:dyDescent="0.25">
      <c r="A99" s="3" t="s">
        <v>729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142"/>
      <c r="M99" s="4"/>
      <c r="N99" s="4"/>
      <c r="O99" s="4"/>
      <c r="P99" s="4"/>
      <c r="Q99" s="4">
        <v>0</v>
      </c>
      <c r="R99" s="4">
        <v>0</v>
      </c>
      <c r="S99" s="4">
        <v>1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>
        <v>0</v>
      </c>
      <c r="BH99" s="4">
        <v>3</v>
      </c>
      <c r="BI99" s="4">
        <v>0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>
        <v>0</v>
      </c>
      <c r="BW99" s="4">
        <v>3</v>
      </c>
      <c r="BX99" s="4">
        <v>1</v>
      </c>
      <c r="CL99"/>
      <c r="DN99"/>
      <c r="DO99"/>
      <c r="DP99"/>
      <c r="DQ99"/>
      <c r="DR99"/>
      <c r="DS99"/>
      <c r="DU99"/>
      <c r="DZ99"/>
      <c r="EA99"/>
      <c r="EB99"/>
      <c r="ED99"/>
      <c r="EI99"/>
    </row>
    <row r="100" spans="1:139" x14ac:dyDescent="0.25">
      <c r="A100" s="3" t="s">
        <v>1054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142"/>
      <c r="M100" s="4"/>
      <c r="N100" s="4"/>
      <c r="O100" s="4"/>
      <c r="P100" s="4"/>
      <c r="Q100" s="4"/>
      <c r="R100" s="4"/>
      <c r="S100" s="4"/>
      <c r="T100" s="4">
        <v>1</v>
      </c>
      <c r="U100" s="4">
        <v>1</v>
      </c>
      <c r="V100" s="4">
        <v>0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>
        <v>1</v>
      </c>
      <c r="BW100" s="4">
        <v>1</v>
      </c>
      <c r="BX100" s="4">
        <v>0</v>
      </c>
      <c r="CL100"/>
      <c r="DN100"/>
      <c r="DO100"/>
      <c r="DP100"/>
      <c r="DQ100"/>
      <c r="DR100"/>
      <c r="DS100"/>
      <c r="DU100"/>
      <c r="DZ100"/>
      <c r="EA100"/>
      <c r="EB100"/>
      <c r="ED100"/>
      <c r="EI100"/>
    </row>
    <row r="101" spans="1:139" x14ac:dyDescent="0.25">
      <c r="A101" s="3" t="s">
        <v>1187</v>
      </c>
      <c r="B101" s="4"/>
      <c r="C101" s="4"/>
      <c r="D101" s="4"/>
      <c r="E101" s="4"/>
      <c r="F101" s="4"/>
      <c r="G101" s="4"/>
      <c r="H101" s="4"/>
      <c r="I101" s="4"/>
      <c r="J101" s="4"/>
      <c r="K101" s="4">
        <v>0</v>
      </c>
      <c r="L101" s="142">
        <v>1</v>
      </c>
      <c r="M101" s="4">
        <v>0</v>
      </c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>
        <v>0</v>
      </c>
      <c r="BW101" s="4">
        <v>1</v>
      </c>
      <c r="BX101" s="4">
        <v>0</v>
      </c>
      <c r="CL101"/>
      <c r="DN101"/>
      <c r="DO101"/>
      <c r="DP101"/>
      <c r="DQ101"/>
      <c r="DR101"/>
      <c r="DS101"/>
      <c r="DU101"/>
      <c r="DZ101"/>
      <c r="EA101"/>
      <c r="EB101"/>
      <c r="ED101"/>
      <c r="EI101"/>
    </row>
    <row r="102" spans="1:139" x14ac:dyDescent="0.25">
      <c r="A102" s="3" t="s">
        <v>244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142"/>
      <c r="M102" s="4"/>
      <c r="N102" s="4">
        <v>0</v>
      </c>
      <c r="O102" s="4">
        <v>1</v>
      </c>
      <c r="P102" s="4">
        <v>0</v>
      </c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>
        <v>0</v>
      </c>
      <c r="BW102" s="4">
        <v>1</v>
      </c>
      <c r="BX102" s="4">
        <v>0</v>
      </c>
      <c r="CL102"/>
      <c r="DN102"/>
      <c r="DO102"/>
      <c r="DP102"/>
      <c r="DQ102"/>
      <c r="DR102"/>
      <c r="DS102"/>
      <c r="DU102"/>
      <c r="DZ102"/>
      <c r="EA102"/>
      <c r="EB102"/>
      <c r="ED102"/>
      <c r="EI102"/>
    </row>
    <row r="103" spans="1:139" x14ac:dyDescent="0.25">
      <c r="A103" s="3" t="s">
        <v>1081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142"/>
      <c r="M103" s="4"/>
      <c r="N103" s="4">
        <v>0</v>
      </c>
      <c r="O103" s="4">
        <v>1</v>
      </c>
      <c r="P103" s="4">
        <v>1</v>
      </c>
      <c r="Q103" s="4">
        <v>0</v>
      </c>
      <c r="R103" s="4">
        <v>1</v>
      </c>
      <c r="S103" s="4">
        <v>0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>
        <v>0</v>
      </c>
      <c r="BW103" s="4">
        <v>2</v>
      </c>
      <c r="BX103" s="4">
        <v>1</v>
      </c>
      <c r="CL103"/>
      <c r="DN103"/>
      <c r="DO103"/>
      <c r="DP103"/>
      <c r="DQ103"/>
      <c r="DR103"/>
      <c r="DS103"/>
      <c r="DU103"/>
      <c r="DZ103"/>
      <c r="EA103"/>
      <c r="EB103"/>
      <c r="ED103"/>
      <c r="EI103"/>
    </row>
    <row r="104" spans="1:139" x14ac:dyDescent="0.25">
      <c r="A104" s="3" t="s">
        <v>1020</v>
      </c>
      <c r="B104" s="4"/>
      <c r="C104" s="4"/>
      <c r="D104" s="4"/>
      <c r="E104" s="4"/>
      <c r="F104" s="4"/>
      <c r="G104" s="4"/>
      <c r="H104" s="4"/>
      <c r="I104" s="4"/>
      <c r="J104" s="4"/>
      <c r="K104" s="4">
        <v>1</v>
      </c>
      <c r="L104" s="142">
        <v>0</v>
      </c>
      <c r="M104" s="4">
        <v>0</v>
      </c>
      <c r="N104" s="4"/>
      <c r="O104" s="4"/>
      <c r="P104" s="4"/>
      <c r="Q104" s="4">
        <v>0</v>
      </c>
      <c r="R104" s="4">
        <v>1</v>
      </c>
      <c r="S104" s="4">
        <v>0</v>
      </c>
      <c r="T104" s="4">
        <v>0</v>
      </c>
      <c r="U104" s="4">
        <v>1</v>
      </c>
      <c r="V104" s="4">
        <v>0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>
        <v>0</v>
      </c>
      <c r="AP104" s="4">
        <v>2</v>
      </c>
      <c r="AQ104" s="4">
        <v>0</v>
      </c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>
        <v>1</v>
      </c>
      <c r="BW104" s="4">
        <v>4</v>
      </c>
      <c r="BX104" s="4">
        <v>0</v>
      </c>
      <c r="CL104"/>
      <c r="DN104"/>
      <c r="DO104"/>
      <c r="DP104"/>
      <c r="DQ104"/>
      <c r="DR104"/>
      <c r="DS104"/>
      <c r="DU104"/>
      <c r="DZ104"/>
      <c r="EA104"/>
      <c r="EB104"/>
      <c r="ED104"/>
      <c r="EI104"/>
    </row>
    <row r="105" spans="1:139" x14ac:dyDescent="0.25">
      <c r="A105" s="3" t="s">
        <v>113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142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>
        <v>0</v>
      </c>
      <c r="AP105" s="4">
        <v>1</v>
      </c>
      <c r="AQ105" s="4">
        <v>0</v>
      </c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>
        <v>0</v>
      </c>
      <c r="BW105" s="4">
        <v>1</v>
      </c>
      <c r="BX105" s="4">
        <v>0</v>
      </c>
      <c r="CL105"/>
      <c r="DN105"/>
      <c r="DO105"/>
      <c r="DP105"/>
      <c r="DQ105"/>
      <c r="DR105"/>
      <c r="DS105"/>
      <c r="DU105"/>
      <c r="DZ105"/>
      <c r="EA105"/>
      <c r="EB105"/>
      <c r="ED105"/>
      <c r="EI105"/>
    </row>
    <row r="106" spans="1:139" x14ac:dyDescent="0.25">
      <c r="A106" s="3" t="s">
        <v>2112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142"/>
      <c r="M106" s="4"/>
      <c r="N106" s="4">
        <v>0</v>
      </c>
      <c r="O106" s="4">
        <v>0</v>
      </c>
      <c r="P106" s="4">
        <v>2</v>
      </c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>
        <v>0</v>
      </c>
      <c r="BW106" s="4">
        <v>0</v>
      </c>
      <c r="BX106" s="4">
        <v>2</v>
      </c>
      <c r="CL106"/>
      <c r="DN106"/>
      <c r="DO106"/>
      <c r="DP106"/>
      <c r="DQ106"/>
      <c r="DR106"/>
      <c r="DS106"/>
      <c r="DU106"/>
      <c r="DZ106"/>
      <c r="EA106"/>
      <c r="EB106"/>
      <c r="ED106"/>
      <c r="EI106"/>
    </row>
    <row r="107" spans="1:139" x14ac:dyDescent="0.25">
      <c r="A107" s="3" t="s">
        <v>1918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142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0</v>
      </c>
      <c r="BT107" s="4">
        <v>1</v>
      </c>
      <c r="BU107" s="4">
        <v>0</v>
      </c>
      <c r="BV107" s="4">
        <v>0</v>
      </c>
      <c r="BW107" s="4">
        <v>1</v>
      </c>
      <c r="BX107" s="4">
        <v>0</v>
      </c>
      <c r="CL107"/>
      <c r="DN107"/>
      <c r="DO107"/>
      <c r="DP107"/>
      <c r="DQ107"/>
      <c r="DR107"/>
      <c r="DS107"/>
      <c r="DU107"/>
      <c r="DZ107"/>
      <c r="EA107"/>
      <c r="EB107"/>
      <c r="ED107"/>
      <c r="EI107"/>
    </row>
    <row r="108" spans="1:139" x14ac:dyDescent="0.25">
      <c r="A108" s="3" t="s">
        <v>104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142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>
        <v>0</v>
      </c>
      <c r="BQ108" s="4">
        <v>2</v>
      </c>
      <c r="BR108" s="4">
        <v>0</v>
      </c>
      <c r="BS108" s="4"/>
      <c r="BT108" s="4"/>
      <c r="BU108" s="4"/>
      <c r="BV108" s="4">
        <v>0</v>
      </c>
      <c r="BW108" s="4">
        <v>2</v>
      </c>
      <c r="BX108" s="4">
        <v>0</v>
      </c>
      <c r="CL108"/>
      <c r="DN108"/>
      <c r="DO108"/>
      <c r="DP108"/>
      <c r="DQ108"/>
      <c r="DR108"/>
      <c r="DS108"/>
      <c r="DU108"/>
      <c r="DZ108"/>
      <c r="EA108"/>
      <c r="EB108"/>
      <c r="ED108"/>
      <c r="EI108"/>
    </row>
    <row r="109" spans="1:139" x14ac:dyDescent="0.25">
      <c r="A109" s="3" t="s">
        <v>1891</v>
      </c>
      <c r="B109" s="4"/>
      <c r="C109" s="4"/>
      <c r="D109" s="4"/>
      <c r="E109" s="4"/>
      <c r="F109" s="4"/>
      <c r="G109" s="4"/>
      <c r="H109" s="4"/>
      <c r="I109" s="4"/>
      <c r="J109" s="4"/>
      <c r="K109" s="4">
        <v>0</v>
      </c>
      <c r="L109" s="142">
        <v>1</v>
      </c>
      <c r="M109" s="4">
        <v>0</v>
      </c>
      <c r="N109" s="4">
        <v>1</v>
      </c>
      <c r="O109" s="4">
        <v>0</v>
      </c>
      <c r="P109" s="4">
        <v>0</v>
      </c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>
        <v>0</v>
      </c>
      <c r="AS109" s="4">
        <v>0</v>
      </c>
      <c r="AT109" s="4">
        <v>1</v>
      </c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>
        <v>1</v>
      </c>
      <c r="BW109" s="4">
        <v>1</v>
      </c>
      <c r="BX109" s="4">
        <v>1</v>
      </c>
      <c r="CL109"/>
      <c r="DN109"/>
      <c r="DO109"/>
      <c r="DP109"/>
      <c r="DQ109"/>
      <c r="DR109"/>
      <c r="DS109"/>
      <c r="DU109"/>
      <c r="DZ109"/>
      <c r="EA109"/>
      <c r="EB109"/>
      <c r="ED109"/>
      <c r="EI109"/>
    </row>
    <row r="110" spans="1:139" x14ac:dyDescent="0.25">
      <c r="A110" s="3" t="s">
        <v>778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142"/>
      <c r="M110" s="4"/>
      <c r="N110" s="4">
        <v>0</v>
      </c>
      <c r="O110" s="4">
        <v>4</v>
      </c>
      <c r="P110" s="4">
        <v>1</v>
      </c>
      <c r="Q110" s="4"/>
      <c r="R110" s="4"/>
      <c r="S110" s="4"/>
      <c r="T110" s="4">
        <v>0</v>
      </c>
      <c r="U110" s="4">
        <v>0</v>
      </c>
      <c r="V110" s="4">
        <v>1</v>
      </c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>
        <v>1</v>
      </c>
      <c r="AP110" s="4">
        <v>0</v>
      </c>
      <c r="AQ110" s="4">
        <v>0</v>
      </c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>
        <v>1</v>
      </c>
      <c r="BW110" s="4">
        <v>4</v>
      </c>
      <c r="BX110" s="4">
        <v>2</v>
      </c>
      <c r="CL110"/>
      <c r="DN110"/>
      <c r="DO110"/>
      <c r="DP110"/>
      <c r="DQ110"/>
      <c r="DR110"/>
      <c r="DS110"/>
      <c r="DU110"/>
      <c r="DZ110"/>
      <c r="EA110"/>
      <c r="EB110"/>
      <c r="ED110"/>
      <c r="EI110"/>
    </row>
    <row r="111" spans="1:139" x14ac:dyDescent="0.25">
      <c r="A111" s="3" t="s">
        <v>194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142"/>
      <c r="M111" s="4"/>
      <c r="N111" s="4">
        <v>0</v>
      </c>
      <c r="O111" s="4">
        <v>3</v>
      </c>
      <c r="P111" s="4">
        <v>1</v>
      </c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>
        <v>0</v>
      </c>
      <c r="BW111" s="4">
        <v>3</v>
      </c>
      <c r="BX111" s="4">
        <v>1</v>
      </c>
      <c r="CL111"/>
      <c r="DN111"/>
      <c r="DO111"/>
      <c r="DP111"/>
      <c r="DQ111"/>
      <c r="DR111"/>
      <c r="DS111"/>
      <c r="DU111"/>
      <c r="DZ111"/>
      <c r="EA111"/>
      <c r="EB111"/>
      <c r="ED111"/>
      <c r="EI111"/>
    </row>
    <row r="112" spans="1:139" x14ac:dyDescent="0.25">
      <c r="A112" s="3" t="s">
        <v>554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142"/>
      <c r="M112" s="4"/>
      <c r="N112" s="4">
        <v>0</v>
      </c>
      <c r="O112" s="4">
        <v>5</v>
      </c>
      <c r="P112" s="4">
        <v>0</v>
      </c>
      <c r="Q112" s="4">
        <v>1</v>
      </c>
      <c r="R112" s="4">
        <v>0</v>
      </c>
      <c r="S112" s="4">
        <v>0</v>
      </c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0</v>
      </c>
      <c r="BT112" s="4">
        <v>2</v>
      </c>
      <c r="BU112" s="4">
        <v>0</v>
      </c>
      <c r="BV112" s="4">
        <v>1</v>
      </c>
      <c r="BW112" s="4">
        <v>7</v>
      </c>
      <c r="BX112" s="4">
        <v>0</v>
      </c>
      <c r="CL112"/>
      <c r="DN112"/>
      <c r="DO112"/>
      <c r="DP112"/>
      <c r="DQ112"/>
      <c r="DR112"/>
      <c r="DS112"/>
      <c r="DU112"/>
      <c r="DZ112"/>
      <c r="EA112"/>
      <c r="EB112"/>
      <c r="ED112"/>
      <c r="EI112"/>
    </row>
    <row r="113" spans="1:139" x14ac:dyDescent="0.25">
      <c r="A113" s="3" t="s">
        <v>2024</v>
      </c>
      <c r="B113" s="4"/>
      <c r="C113" s="4"/>
      <c r="D113" s="4"/>
      <c r="E113" s="4"/>
      <c r="F113" s="4"/>
      <c r="G113" s="4"/>
      <c r="H113" s="4"/>
      <c r="I113" s="4"/>
      <c r="J113" s="4"/>
      <c r="K113" s="4">
        <v>1</v>
      </c>
      <c r="L113" s="142">
        <v>0</v>
      </c>
      <c r="M113" s="4">
        <v>0</v>
      </c>
      <c r="N113" s="4"/>
      <c r="O113" s="4"/>
      <c r="P113" s="4"/>
      <c r="Q113" s="4"/>
      <c r="R113" s="4"/>
      <c r="S113" s="4"/>
      <c r="T113" s="4">
        <v>0</v>
      </c>
      <c r="U113" s="4">
        <v>2</v>
      </c>
      <c r="V113" s="4">
        <v>0</v>
      </c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>
        <v>0</v>
      </c>
      <c r="AJ113" s="4">
        <v>1</v>
      </c>
      <c r="AK113" s="4">
        <v>0</v>
      </c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>
        <v>1</v>
      </c>
      <c r="BW113" s="4">
        <v>3</v>
      </c>
      <c r="BX113" s="4">
        <v>0</v>
      </c>
      <c r="CL113"/>
      <c r="DN113"/>
      <c r="DO113"/>
      <c r="DP113"/>
      <c r="DQ113"/>
      <c r="DR113"/>
      <c r="DS113"/>
      <c r="DU113"/>
      <c r="DZ113"/>
      <c r="EA113"/>
      <c r="EB113"/>
      <c r="ED113"/>
      <c r="EI113"/>
    </row>
    <row r="114" spans="1:139" x14ac:dyDescent="0.25">
      <c r="A114" s="3" t="s">
        <v>1505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142"/>
      <c r="M114" s="4"/>
      <c r="N114" s="4"/>
      <c r="O114" s="4"/>
      <c r="P114" s="4"/>
      <c r="Q114" s="4"/>
      <c r="R114" s="4"/>
      <c r="S114" s="4"/>
      <c r="T114" s="4">
        <v>1</v>
      </c>
      <c r="U114" s="4">
        <v>0</v>
      </c>
      <c r="V114" s="4">
        <v>0</v>
      </c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>
        <v>1</v>
      </c>
      <c r="AP114" s="4">
        <v>0</v>
      </c>
      <c r="AQ114" s="4">
        <v>0</v>
      </c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>
        <v>2</v>
      </c>
      <c r="BW114" s="4">
        <v>0</v>
      </c>
      <c r="BX114" s="4">
        <v>0</v>
      </c>
      <c r="CL114"/>
      <c r="DN114"/>
      <c r="DO114"/>
      <c r="DP114"/>
      <c r="DQ114"/>
      <c r="DR114"/>
      <c r="DS114"/>
      <c r="DU114"/>
      <c r="DZ114"/>
      <c r="EA114"/>
      <c r="EB114"/>
      <c r="ED114"/>
      <c r="EI114"/>
    </row>
    <row r="115" spans="1:139" x14ac:dyDescent="0.25">
      <c r="A115" s="3" t="s">
        <v>1800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142"/>
      <c r="M115" s="4"/>
      <c r="N115" s="4"/>
      <c r="O115" s="4"/>
      <c r="P115" s="4"/>
      <c r="Q115" s="4"/>
      <c r="R115" s="4"/>
      <c r="S115" s="4"/>
      <c r="T115" s="4">
        <v>0</v>
      </c>
      <c r="U115" s="4">
        <v>1</v>
      </c>
      <c r="V115" s="4">
        <v>0</v>
      </c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>
        <v>0</v>
      </c>
      <c r="BW115" s="4">
        <v>1</v>
      </c>
      <c r="BX115" s="4">
        <v>0</v>
      </c>
      <c r="CL115"/>
      <c r="DN115"/>
      <c r="DO115"/>
      <c r="DP115"/>
      <c r="DQ115"/>
      <c r="DR115"/>
      <c r="DS115"/>
      <c r="DU115"/>
      <c r="DZ115"/>
      <c r="EA115"/>
      <c r="EB115"/>
      <c r="ED115"/>
      <c r="EI115"/>
    </row>
    <row r="116" spans="1:139" x14ac:dyDescent="0.25">
      <c r="A116" s="3" t="s">
        <v>1456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142"/>
      <c r="M116" s="4"/>
      <c r="N116" s="4">
        <v>1</v>
      </c>
      <c r="O116" s="4">
        <v>0</v>
      </c>
      <c r="P116" s="4">
        <v>0</v>
      </c>
      <c r="Q116" s="4">
        <v>0</v>
      </c>
      <c r="R116" s="4">
        <v>1</v>
      </c>
      <c r="S116" s="4">
        <v>0</v>
      </c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>
        <v>1</v>
      </c>
      <c r="BW116" s="4">
        <v>1</v>
      </c>
      <c r="BX116" s="4">
        <v>0</v>
      </c>
      <c r="CL116"/>
      <c r="DN116"/>
      <c r="DO116"/>
      <c r="DP116"/>
      <c r="DQ116"/>
      <c r="DR116"/>
      <c r="DS116"/>
      <c r="DU116"/>
      <c r="DZ116"/>
      <c r="EA116"/>
      <c r="EB116"/>
      <c r="ED116"/>
      <c r="EI116"/>
    </row>
    <row r="117" spans="1:139" x14ac:dyDescent="0.25">
      <c r="A117" s="3" t="s">
        <v>79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142"/>
      <c r="M117" s="4"/>
      <c r="N117" s="4">
        <v>0</v>
      </c>
      <c r="O117" s="4">
        <v>1</v>
      </c>
      <c r="P117" s="4">
        <v>0</v>
      </c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>
        <v>0</v>
      </c>
      <c r="BQ117" s="4">
        <v>1</v>
      </c>
      <c r="BR117" s="4">
        <v>0</v>
      </c>
      <c r="BS117" s="4"/>
      <c r="BT117" s="4"/>
      <c r="BU117" s="4"/>
      <c r="BV117" s="4">
        <v>0</v>
      </c>
      <c r="BW117" s="4">
        <v>2</v>
      </c>
      <c r="BX117" s="4">
        <v>0</v>
      </c>
      <c r="CL117"/>
      <c r="DN117"/>
      <c r="DO117"/>
      <c r="DP117"/>
      <c r="DQ117"/>
      <c r="DR117"/>
      <c r="DS117"/>
      <c r="DU117"/>
      <c r="DZ117"/>
      <c r="EA117"/>
      <c r="EB117"/>
      <c r="ED117"/>
      <c r="EI117"/>
    </row>
    <row r="118" spans="1:139" x14ac:dyDescent="0.25">
      <c r="A118" s="3" t="s">
        <v>1948</v>
      </c>
      <c r="B118" s="4"/>
      <c r="C118" s="4"/>
      <c r="D118" s="4"/>
      <c r="E118" s="4"/>
      <c r="F118" s="4"/>
      <c r="G118" s="4"/>
      <c r="H118" s="4"/>
      <c r="I118" s="4"/>
      <c r="J118" s="4"/>
      <c r="K118" s="4">
        <v>0</v>
      </c>
      <c r="L118" s="142">
        <v>1</v>
      </c>
      <c r="M118" s="4">
        <v>0</v>
      </c>
      <c r="N118" s="4">
        <v>0</v>
      </c>
      <c r="O118" s="4">
        <v>1</v>
      </c>
      <c r="P118" s="4">
        <v>0</v>
      </c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>
        <v>0</v>
      </c>
      <c r="BW118" s="4">
        <v>2</v>
      </c>
      <c r="BX118" s="4">
        <v>0</v>
      </c>
      <c r="CL118"/>
      <c r="DN118"/>
      <c r="DO118"/>
      <c r="DP118"/>
      <c r="DQ118"/>
      <c r="DR118"/>
      <c r="DS118"/>
      <c r="DU118"/>
      <c r="DZ118"/>
      <c r="EA118"/>
      <c r="EB118"/>
      <c r="ED118"/>
      <c r="EI118"/>
    </row>
    <row r="119" spans="1:139" x14ac:dyDescent="0.25">
      <c r="A119" s="3" t="s">
        <v>514</v>
      </c>
      <c r="B119" s="4"/>
      <c r="C119" s="4"/>
      <c r="D119" s="4"/>
      <c r="E119" s="4"/>
      <c r="F119" s="4"/>
      <c r="G119" s="4"/>
      <c r="H119" s="4"/>
      <c r="I119" s="4"/>
      <c r="J119" s="4"/>
      <c r="K119" s="4">
        <v>0</v>
      </c>
      <c r="L119" s="142">
        <v>0</v>
      </c>
      <c r="M119" s="4">
        <v>1</v>
      </c>
      <c r="N119" s="4">
        <v>0</v>
      </c>
      <c r="O119" s="4">
        <v>0</v>
      </c>
      <c r="P119" s="4">
        <v>1</v>
      </c>
      <c r="Q119" s="4"/>
      <c r="R119" s="4"/>
      <c r="S119" s="4"/>
      <c r="T119" s="4">
        <v>0</v>
      </c>
      <c r="U119" s="4">
        <v>1</v>
      </c>
      <c r="V119" s="4">
        <v>0</v>
      </c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>
        <v>0</v>
      </c>
      <c r="BW119" s="4">
        <v>1</v>
      </c>
      <c r="BX119" s="4">
        <v>2</v>
      </c>
      <c r="CL119"/>
      <c r="DN119"/>
      <c r="DO119"/>
      <c r="DP119"/>
      <c r="DQ119"/>
      <c r="DR119"/>
      <c r="DS119"/>
      <c r="DU119"/>
      <c r="DZ119"/>
      <c r="EA119"/>
      <c r="EB119"/>
      <c r="ED119"/>
      <c r="EI119"/>
    </row>
    <row r="120" spans="1:139" x14ac:dyDescent="0.25">
      <c r="A120" s="3" t="s">
        <v>347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142"/>
      <c r="M120" s="4"/>
      <c r="N120" s="4">
        <v>0</v>
      </c>
      <c r="O120" s="4">
        <v>1</v>
      </c>
      <c r="P120" s="4">
        <v>0</v>
      </c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>
        <v>0</v>
      </c>
      <c r="BW120" s="4">
        <v>1</v>
      </c>
      <c r="BX120" s="4">
        <v>0</v>
      </c>
      <c r="CL120"/>
      <c r="DN120"/>
      <c r="DO120"/>
      <c r="DP120"/>
      <c r="DQ120"/>
      <c r="DR120"/>
      <c r="DS120"/>
      <c r="DU120"/>
      <c r="DZ120"/>
      <c r="EA120"/>
      <c r="EB120"/>
      <c r="ED120"/>
      <c r="EI120"/>
    </row>
    <row r="121" spans="1:139" x14ac:dyDescent="0.25">
      <c r="A121" s="3" t="s">
        <v>2293</v>
      </c>
      <c r="B121" s="4"/>
      <c r="C121" s="4"/>
      <c r="D121" s="4"/>
      <c r="E121" s="4"/>
      <c r="F121" s="4"/>
      <c r="G121" s="4"/>
      <c r="H121" s="4"/>
      <c r="I121" s="4"/>
      <c r="J121" s="4"/>
      <c r="K121" s="4">
        <v>1</v>
      </c>
      <c r="L121" s="142">
        <v>3</v>
      </c>
      <c r="M121" s="4">
        <v>0</v>
      </c>
      <c r="N121" s="4">
        <v>0</v>
      </c>
      <c r="O121" s="4">
        <v>5</v>
      </c>
      <c r="P121" s="4">
        <v>0</v>
      </c>
      <c r="Q121" s="4">
        <v>0</v>
      </c>
      <c r="R121" s="4">
        <v>1</v>
      </c>
      <c r="S121" s="4">
        <v>0</v>
      </c>
      <c r="T121" s="4">
        <v>3</v>
      </c>
      <c r="U121" s="4">
        <v>8</v>
      </c>
      <c r="V121" s="4">
        <v>2</v>
      </c>
      <c r="W121" s="4"/>
      <c r="X121" s="4"/>
      <c r="Y121" s="4"/>
      <c r="Z121" s="4">
        <v>1</v>
      </c>
      <c r="AA121" s="4">
        <v>0</v>
      </c>
      <c r="AB121" s="4">
        <v>1</v>
      </c>
      <c r="AC121" s="4"/>
      <c r="AD121" s="4"/>
      <c r="AE121" s="4"/>
      <c r="AF121" s="4">
        <v>0</v>
      </c>
      <c r="AG121" s="4">
        <v>1</v>
      </c>
      <c r="AH121" s="4">
        <v>0</v>
      </c>
      <c r="AI121" s="4">
        <v>1</v>
      </c>
      <c r="AJ121" s="4">
        <v>1</v>
      </c>
      <c r="AK121" s="4">
        <v>0</v>
      </c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>
        <v>0</v>
      </c>
      <c r="BT121" s="4">
        <v>1</v>
      </c>
      <c r="BU121" s="4">
        <v>0</v>
      </c>
      <c r="BV121" s="4">
        <v>6</v>
      </c>
      <c r="BW121" s="4">
        <v>20</v>
      </c>
      <c r="BX121" s="4">
        <v>3</v>
      </c>
      <c r="CL121"/>
      <c r="DN121"/>
      <c r="DO121"/>
      <c r="DP121"/>
      <c r="DQ121"/>
      <c r="DR121"/>
      <c r="DS121"/>
      <c r="DU121"/>
      <c r="DZ121"/>
      <c r="EA121"/>
      <c r="EB121"/>
      <c r="ED121"/>
      <c r="EI121"/>
    </row>
    <row r="122" spans="1:139" x14ac:dyDescent="0.25">
      <c r="A122" s="3" t="s">
        <v>2294</v>
      </c>
      <c r="B122" s="4">
        <v>0</v>
      </c>
      <c r="C122" s="4">
        <v>1</v>
      </c>
      <c r="D122" s="4">
        <v>0</v>
      </c>
      <c r="E122" s="4"/>
      <c r="F122" s="4"/>
      <c r="G122" s="4"/>
      <c r="H122" s="4"/>
      <c r="I122" s="4"/>
      <c r="J122" s="4"/>
      <c r="K122" s="4">
        <v>1</v>
      </c>
      <c r="L122" s="142">
        <v>3</v>
      </c>
      <c r="M122" s="4">
        <v>2</v>
      </c>
      <c r="N122" s="4">
        <v>0</v>
      </c>
      <c r="O122" s="4">
        <v>28</v>
      </c>
      <c r="P122" s="4">
        <v>6</v>
      </c>
      <c r="Q122" s="4"/>
      <c r="R122" s="4"/>
      <c r="S122" s="4"/>
      <c r="T122" s="4">
        <v>0</v>
      </c>
      <c r="U122" s="4">
        <v>1</v>
      </c>
      <c r="V122" s="4">
        <v>0</v>
      </c>
      <c r="W122" s="4">
        <v>0</v>
      </c>
      <c r="X122" s="4">
        <v>1</v>
      </c>
      <c r="Y122" s="4">
        <v>0</v>
      </c>
      <c r="Z122" s="4"/>
      <c r="AA122" s="4"/>
      <c r="AB122" s="4"/>
      <c r="AC122" s="4">
        <v>0</v>
      </c>
      <c r="AD122" s="4">
        <v>2</v>
      </c>
      <c r="AE122" s="4">
        <v>0</v>
      </c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0</v>
      </c>
      <c r="BE122" s="4">
        <v>1</v>
      </c>
      <c r="BF122" s="4">
        <v>0</v>
      </c>
      <c r="BG122" s="4"/>
      <c r="BH122" s="4"/>
      <c r="BI122" s="4"/>
      <c r="BJ122" s="4">
        <v>1</v>
      </c>
      <c r="BK122" s="4">
        <v>0</v>
      </c>
      <c r="BL122" s="4">
        <v>0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2</v>
      </c>
      <c r="BW122" s="4">
        <v>37</v>
      </c>
      <c r="BX122" s="4">
        <v>8</v>
      </c>
      <c r="CL122"/>
      <c r="DN122"/>
      <c r="DO122"/>
      <c r="DP122"/>
      <c r="DQ122"/>
      <c r="DR122"/>
      <c r="DS122"/>
      <c r="DU122"/>
      <c r="DZ122"/>
      <c r="EA122"/>
      <c r="EB122"/>
      <c r="ED122"/>
      <c r="EI122"/>
    </row>
    <row r="123" spans="1:139" x14ac:dyDescent="0.25">
      <c r="A123" s="3" t="s">
        <v>157</v>
      </c>
      <c r="B123" s="4"/>
      <c r="C123" s="4"/>
      <c r="D123" s="4"/>
      <c r="E123" s="4"/>
      <c r="F123" s="4"/>
      <c r="G123" s="4"/>
      <c r="H123" s="4"/>
      <c r="I123" s="4"/>
      <c r="J123" s="4"/>
      <c r="K123" s="4">
        <v>0</v>
      </c>
      <c r="L123" s="142">
        <v>1</v>
      </c>
      <c r="M123" s="4">
        <v>0</v>
      </c>
      <c r="N123" s="4">
        <v>0</v>
      </c>
      <c r="O123" s="4">
        <v>1</v>
      </c>
      <c r="P123" s="4">
        <v>0</v>
      </c>
      <c r="Q123" s="4">
        <v>1</v>
      </c>
      <c r="R123" s="4">
        <v>0</v>
      </c>
      <c r="S123" s="4">
        <v>0</v>
      </c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>
        <v>1</v>
      </c>
      <c r="BW123" s="4">
        <v>2</v>
      </c>
      <c r="BX123" s="4">
        <v>0</v>
      </c>
      <c r="CL123"/>
      <c r="DN123"/>
      <c r="DO123"/>
      <c r="DP123"/>
      <c r="DQ123"/>
      <c r="DR123"/>
      <c r="DS123"/>
      <c r="DU123"/>
      <c r="DZ123"/>
      <c r="EA123"/>
      <c r="EB123"/>
      <c r="ED123"/>
      <c r="EI123"/>
    </row>
    <row r="124" spans="1:139" x14ac:dyDescent="0.25">
      <c r="A124" s="3" t="s">
        <v>28</v>
      </c>
      <c r="B124" s="4"/>
      <c r="C124" s="4"/>
      <c r="D124" s="4"/>
      <c r="E124" s="4"/>
      <c r="F124" s="4"/>
      <c r="G124" s="4"/>
      <c r="H124" s="4"/>
      <c r="I124" s="4"/>
      <c r="J124" s="4"/>
      <c r="K124" s="4">
        <v>0</v>
      </c>
      <c r="L124" s="142">
        <v>1</v>
      </c>
      <c r="M124" s="4">
        <v>0</v>
      </c>
      <c r="N124" s="4">
        <v>1</v>
      </c>
      <c r="O124" s="4">
        <v>0</v>
      </c>
      <c r="P124" s="4">
        <v>2</v>
      </c>
      <c r="Q124" s="4">
        <v>1</v>
      </c>
      <c r="R124" s="4">
        <v>0</v>
      </c>
      <c r="S124" s="4">
        <v>1</v>
      </c>
      <c r="T124" s="4">
        <v>0</v>
      </c>
      <c r="U124" s="4">
        <v>1</v>
      </c>
      <c r="V124" s="4">
        <v>0</v>
      </c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>
        <v>2</v>
      </c>
      <c r="BW124" s="4">
        <v>2</v>
      </c>
      <c r="BX124" s="4">
        <v>3</v>
      </c>
      <c r="CL124"/>
      <c r="DN124"/>
      <c r="DO124"/>
      <c r="DP124"/>
      <c r="DQ124"/>
      <c r="DR124"/>
      <c r="DS124"/>
      <c r="DU124"/>
      <c r="DZ124"/>
      <c r="EA124"/>
      <c r="EB124"/>
      <c r="ED124"/>
      <c r="EI124"/>
    </row>
    <row r="125" spans="1:139" x14ac:dyDescent="0.25">
      <c r="A125" s="3" t="s">
        <v>2281</v>
      </c>
      <c r="B125" s="4"/>
      <c r="C125" s="4"/>
      <c r="D125" s="4"/>
      <c r="E125" s="4"/>
      <c r="F125" s="4"/>
      <c r="G125" s="4"/>
      <c r="H125" s="4"/>
      <c r="I125" s="4"/>
      <c r="J125" s="4"/>
      <c r="K125" s="4">
        <v>0</v>
      </c>
      <c r="L125" s="142">
        <v>1</v>
      </c>
      <c r="M125" s="4">
        <v>0</v>
      </c>
      <c r="N125" s="4">
        <v>3</v>
      </c>
      <c r="O125" s="4">
        <v>5</v>
      </c>
      <c r="P125" s="4">
        <v>0</v>
      </c>
      <c r="Q125" s="4">
        <v>0</v>
      </c>
      <c r="R125" s="4">
        <v>1</v>
      </c>
      <c r="S125" s="4">
        <v>0</v>
      </c>
      <c r="T125" s="4">
        <v>0</v>
      </c>
      <c r="U125" s="4">
        <v>1</v>
      </c>
      <c r="V125" s="4">
        <v>0</v>
      </c>
      <c r="W125" s="4"/>
      <c r="X125" s="4"/>
      <c r="Y125" s="4"/>
      <c r="Z125" s="4"/>
      <c r="AA125" s="4"/>
      <c r="AB125" s="4"/>
      <c r="AC125" s="4">
        <v>0</v>
      </c>
      <c r="AD125" s="4">
        <v>1</v>
      </c>
      <c r="AE125" s="4">
        <v>0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>
        <v>3</v>
      </c>
      <c r="BW125" s="4">
        <v>9</v>
      </c>
      <c r="BX125" s="4">
        <v>0</v>
      </c>
      <c r="CL125"/>
      <c r="DN125"/>
      <c r="DO125"/>
      <c r="DP125"/>
      <c r="DQ125"/>
      <c r="DR125"/>
      <c r="DS125"/>
      <c r="DU125"/>
      <c r="DZ125"/>
      <c r="EA125"/>
      <c r="EB125"/>
      <c r="ED125"/>
      <c r="EI125"/>
    </row>
    <row r="126" spans="1:139" x14ac:dyDescent="0.25">
      <c r="A126" s="3" t="s">
        <v>2292</v>
      </c>
      <c r="B126" s="4"/>
      <c r="C126" s="4"/>
      <c r="D126" s="4"/>
      <c r="E126" s="4"/>
      <c r="F126" s="4"/>
      <c r="G126" s="4"/>
      <c r="H126" s="4"/>
      <c r="I126" s="4"/>
      <c r="J126" s="4"/>
      <c r="K126" s="4">
        <v>0</v>
      </c>
      <c r="L126" s="142">
        <v>1</v>
      </c>
      <c r="M126" s="4">
        <v>1</v>
      </c>
      <c r="N126" s="4">
        <v>1</v>
      </c>
      <c r="O126" s="4">
        <v>3</v>
      </c>
      <c r="P126" s="4">
        <v>0</v>
      </c>
      <c r="Q126" s="4"/>
      <c r="R126" s="4"/>
      <c r="S126" s="4"/>
      <c r="T126" s="4">
        <v>0</v>
      </c>
      <c r="U126" s="4">
        <v>1</v>
      </c>
      <c r="V126" s="4">
        <v>0</v>
      </c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>
        <v>0</v>
      </c>
      <c r="AP126" s="4">
        <v>2</v>
      </c>
      <c r="AQ126" s="4">
        <v>0</v>
      </c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>
        <v>1</v>
      </c>
      <c r="BW126" s="4">
        <v>7</v>
      </c>
      <c r="BX126" s="4">
        <v>1</v>
      </c>
      <c r="CL126"/>
      <c r="DN126"/>
      <c r="DO126"/>
      <c r="DP126"/>
      <c r="DQ126"/>
      <c r="DR126"/>
      <c r="DS126"/>
      <c r="DU126"/>
      <c r="DZ126"/>
      <c r="EA126"/>
      <c r="EB126"/>
      <c r="ED126"/>
      <c r="EI126"/>
    </row>
    <row r="127" spans="1:139" x14ac:dyDescent="0.25">
      <c r="A127" s="3" t="s">
        <v>1263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142"/>
      <c r="M127" s="4"/>
      <c r="N127" s="4">
        <v>0</v>
      </c>
      <c r="O127" s="4">
        <v>1</v>
      </c>
      <c r="P127" s="4">
        <v>0</v>
      </c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>
        <v>0</v>
      </c>
      <c r="BW127" s="4">
        <v>1</v>
      </c>
      <c r="BX127" s="4">
        <v>0</v>
      </c>
      <c r="CL127"/>
      <c r="DN127"/>
      <c r="DO127"/>
      <c r="DP127"/>
      <c r="DQ127"/>
      <c r="DR127"/>
      <c r="DS127"/>
      <c r="DU127"/>
      <c r="DZ127"/>
      <c r="EA127"/>
      <c r="EB127"/>
      <c r="ED127"/>
      <c r="EI127"/>
    </row>
    <row r="128" spans="1:139" x14ac:dyDescent="0.25">
      <c r="A128" s="3" t="s">
        <v>284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142"/>
      <c r="M128" s="4"/>
      <c r="N128" s="4">
        <v>0</v>
      </c>
      <c r="O128" s="4">
        <v>1</v>
      </c>
      <c r="P128" s="4">
        <v>0</v>
      </c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0</v>
      </c>
      <c r="BW128" s="4">
        <v>1</v>
      </c>
      <c r="BX128" s="4">
        <v>0</v>
      </c>
      <c r="CL128"/>
      <c r="DN128"/>
      <c r="DO128"/>
      <c r="DP128"/>
      <c r="DQ128"/>
      <c r="DR128"/>
      <c r="DS128"/>
      <c r="DU128"/>
      <c r="DZ128"/>
      <c r="EA128"/>
      <c r="EB128"/>
      <c r="ED128"/>
      <c r="EI128"/>
    </row>
    <row r="129" spans="1:139" x14ac:dyDescent="0.25">
      <c r="A129" s="3" t="s">
        <v>1859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142"/>
      <c r="M129" s="4"/>
      <c r="N129" s="4">
        <v>0</v>
      </c>
      <c r="O129" s="4">
        <v>1</v>
      </c>
      <c r="P129" s="4">
        <v>0</v>
      </c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>
        <v>0</v>
      </c>
      <c r="BW129" s="4">
        <v>1</v>
      </c>
      <c r="BX129" s="4">
        <v>0</v>
      </c>
      <c r="CL129"/>
      <c r="DN129"/>
      <c r="DO129"/>
      <c r="DP129"/>
      <c r="DQ129"/>
      <c r="DR129"/>
      <c r="DS129"/>
      <c r="DU129"/>
      <c r="DZ129"/>
      <c r="EA129"/>
      <c r="EB129"/>
      <c r="ED129"/>
      <c r="EI129"/>
    </row>
    <row r="130" spans="1:139" x14ac:dyDescent="0.25">
      <c r="A130" s="3" t="s">
        <v>1454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142"/>
      <c r="M130" s="4"/>
      <c r="N130" s="4">
        <v>0</v>
      </c>
      <c r="O130" s="4">
        <v>1</v>
      </c>
      <c r="P130" s="4">
        <v>0</v>
      </c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>
        <v>0</v>
      </c>
      <c r="BW130" s="4">
        <v>1</v>
      </c>
      <c r="BX130" s="4">
        <v>0</v>
      </c>
      <c r="CL130"/>
      <c r="DN130"/>
      <c r="DO130"/>
      <c r="DP130"/>
      <c r="DQ130"/>
      <c r="DR130"/>
      <c r="DS130"/>
      <c r="DU130"/>
      <c r="DZ130"/>
      <c r="EA130"/>
      <c r="EB130"/>
      <c r="ED130"/>
      <c r="EI130"/>
    </row>
    <row r="131" spans="1:139" x14ac:dyDescent="0.25">
      <c r="A131" s="3" t="s">
        <v>40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142"/>
      <c r="M131" s="4"/>
      <c r="N131" s="4">
        <v>1</v>
      </c>
      <c r="O131" s="4">
        <v>1</v>
      </c>
      <c r="P131" s="4">
        <v>0</v>
      </c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>
        <v>0</v>
      </c>
      <c r="BQ131" s="4">
        <v>2</v>
      </c>
      <c r="BR131" s="4">
        <v>1</v>
      </c>
      <c r="BS131" s="4"/>
      <c r="BT131" s="4"/>
      <c r="BU131" s="4"/>
      <c r="BV131" s="4">
        <v>1</v>
      </c>
      <c r="BW131" s="4">
        <v>3</v>
      </c>
      <c r="BX131" s="4">
        <v>1</v>
      </c>
      <c r="CL131"/>
      <c r="DN131"/>
      <c r="DO131"/>
      <c r="DP131"/>
      <c r="DQ131"/>
      <c r="DR131"/>
      <c r="DS131"/>
      <c r="DU131"/>
      <c r="DZ131"/>
      <c r="EA131"/>
      <c r="EB131"/>
      <c r="ED131"/>
      <c r="EI131"/>
    </row>
    <row r="132" spans="1:139" x14ac:dyDescent="0.25">
      <c r="A132" s="3" t="s">
        <v>1553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142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>
        <v>0</v>
      </c>
      <c r="AA132" s="4">
        <v>1</v>
      </c>
      <c r="AB132" s="4">
        <v>0</v>
      </c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>
        <v>0</v>
      </c>
      <c r="BW132" s="4">
        <v>1</v>
      </c>
      <c r="BX132" s="4">
        <v>0</v>
      </c>
      <c r="CL132"/>
      <c r="DN132"/>
      <c r="DO132"/>
      <c r="DP132"/>
      <c r="DQ132"/>
      <c r="DR132"/>
      <c r="DS132"/>
      <c r="DU132"/>
      <c r="DZ132"/>
      <c r="EA132"/>
      <c r="EB132"/>
      <c r="ED132"/>
      <c r="EI132"/>
    </row>
    <row r="133" spans="1:139" x14ac:dyDescent="0.25">
      <c r="A133" s="3" t="s">
        <v>152</v>
      </c>
      <c r="B133" s="4"/>
      <c r="C133" s="4"/>
      <c r="D133" s="4"/>
      <c r="E133" s="4"/>
      <c r="F133" s="4"/>
      <c r="G133" s="4"/>
      <c r="H133" s="4"/>
      <c r="I133" s="4"/>
      <c r="J133" s="4"/>
      <c r="K133" s="4">
        <v>0</v>
      </c>
      <c r="L133" s="142">
        <v>1</v>
      </c>
      <c r="M133" s="4">
        <v>0</v>
      </c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>
        <v>1</v>
      </c>
      <c r="AP133" s="4">
        <v>0</v>
      </c>
      <c r="AQ133" s="4">
        <v>0</v>
      </c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>
        <v>1</v>
      </c>
      <c r="BW133" s="4">
        <v>1</v>
      </c>
      <c r="BX133" s="4">
        <v>0</v>
      </c>
      <c r="CL133"/>
      <c r="DN133"/>
      <c r="DO133"/>
      <c r="DP133"/>
      <c r="DQ133"/>
      <c r="DR133"/>
      <c r="DS133"/>
      <c r="DU133"/>
      <c r="DZ133"/>
      <c r="EA133"/>
      <c r="EB133"/>
      <c r="ED133"/>
      <c r="EI133"/>
    </row>
    <row r="134" spans="1:139" x14ac:dyDescent="0.25">
      <c r="A134" s="3" t="s">
        <v>1642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142"/>
      <c r="M134" s="4"/>
      <c r="N134" s="4">
        <v>0</v>
      </c>
      <c r="O134" s="4">
        <v>1</v>
      </c>
      <c r="P134" s="4">
        <v>0</v>
      </c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>
        <v>0</v>
      </c>
      <c r="BW134" s="4">
        <v>1</v>
      </c>
      <c r="BX134" s="4">
        <v>0</v>
      </c>
      <c r="CL134"/>
      <c r="DN134"/>
      <c r="DO134"/>
      <c r="DP134"/>
      <c r="DQ134"/>
      <c r="DR134"/>
      <c r="DS134"/>
      <c r="DU134"/>
      <c r="DZ134"/>
      <c r="EA134"/>
      <c r="EB134"/>
      <c r="ED134"/>
      <c r="EI134"/>
    </row>
    <row r="135" spans="1:139" x14ac:dyDescent="0.25">
      <c r="A135" s="3" t="s">
        <v>897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142"/>
      <c r="M135" s="4"/>
      <c r="N135" s="4"/>
      <c r="O135" s="4"/>
      <c r="P135" s="4"/>
      <c r="Q135" s="4"/>
      <c r="R135" s="4"/>
      <c r="S135" s="4"/>
      <c r="T135" s="4">
        <v>1</v>
      </c>
      <c r="U135" s="4">
        <v>0</v>
      </c>
      <c r="V135" s="4">
        <v>0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>
        <v>1</v>
      </c>
      <c r="BW135" s="4">
        <v>0</v>
      </c>
      <c r="BX135" s="4">
        <v>0</v>
      </c>
      <c r="CL135"/>
      <c r="DN135"/>
      <c r="DO135"/>
      <c r="DP135"/>
      <c r="DQ135"/>
      <c r="DR135"/>
      <c r="DS135"/>
      <c r="DU135"/>
      <c r="DZ135"/>
      <c r="EA135"/>
      <c r="EB135"/>
      <c r="ED135"/>
      <c r="EI135"/>
    </row>
    <row r="136" spans="1:139" x14ac:dyDescent="0.25">
      <c r="A136" s="3" t="s">
        <v>22</v>
      </c>
      <c r="B136" s="4"/>
      <c r="C136" s="4"/>
      <c r="D136" s="4"/>
      <c r="E136" s="4"/>
      <c r="F136" s="4"/>
      <c r="G136" s="4"/>
      <c r="H136" s="4"/>
      <c r="I136" s="4"/>
      <c r="J136" s="4"/>
      <c r="K136" s="4">
        <v>1</v>
      </c>
      <c r="L136" s="142">
        <v>3</v>
      </c>
      <c r="M136" s="4">
        <v>4</v>
      </c>
      <c r="N136" s="4">
        <v>1</v>
      </c>
      <c r="O136" s="4">
        <v>0</v>
      </c>
      <c r="P136" s="4">
        <v>2</v>
      </c>
      <c r="Q136" s="4">
        <v>0</v>
      </c>
      <c r="R136" s="4">
        <v>1</v>
      </c>
      <c r="S136" s="4">
        <v>0</v>
      </c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>
        <v>2</v>
      </c>
      <c r="BW136" s="4">
        <v>4</v>
      </c>
      <c r="BX136" s="4">
        <v>6</v>
      </c>
      <c r="CL136"/>
      <c r="DN136"/>
      <c r="DO136"/>
      <c r="DP136"/>
      <c r="DQ136"/>
      <c r="DR136"/>
      <c r="DS136"/>
      <c r="DU136"/>
      <c r="DZ136"/>
      <c r="EA136"/>
      <c r="EB136"/>
      <c r="ED136"/>
      <c r="EI136"/>
    </row>
    <row r="137" spans="1:139" x14ac:dyDescent="0.25">
      <c r="A137" s="3" t="s">
        <v>737</v>
      </c>
      <c r="B137" s="4"/>
      <c r="C137" s="4"/>
      <c r="D137" s="4"/>
      <c r="E137" s="4"/>
      <c r="F137" s="4"/>
      <c r="G137" s="4"/>
      <c r="H137" s="4"/>
      <c r="I137" s="4"/>
      <c r="J137" s="4"/>
      <c r="K137" s="4">
        <v>0</v>
      </c>
      <c r="L137" s="142">
        <v>0</v>
      </c>
      <c r="M137" s="4">
        <v>1</v>
      </c>
      <c r="N137" s="4">
        <v>0</v>
      </c>
      <c r="O137" s="4">
        <v>0</v>
      </c>
      <c r="P137" s="4">
        <v>1</v>
      </c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>
        <v>0</v>
      </c>
      <c r="BW137" s="4">
        <v>0</v>
      </c>
      <c r="BX137" s="4">
        <v>2</v>
      </c>
      <c r="CL137"/>
      <c r="DN137"/>
      <c r="DO137"/>
      <c r="DP137"/>
      <c r="DQ137"/>
      <c r="DR137"/>
      <c r="DS137"/>
      <c r="DU137"/>
      <c r="DZ137"/>
      <c r="EA137"/>
      <c r="EB137"/>
      <c r="ED137"/>
      <c r="EI137"/>
    </row>
    <row r="138" spans="1:139" x14ac:dyDescent="0.25">
      <c r="A138" s="3" t="s">
        <v>205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142"/>
      <c r="M138" s="4"/>
      <c r="N138" s="4">
        <v>0</v>
      </c>
      <c r="O138" s="4">
        <v>3</v>
      </c>
      <c r="P138" s="4">
        <v>1</v>
      </c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>
        <v>0</v>
      </c>
      <c r="BW138" s="4">
        <v>3</v>
      </c>
      <c r="BX138" s="4">
        <v>1</v>
      </c>
      <c r="CL138"/>
      <c r="DN138"/>
      <c r="DO138"/>
      <c r="DP138"/>
      <c r="DQ138"/>
      <c r="DR138"/>
      <c r="DS138"/>
      <c r="DU138"/>
      <c r="DZ138"/>
      <c r="EA138"/>
      <c r="EB138"/>
      <c r="ED138"/>
      <c r="EI138"/>
    </row>
    <row r="139" spans="1:139" x14ac:dyDescent="0.25">
      <c r="A139" s="3" t="s">
        <v>905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142"/>
      <c r="M139" s="4"/>
      <c r="N139" s="4">
        <v>0</v>
      </c>
      <c r="O139" s="4">
        <v>1</v>
      </c>
      <c r="P139" s="4">
        <v>0</v>
      </c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>
        <v>0</v>
      </c>
      <c r="BW139" s="4">
        <v>1</v>
      </c>
      <c r="BX139" s="4">
        <v>0</v>
      </c>
      <c r="CL139"/>
      <c r="DN139"/>
      <c r="DO139"/>
      <c r="DP139"/>
      <c r="DQ139"/>
      <c r="DR139"/>
      <c r="DS139"/>
      <c r="DU139"/>
      <c r="DZ139"/>
      <c r="EA139"/>
      <c r="EB139"/>
      <c r="ED139"/>
      <c r="EI139"/>
    </row>
    <row r="140" spans="1:139" x14ac:dyDescent="0.25">
      <c r="A140" s="3" t="s">
        <v>1493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142"/>
      <c r="M140" s="4"/>
      <c r="N140" s="4">
        <v>1</v>
      </c>
      <c r="O140" s="4">
        <v>1</v>
      </c>
      <c r="P140" s="4">
        <v>0</v>
      </c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>
        <v>1</v>
      </c>
      <c r="BW140" s="4">
        <v>1</v>
      </c>
      <c r="BX140" s="4">
        <v>0</v>
      </c>
      <c r="CL140"/>
      <c r="DN140"/>
      <c r="DO140"/>
      <c r="DP140"/>
      <c r="DQ140"/>
      <c r="DR140"/>
      <c r="DS140"/>
      <c r="DU140"/>
      <c r="DZ140"/>
      <c r="EA140"/>
      <c r="EB140"/>
      <c r="ED140"/>
      <c r="EI140"/>
    </row>
    <row r="141" spans="1:139" x14ac:dyDescent="0.25">
      <c r="A141" s="3" t="s">
        <v>868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142"/>
      <c r="M141" s="4"/>
      <c r="N141" s="4"/>
      <c r="O141" s="4"/>
      <c r="P141" s="4"/>
      <c r="Q141" s="4">
        <v>1</v>
      </c>
      <c r="R141" s="4">
        <v>0</v>
      </c>
      <c r="S141" s="4">
        <v>0</v>
      </c>
      <c r="T141" s="4">
        <v>0</v>
      </c>
      <c r="U141" s="4">
        <v>3</v>
      </c>
      <c r="V141" s="4">
        <v>0</v>
      </c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>
        <v>1</v>
      </c>
      <c r="BW141" s="4">
        <v>3</v>
      </c>
      <c r="BX141" s="4">
        <v>0</v>
      </c>
      <c r="CL141"/>
      <c r="DN141"/>
      <c r="DO141"/>
      <c r="DP141"/>
      <c r="DQ141"/>
      <c r="DR141"/>
      <c r="DS141"/>
      <c r="DU141"/>
      <c r="DZ141"/>
      <c r="EA141"/>
      <c r="EB141"/>
      <c r="ED141"/>
      <c r="EI141"/>
    </row>
    <row r="142" spans="1:139" x14ac:dyDescent="0.25">
      <c r="A142" s="3" t="s">
        <v>506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142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>
        <v>1</v>
      </c>
      <c r="BN142" s="4">
        <v>0</v>
      </c>
      <c r="BO142" s="4">
        <v>1</v>
      </c>
      <c r="BP142" s="4"/>
      <c r="BQ142" s="4"/>
      <c r="BR142" s="4"/>
      <c r="BS142" s="4"/>
      <c r="BT142" s="4"/>
      <c r="BU142" s="4"/>
      <c r="BV142" s="4">
        <v>1</v>
      </c>
      <c r="BW142" s="4">
        <v>0</v>
      </c>
      <c r="BX142" s="4">
        <v>1</v>
      </c>
      <c r="CL142"/>
      <c r="DN142"/>
      <c r="DO142"/>
      <c r="DP142"/>
      <c r="DQ142"/>
      <c r="DR142"/>
      <c r="DS142"/>
      <c r="DU142"/>
      <c r="DZ142"/>
      <c r="EA142"/>
      <c r="EB142"/>
      <c r="ED142"/>
      <c r="EI142"/>
    </row>
    <row r="143" spans="1:139" x14ac:dyDescent="0.25">
      <c r="A143" s="3" t="s">
        <v>2109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142"/>
      <c r="M143" s="4"/>
      <c r="N143" s="4">
        <v>0</v>
      </c>
      <c r="O143" s="4">
        <v>1</v>
      </c>
      <c r="P143" s="4">
        <v>1</v>
      </c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>
        <v>0</v>
      </c>
      <c r="BW143" s="4">
        <v>1</v>
      </c>
      <c r="BX143" s="4">
        <v>1</v>
      </c>
      <c r="CL143"/>
      <c r="DN143"/>
      <c r="DO143"/>
      <c r="DP143"/>
      <c r="DQ143"/>
      <c r="DR143"/>
      <c r="DS143"/>
      <c r="DU143"/>
      <c r="DZ143"/>
      <c r="EA143"/>
      <c r="EB143"/>
      <c r="ED143"/>
      <c r="EI143"/>
    </row>
    <row r="144" spans="1:139" x14ac:dyDescent="0.25">
      <c r="A144" s="3" t="s">
        <v>2273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142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CL144"/>
      <c r="DN144"/>
      <c r="DO144"/>
      <c r="DP144"/>
      <c r="DQ144"/>
      <c r="DR144"/>
      <c r="DS144"/>
      <c r="DU144"/>
      <c r="DZ144"/>
      <c r="EA144"/>
      <c r="EB144"/>
      <c r="ED144"/>
      <c r="EI144"/>
    </row>
    <row r="145" spans="1:139" x14ac:dyDescent="0.25">
      <c r="A145" s="3" t="s">
        <v>2133</v>
      </c>
      <c r="B145" s="4">
        <v>0</v>
      </c>
      <c r="C145" s="4">
        <v>1</v>
      </c>
      <c r="D145" s="4">
        <v>0</v>
      </c>
      <c r="E145" s="4">
        <v>0</v>
      </c>
      <c r="F145" s="4">
        <v>2</v>
      </c>
      <c r="G145" s="4">
        <v>0</v>
      </c>
      <c r="H145" s="4"/>
      <c r="I145" s="4"/>
      <c r="J145" s="4"/>
      <c r="K145" s="4">
        <v>26</v>
      </c>
      <c r="L145" s="142">
        <v>59</v>
      </c>
      <c r="M145" s="4">
        <v>30</v>
      </c>
      <c r="N145" s="4">
        <v>37</v>
      </c>
      <c r="O145" s="4">
        <v>185</v>
      </c>
      <c r="P145" s="4">
        <v>59</v>
      </c>
      <c r="Q145" s="4">
        <v>9</v>
      </c>
      <c r="R145" s="4">
        <v>23</v>
      </c>
      <c r="S145" s="4">
        <v>11</v>
      </c>
      <c r="T145" s="4">
        <v>68</v>
      </c>
      <c r="U145" s="4">
        <v>155</v>
      </c>
      <c r="V145" s="4">
        <v>35</v>
      </c>
      <c r="W145" s="4">
        <v>0</v>
      </c>
      <c r="X145" s="4">
        <v>2</v>
      </c>
      <c r="Y145" s="4">
        <v>0</v>
      </c>
      <c r="Z145" s="4">
        <v>1</v>
      </c>
      <c r="AA145" s="4">
        <v>7</v>
      </c>
      <c r="AB145" s="4">
        <v>1</v>
      </c>
      <c r="AC145" s="4">
        <v>1</v>
      </c>
      <c r="AD145" s="4">
        <v>6</v>
      </c>
      <c r="AE145" s="4">
        <v>1</v>
      </c>
      <c r="AF145" s="4">
        <v>0</v>
      </c>
      <c r="AG145" s="4">
        <v>5</v>
      </c>
      <c r="AH145" s="4">
        <v>1</v>
      </c>
      <c r="AI145" s="4">
        <v>1</v>
      </c>
      <c r="AJ145" s="4">
        <v>2</v>
      </c>
      <c r="AK145" s="4">
        <v>1</v>
      </c>
      <c r="AL145" s="4">
        <v>1</v>
      </c>
      <c r="AM145" s="4">
        <v>7</v>
      </c>
      <c r="AN145" s="4">
        <v>2</v>
      </c>
      <c r="AO145" s="4">
        <v>8</v>
      </c>
      <c r="AP145" s="4">
        <v>14</v>
      </c>
      <c r="AQ145" s="4">
        <v>2</v>
      </c>
      <c r="AR145" s="4">
        <v>0</v>
      </c>
      <c r="AS145" s="4">
        <v>1</v>
      </c>
      <c r="AT145" s="4">
        <v>1</v>
      </c>
      <c r="AU145" s="4">
        <v>0</v>
      </c>
      <c r="AV145" s="4">
        <v>4</v>
      </c>
      <c r="AW145" s="4">
        <v>0</v>
      </c>
      <c r="AX145" s="4">
        <v>0</v>
      </c>
      <c r="AY145" s="4">
        <v>3</v>
      </c>
      <c r="AZ145" s="4">
        <v>0</v>
      </c>
      <c r="BA145" s="4">
        <v>0</v>
      </c>
      <c r="BB145" s="4">
        <v>1</v>
      </c>
      <c r="BC145" s="4">
        <v>0</v>
      </c>
      <c r="BD145" s="4">
        <v>0</v>
      </c>
      <c r="BE145" s="4">
        <v>2</v>
      </c>
      <c r="BF145" s="4">
        <v>0</v>
      </c>
      <c r="BG145" s="4">
        <v>0</v>
      </c>
      <c r="BH145" s="4">
        <v>3</v>
      </c>
      <c r="BI145" s="4">
        <v>0</v>
      </c>
      <c r="BJ145" s="4">
        <v>1</v>
      </c>
      <c r="BK145" s="4">
        <v>0</v>
      </c>
      <c r="BL145" s="4">
        <v>0</v>
      </c>
      <c r="BM145" s="4">
        <v>1</v>
      </c>
      <c r="BN145" s="4">
        <v>0</v>
      </c>
      <c r="BO145" s="4">
        <v>1</v>
      </c>
      <c r="BP145" s="4">
        <v>3</v>
      </c>
      <c r="BQ145" s="4">
        <v>9</v>
      </c>
      <c r="BR145" s="4">
        <v>1</v>
      </c>
      <c r="BS145" s="4">
        <v>1</v>
      </c>
      <c r="BT145" s="4">
        <v>12</v>
      </c>
      <c r="BU145" s="4">
        <v>1</v>
      </c>
      <c r="BV145" s="4">
        <v>158</v>
      </c>
      <c r="BW145" s="4">
        <v>503</v>
      </c>
      <c r="BX145" s="4">
        <v>147</v>
      </c>
      <c r="CL145"/>
      <c r="DN145"/>
      <c r="DO145"/>
      <c r="DP145"/>
      <c r="DQ145"/>
      <c r="DR145"/>
      <c r="DS145"/>
      <c r="DU145"/>
      <c r="DZ145"/>
      <c r="EA145"/>
      <c r="EB145"/>
      <c r="ED145"/>
      <c r="EI14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14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defaultRowHeight="15" x14ac:dyDescent="0.25"/>
  <cols>
    <col min="1" max="1" width="9.140625" style="79"/>
    <col min="2" max="2" width="31" style="104" bestFit="1" customWidth="1"/>
    <col min="3" max="4" width="13.140625" style="104" hidden="1" customWidth="1"/>
    <col min="5" max="5" width="14.140625" style="79" customWidth="1"/>
    <col min="6" max="7" width="14.7109375" style="109" customWidth="1"/>
    <col min="8" max="9" width="35.7109375" style="116" customWidth="1"/>
    <col min="10" max="11" width="14.7109375" style="117" customWidth="1"/>
    <col min="12" max="12" width="40" style="126" customWidth="1"/>
    <col min="13" max="13" width="35.7109375" style="123" customWidth="1"/>
    <col min="14" max="15" width="14.7109375" style="128" customWidth="1"/>
    <col min="16" max="16" width="40" style="129" customWidth="1"/>
    <col min="17" max="17" width="35.7109375" style="130" customWidth="1"/>
    <col min="18" max="16384" width="9.140625" style="104"/>
  </cols>
  <sheetData>
    <row r="1" spans="1:17" s="79" customFormat="1" x14ac:dyDescent="0.25">
      <c r="F1" s="109"/>
      <c r="G1" s="109"/>
      <c r="H1" s="109"/>
      <c r="I1" s="109"/>
      <c r="J1" s="117"/>
      <c r="K1" s="117"/>
      <c r="L1" s="139"/>
      <c r="M1" s="117"/>
      <c r="N1" s="128"/>
      <c r="O1" s="128"/>
      <c r="P1" s="140"/>
      <c r="Q1" s="128"/>
    </row>
    <row r="2" spans="1:17" ht="24" customHeight="1" x14ac:dyDescent="0.25">
      <c r="A2" s="160" t="s">
        <v>2300</v>
      </c>
      <c r="B2" s="160" t="s">
        <v>2299</v>
      </c>
      <c r="C2" s="160" t="s">
        <v>2376</v>
      </c>
      <c r="D2" s="160" t="s">
        <v>2377</v>
      </c>
      <c r="E2" s="160" t="s">
        <v>2307</v>
      </c>
      <c r="F2" s="153" t="s">
        <v>2303</v>
      </c>
      <c r="G2" s="154"/>
      <c r="H2" s="154"/>
      <c r="I2" s="155"/>
      <c r="J2" s="156" t="s">
        <v>2304</v>
      </c>
      <c r="K2" s="157"/>
      <c r="L2" s="157"/>
      <c r="M2" s="158"/>
      <c r="N2" s="159" t="s">
        <v>2305</v>
      </c>
      <c r="O2" s="159"/>
      <c r="P2" s="159"/>
      <c r="Q2" s="159"/>
    </row>
    <row r="3" spans="1:17" x14ac:dyDescent="0.25">
      <c r="A3" s="160"/>
      <c r="B3" s="160"/>
      <c r="C3" s="160"/>
      <c r="D3" s="160"/>
      <c r="E3" s="160"/>
      <c r="F3" s="110" t="s">
        <v>2244</v>
      </c>
      <c r="G3" s="110" t="s">
        <v>2306</v>
      </c>
      <c r="H3" s="110" t="s">
        <v>2243</v>
      </c>
      <c r="I3" s="110" t="s">
        <v>2331</v>
      </c>
      <c r="J3" s="118" t="s">
        <v>2244</v>
      </c>
      <c r="K3" s="118" t="s">
        <v>2306</v>
      </c>
      <c r="L3" s="118" t="s">
        <v>2243</v>
      </c>
      <c r="M3" s="118" t="s">
        <v>2331</v>
      </c>
      <c r="N3" s="131" t="s">
        <v>2244</v>
      </c>
      <c r="O3" s="131" t="s">
        <v>2306</v>
      </c>
      <c r="P3" s="131" t="s">
        <v>2243</v>
      </c>
      <c r="Q3" s="131" t="s">
        <v>2331</v>
      </c>
    </row>
    <row r="4" spans="1:17" ht="45" x14ac:dyDescent="0.25">
      <c r="A4" s="107">
        <v>1</v>
      </c>
      <c r="B4" s="108" t="s">
        <v>1064</v>
      </c>
      <c r="C4" s="107">
        <f>MATCH(B4,'Pivot - Psgr &amp; Sector'!A:A,0)</f>
        <v>8</v>
      </c>
      <c r="D4" s="107">
        <f>MATCH(B4,'Pivot - Psgr &amp; Airline'!A:A,0)</f>
        <v>8</v>
      </c>
      <c r="E4" s="107">
        <f>COUNTIF(Travel!E:E,B4)</f>
        <v>2</v>
      </c>
      <c r="F4" s="111">
        <f>INDEX('Pivot - Psgr &amp; Sector'!MR:MR,MATCH(B4,'Pivot - Psgr &amp; Sector'!A:A,0))</f>
        <v>2</v>
      </c>
      <c r="G4" s="112">
        <f t="shared" ref="G4:G35" si="0">F4/E4</f>
        <v>1</v>
      </c>
      <c r="H4" s="113" t="s">
        <v>2334</v>
      </c>
      <c r="I4" s="113" t="s">
        <v>2378</v>
      </c>
      <c r="J4" s="119">
        <f>INDEX('Pivot - Psgr &amp; Sector'!MS:MS,MATCH(B4,'Pivot - Psgr &amp; Sector'!A:A,0))</f>
        <v>0</v>
      </c>
      <c r="K4" s="120">
        <f t="shared" ref="K4:K35" si="1">J4/E4</f>
        <v>0</v>
      </c>
      <c r="L4" s="124" t="s">
        <v>2341</v>
      </c>
      <c r="M4" s="124" t="s">
        <v>2341</v>
      </c>
      <c r="N4" s="132">
        <f>INDEX('Pivot - Psgr &amp; Sector'!MT:MT,MATCH(B4,'Pivot - Psgr &amp; Sector'!A:A,0))</f>
        <v>0</v>
      </c>
      <c r="O4" s="133">
        <f t="shared" ref="O4:O35" si="2">N4/E4</f>
        <v>0</v>
      </c>
      <c r="P4" s="134" t="s">
        <v>2341</v>
      </c>
      <c r="Q4" s="134" t="s">
        <v>2341</v>
      </c>
    </row>
    <row r="5" spans="1:17" ht="30" x14ac:dyDescent="0.25">
      <c r="A5" s="107">
        <f>A4+1</f>
        <v>2</v>
      </c>
      <c r="B5" s="108" t="s">
        <v>1692</v>
      </c>
      <c r="C5" s="107">
        <f>MATCH(B5,'Pivot - Psgr &amp; Sector'!A:A,0)</f>
        <v>9</v>
      </c>
      <c r="D5" s="107">
        <f>MATCH(B5,'Pivot - Psgr &amp; Airline'!A:A,0)</f>
        <v>9</v>
      </c>
      <c r="E5" s="107">
        <f>COUNTIF(Travel!E:E,B5)</f>
        <v>1</v>
      </c>
      <c r="F5" s="111">
        <f>INDEX('Pivot - Psgr &amp; Sector'!MR:MR,MATCH(B5,'Pivot - Psgr &amp; Sector'!A:A,0))</f>
        <v>1</v>
      </c>
      <c r="G5" s="112">
        <f t="shared" si="0"/>
        <v>1</v>
      </c>
      <c r="H5" s="113" t="s">
        <v>2335</v>
      </c>
      <c r="I5" s="113" t="s">
        <v>2379</v>
      </c>
      <c r="J5" s="119">
        <f>INDEX('Pivot - Psgr &amp; Sector'!MS:MS,MATCH(B5,'Pivot - Psgr &amp; Sector'!A:A,0))</f>
        <v>0</v>
      </c>
      <c r="K5" s="120">
        <f t="shared" si="1"/>
        <v>0</v>
      </c>
      <c r="L5" s="124" t="s">
        <v>2341</v>
      </c>
      <c r="M5" s="124" t="s">
        <v>2341</v>
      </c>
      <c r="N5" s="132">
        <f>INDEX('Pivot - Psgr &amp; Sector'!MT:MT,MATCH(B5,'Pivot - Psgr &amp; Sector'!A:A,0))</f>
        <v>0</v>
      </c>
      <c r="O5" s="133">
        <f t="shared" si="2"/>
        <v>0</v>
      </c>
      <c r="P5" s="134" t="s">
        <v>2341</v>
      </c>
      <c r="Q5" s="134" t="s">
        <v>2341</v>
      </c>
    </row>
    <row r="6" spans="1:17" ht="30" x14ac:dyDescent="0.25">
      <c r="A6" s="107">
        <f>A5+1</f>
        <v>3</v>
      </c>
      <c r="B6" s="108" t="s">
        <v>1797</v>
      </c>
      <c r="C6" s="107">
        <f>MATCH(B6,'Pivot - Psgr &amp; Sector'!A:A,0)</f>
        <v>16</v>
      </c>
      <c r="D6" s="107">
        <f>MATCH(B6,'Pivot - Psgr &amp; Airline'!A:A,0)</f>
        <v>20</v>
      </c>
      <c r="E6" s="107">
        <f>COUNTIF(Travel!E:E,B6)</f>
        <v>1</v>
      </c>
      <c r="F6" s="111">
        <f>INDEX('Pivot - Psgr &amp; Sector'!MR:MR,MATCH(B6,'Pivot - Psgr &amp; Sector'!A:A,0))</f>
        <v>1</v>
      </c>
      <c r="G6" s="112">
        <f t="shared" si="0"/>
        <v>1</v>
      </c>
      <c r="H6" s="113" t="s">
        <v>2336</v>
      </c>
      <c r="I6" s="113" t="s">
        <v>2380</v>
      </c>
      <c r="J6" s="119">
        <f>INDEX('Pivot - Psgr &amp; Sector'!MS:MS,MATCH(B6,'Pivot - Psgr &amp; Sector'!A:A,0))</f>
        <v>0</v>
      </c>
      <c r="K6" s="120">
        <f t="shared" si="1"/>
        <v>0</v>
      </c>
      <c r="L6" s="124" t="s">
        <v>2341</v>
      </c>
      <c r="M6" s="124" t="s">
        <v>2341</v>
      </c>
      <c r="N6" s="132">
        <f>INDEX('Pivot - Psgr &amp; Sector'!MT:MT,MATCH(B6,'Pivot - Psgr &amp; Sector'!A:A,0))</f>
        <v>0</v>
      </c>
      <c r="O6" s="133">
        <f t="shared" si="2"/>
        <v>0</v>
      </c>
      <c r="P6" s="134" t="s">
        <v>2341</v>
      </c>
      <c r="Q6" s="134" t="s">
        <v>2341</v>
      </c>
    </row>
    <row r="7" spans="1:17" ht="30" x14ac:dyDescent="0.25">
      <c r="A7" s="107">
        <f t="shared" ref="A7:A71" si="3">A6+1</f>
        <v>4</v>
      </c>
      <c r="B7" s="108" t="s">
        <v>1398</v>
      </c>
      <c r="C7" s="107">
        <f>MATCH(B7,'Pivot - Psgr &amp; Sector'!A:A,0)</f>
        <v>21</v>
      </c>
      <c r="D7" s="107">
        <f>MATCH(B7,'Pivot - Psgr &amp; Airline'!A:A,0)</f>
        <v>28</v>
      </c>
      <c r="E7" s="107">
        <f>COUNTIF(Travel!E:E,B7)</f>
        <v>2</v>
      </c>
      <c r="F7" s="111">
        <f>INDEX('Pivot - Psgr &amp; Sector'!MR:MR,MATCH(B7,'Pivot - Psgr &amp; Sector'!A:A,0))</f>
        <v>1</v>
      </c>
      <c r="G7" s="112">
        <f t="shared" si="0"/>
        <v>0.5</v>
      </c>
      <c r="H7" s="113" t="s">
        <v>2337</v>
      </c>
      <c r="I7" s="113" t="s">
        <v>2380</v>
      </c>
      <c r="J7" s="119">
        <f>INDEX('Pivot - Psgr &amp; Sector'!MS:MS,MATCH(B7,'Pivot - Psgr &amp; Sector'!A:A,0))</f>
        <v>1</v>
      </c>
      <c r="K7" s="120">
        <f t="shared" si="1"/>
        <v>0.5</v>
      </c>
      <c r="L7" s="124" t="s">
        <v>2338</v>
      </c>
      <c r="M7" s="124" t="s">
        <v>2385</v>
      </c>
      <c r="N7" s="132">
        <f>INDEX('Pivot - Psgr &amp; Sector'!MT:MT,MATCH(B7,'Pivot - Psgr &amp; Sector'!A:A,0))</f>
        <v>0</v>
      </c>
      <c r="O7" s="133">
        <f t="shared" si="2"/>
        <v>0</v>
      </c>
      <c r="P7" s="134" t="s">
        <v>2341</v>
      </c>
      <c r="Q7" s="134" t="s">
        <v>2341</v>
      </c>
    </row>
    <row r="8" spans="1:17" ht="30" x14ac:dyDescent="0.25">
      <c r="A8" s="107">
        <f t="shared" si="3"/>
        <v>5</v>
      </c>
      <c r="B8" s="108" t="s">
        <v>1095</v>
      </c>
      <c r="C8" s="107">
        <f>MATCH(B8,'Pivot - Psgr &amp; Sector'!A:A,0)</f>
        <v>22</v>
      </c>
      <c r="D8" s="107">
        <f>MATCH(B8,'Pivot - Psgr &amp; Airline'!A:A,0)</f>
        <v>32</v>
      </c>
      <c r="E8" s="107">
        <f>COUNTIF(Travel!E:E,B8)</f>
        <v>2</v>
      </c>
      <c r="F8" s="111">
        <f>INDEX('Pivot - Psgr &amp; Sector'!MR:MR,MATCH(B8,'Pivot - Psgr &amp; Sector'!A:A,0))</f>
        <v>1</v>
      </c>
      <c r="G8" s="112">
        <f t="shared" si="0"/>
        <v>0.5</v>
      </c>
      <c r="H8" s="113" t="s">
        <v>2338</v>
      </c>
      <c r="I8" s="113" t="s">
        <v>2380</v>
      </c>
      <c r="J8" s="119">
        <f>INDEX('Pivot - Psgr &amp; Sector'!MS:MS,MATCH(B8,'Pivot - Psgr &amp; Sector'!A:A,0))</f>
        <v>1</v>
      </c>
      <c r="K8" s="120">
        <f t="shared" si="1"/>
        <v>0.5</v>
      </c>
      <c r="L8" s="124" t="s">
        <v>2337</v>
      </c>
      <c r="M8" s="124" t="s">
        <v>2380</v>
      </c>
      <c r="N8" s="132">
        <f>INDEX('Pivot - Psgr &amp; Sector'!MT:MT,MATCH(B8,'Pivot - Psgr &amp; Sector'!A:A,0))</f>
        <v>0</v>
      </c>
      <c r="O8" s="133">
        <f t="shared" si="2"/>
        <v>0</v>
      </c>
      <c r="P8" s="134" t="s">
        <v>2341</v>
      </c>
      <c r="Q8" s="134" t="s">
        <v>2341</v>
      </c>
    </row>
    <row r="9" spans="1:17" ht="30" x14ac:dyDescent="0.25">
      <c r="A9" s="107">
        <f t="shared" si="3"/>
        <v>6</v>
      </c>
      <c r="B9" s="108" t="s">
        <v>2038</v>
      </c>
      <c r="C9" s="107">
        <f>MATCH(B9,'Pivot - Psgr &amp; Sector'!A:A,0)</f>
        <v>29</v>
      </c>
      <c r="D9" s="107">
        <f>MATCH(B9,'Pivot - Psgr &amp; Airline'!A:A,0)</f>
        <v>44</v>
      </c>
      <c r="E9" s="107">
        <f>COUNTIF(Travel!E:E,B9)</f>
        <v>1</v>
      </c>
      <c r="F9" s="111">
        <f>INDEX('Pivot - Psgr &amp; Sector'!MR:MR,MATCH(B9,'Pivot - Psgr &amp; Sector'!A:A,0))</f>
        <v>1</v>
      </c>
      <c r="G9" s="112">
        <f t="shared" si="0"/>
        <v>1</v>
      </c>
      <c r="H9" s="113" t="s">
        <v>2338</v>
      </c>
      <c r="I9" s="113" t="s">
        <v>2380</v>
      </c>
      <c r="J9" s="119">
        <f>INDEX('Pivot - Psgr &amp; Sector'!MS:MS,MATCH(B9,'Pivot - Psgr &amp; Sector'!A:A,0))</f>
        <v>0</v>
      </c>
      <c r="K9" s="120">
        <f t="shared" si="1"/>
        <v>0</v>
      </c>
      <c r="L9" s="124" t="s">
        <v>2341</v>
      </c>
      <c r="M9" s="124" t="s">
        <v>2341</v>
      </c>
      <c r="N9" s="132">
        <f>INDEX('Pivot - Psgr &amp; Sector'!MT:MT,MATCH(B9,'Pivot - Psgr &amp; Sector'!A:A,0))</f>
        <v>0</v>
      </c>
      <c r="O9" s="133">
        <f t="shared" si="2"/>
        <v>0</v>
      </c>
      <c r="P9" s="134" t="s">
        <v>2341</v>
      </c>
      <c r="Q9" s="134" t="s">
        <v>2341</v>
      </c>
    </row>
    <row r="10" spans="1:17" ht="45" x14ac:dyDescent="0.25">
      <c r="A10" s="107">
        <f t="shared" si="3"/>
        <v>7</v>
      </c>
      <c r="B10" s="108" t="s">
        <v>2289</v>
      </c>
      <c r="C10" s="107">
        <f>MATCH(B10,'Pivot - Psgr &amp; Sector'!A:A,0)</f>
        <v>134</v>
      </c>
      <c r="D10" s="107">
        <f>MATCH(B10,'Pivot - Psgr &amp; Airline'!A:A,0)</f>
        <v>45</v>
      </c>
      <c r="E10" s="107">
        <f>COUNTIF(Travel!E:E,B10)</f>
        <v>4</v>
      </c>
      <c r="F10" s="111">
        <f>INDEX('Pivot - Psgr &amp; Sector'!MR:MR,MATCH(B10,'Pivot - Psgr &amp; Sector'!A:A,0))</f>
        <v>3</v>
      </c>
      <c r="G10" s="112">
        <f t="shared" si="0"/>
        <v>0.75</v>
      </c>
      <c r="H10" s="113" t="s">
        <v>2339</v>
      </c>
      <c r="I10" s="113" t="s">
        <v>2381</v>
      </c>
      <c r="J10" s="119">
        <f>INDEX('Pivot - Psgr &amp; Sector'!MS:MS,MATCH(B10,'Pivot - Psgr &amp; Sector'!A:A,0))</f>
        <v>1</v>
      </c>
      <c r="K10" s="120">
        <f t="shared" si="1"/>
        <v>0.25</v>
      </c>
      <c r="L10" s="124" t="s">
        <v>2337</v>
      </c>
      <c r="M10" s="124" t="s">
        <v>2380</v>
      </c>
      <c r="N10" s="132">
        <f>INDEX('Pivot - Psgr &amp; Sector'!MT:MT,MATCH(B10,'Pivot - Psgr &amp; Sector'!A:A,0))</f>
        <v>0</v>
      </c>
      <c r="O10" s="133">
        <f t="shared" si="2"/>
        <v>0</v>
      </c>
      <c r="P10" s="134" t="s">
        <v>2341</v>
      </c>
      <c r="Q10" s="134" t="s">
        <v>2341</v>
      </c>
    </row>
    <row r="11" spans="1:17" ht="30" x14ac:dyDescent="0.25">
      <c r="A11" s="107">
        <f t="shared" si="3"/>
        <v>8</v>
      </c>
      <c r="B11" s="108" t="s">
        <v>1745</v>
      </c>
      <c r="C11" s="107">
        <f>MATCH(B11,'Pivot - Psgr &amp; Sector'!A:A,0)</f>
        <v>32</v>
      </c>
      <c r="D11" s="107">
        <f>MATCH(B11,'Pivot - Psgr &amp; Airline'!A:A,0)</f>
        <v>50</v>
      </c>
      <c r="E11" s="107">
        <f>COUNTIF(Travel!E:E,B11)</f>
        <v>2</v>
      </c>
      <c r="F11" s="111">
        <f>INDEX('Pivot - Psgr &amp; Sector'!MR:MR,MATCH(B11,'Pivot - Psgr &amp; Sector'!A:A,0))</f>
        <v>1</v>
      </c>
      <c r="G11" s="112">
        <f t="shared" si="0"/>
        <v>0.5</v>
      </c>
      <c r="H11" s="113" t="s">
        <v>2340</v>
      </c>
      <c r="I11" s="113" t="s">
        <v>2382</v>
      </c>
      <c r="J11" s="119">
        <f>INDEX('Pivot - Psgr &amp; Sector'!MS:MS,MATCH(B11,'Pivot - Psgr &amp; Sector'!A:A,0))</f>
        <v>1</v>
      </c>
      <c r="K11" s="120">
        <f t="shared" si="1"/>
        <v>0.5</v>
      </c>
      <c r="L11" s="124" t="s">
        <v>2425</v>
      </c>
      <c r="M11" s="124" t="s">
        <v>2412</v>
      </c>
      <c r="N11" s="132">
        <f>INDEX('Pivot - Psgr &amp; Sector'!MT:MT,MATCH(B11,'Pivot - Psgr &amp; Sector'!A:A,0))</f>
        <v>0</v>
      </c>
      <c r="O11" s="133">
        <f t="shared" si="2"/>
        <v>0</v>
      </c>
      <c r="P11" s="134" t="s">
        <v>2341</v>
      </c>
      <c r="Q11" s="134" t="s">
        <v>2341</v>
      </c>
    </row>
    <row r="12" spans="1:17" ht="30" x14ac:dyDescent="0.25">
      <c r="A12" s="107">
        <f t="shared" si="3"/>
        <v>9</v>
      </c>
      <c r="B12" s="108" t="s">
        <v>2064</v>
      </c>
      <c r="C12" s="107">
        <f>MATCH(B12,'Pivot - Psgr &amp; Sector'!A:A,0)</f>
        <v>34</v>
      </c>
      <c r="D12" s="107">
        <f>MATCH(B12,'Pivot - Psgr &amp; Airline'!A:A,0)</f>
        <v>52</v>
      </c>
      <c r="E12" s="107">
        <f>COUNTIF(Travel!E:E,B12)</f>
        <v>1</v>
      </c>
      <c r="F12" s="111">
        <f>INDEX('Pivot - Psgr &amp; Sector'!MR:MR,MATCH(B12,'Pivot - Psgr &amp; Sector'!A:A,0))</f>
        <v>0</v>
      </c>
      <c r="G12" s="112">
        <f t="shared" si="0"/>
        <v>0</v>
      </c>
      <c r="H12" s="113" t="s">
        <v>2341</v>
      </c>
      <c r="I12" s="113" t="s">
        <v>2341</v>
      </c>
      <c r="J12" s="119">
        <f>INDEX('Pivot - Psgr &amp; Sector'!MS:MS,MATCH(B12,'Pivot - Psgr &amp; Sector'!A:A,0))</f>
        <v>1</v>
      </c>
      <c r="K12" s="120">
        <f t="shared" si="1"/>
        <v>1</v>
      </c>
      <c r="L12" s="124" t="s">
        <v>2426</v>
      </c>
      <c r="M12" s="124" t="s">
        <v>2379</v>
      </c>
      <c r="N12" s="132">
        <f>INDEX('Pivot - Psgr &amp; Sector'!MT:MT,MATCH(B12,'Pivot - Psgr &amp; Sector'!A:A,0))</f>
        <v>0</v>
      </c>
      <c r="O12" s="133">
        <f t="shared" si="2"/>
        <v>0</v>
      </c>
      <c r="P12" s="134" t="s">
        <v>2341</v>
      </c>
      <c r="Q12" s="134" t="s">
        <v>2341</v>
      </c>
    </row>
    <row r="13" spans="1:17" ht="45" x14ac:dyDescent="0.25">
      <c r="A13" s="107">
        <f t="shared" si="3"/>
        <v>10</v>
      </c>
      <c r="B13" s="108" t="s">
        <v>1415</v>
      </c>
      <c r="C13" s="107">
        <f>MATCH(B13,'Pivot - Psgr &amp; Sector'!A:A,0)</f>
        <v>43</v>
      </c>
      <c r="D13" s="107">
        <f>MATCH(B13,'Pivot - Psgr &amp; Airline'!A:A,0)</f>
        <v>63</v>
      </c>
      <c r="E13" s="107">
        <f>COUNTIF(Travel!E:E,B13)</f>
        <v>2</v>
      </c>
      <c r="F13" s="111">
        <f>INDEX('Pivot - Psgr &amp; Sector'!MR:MR,MATCH(B13,'Pivot - Psgr &amp; Sector'!A:A,0))</f>
        <v>2</v>
      </c>
      <c r="G13" s="112">
        <f t="shared" si="0"/>
        <v>1</v>
      </c>
      <c r="H13" s="113" t="s">
        <v>2342</v>
      </c>
      <c r="I13" s="113" t="s">
        <v>2383</v>
      </c>
      <c r="J13" s="119">
        <f>INDEX('Pivot - Psgr &amp; Sector'!MS:MS,MATCH(B13,'Pivot - Psgr &amp; Sector'!A:A,0))</f>
        <v>0</v>
      </c>
      <c r="K13" s="120">
        <f t="shared" si="1"/>
        <v>0</v>
      </c>
      <c r="L13" s="124" t="s">
        <v>2341</v>
      </c>
      <c r="M13" s="124" t="s">
        <v>2341</v>
      </c>
      <c r="N13" s="132">
        <f>INDEX('Pivot - Psgr &amp; Sector'!MT:MT,MATCH(B13,'Pivot - Psgr &amp; Sector'!A:A,0))</f>
        <v>0</v>
      </c>
      <c r="O13" s="133">
        <f t="shared" si="2"/>
        <v>0</v>
      </c>
      <c r="P13" s="134" t="s">
        <v>2341</v>
      </c>
      <c r="Q13" s="134" t="s">
        <v>2341</v>
      </c>
    </row>
    <row r="14" spans="1:17" ht="30" x14ac:dyDescent="0.25">
      <c r="A14" s="107">
        <f t="shared" si="3"/>
        <v>11</v>
      </c>
      <c r="B14" s="108" t="s">
        <v>1290</v>
      </c>
      <c r="C14" s="107">
        <f>MATCH(B14,'Pivot - Psgr &amp; Sector'!A:A,0)</f>
        <v>46</v>
      </c>
      <c r="D14" s="107">
        <f>MATCH(B14,'Pivot - Psgr &amp; Airline'!A:A,0)</f>
        <v>66</v>
      </c>
      <c r="E14" s="107">
        <f>COUNTIF(Travel!E:E,B14)</f>
        <v>1</v>
      </c>
      <c r="F14" s="111">
        <f>INDEX('Pivot - Psgr &amp; Sector'!MR:MR,MATCH(B14,'Pivot - Psgr &amp; Sector'!A:A,0))</f>
        <v>0</v>
      </c>
      <c r="G14" s="112">
        <f t="shared" si="0"/>
        <v>0</v>
      </c>
      <c r="H14" s="113" t="s">
        <v>2341</v>
      </c>
      <c r="I14" s="113" t="s">
        <v>2341</v>
      </c>
      <c r="J14" s="119">
        <f>INDEX('Pivot - Psgr &amp; Sector'!MS:MS,MATCH(B14,'Pivot - Psgr &amp; Sector'!A:A,0))</f>
        <v>1</v>
      </c>
      <c r="K14" s="120">
        <f t="shared" si="1"/>
        <v>1</v>
      </c>
      <c r="L14" s="124" t="s">
        <v>2337</v>
      </c>
      <c r="M14" s="124" t="s">
        <v>2380</v>
      </c>
      <c r="N14" s="132">
        <f>INDEX('Pivot - Psgr &amp; Sector'!MT:MT,MATCH(B14,'Pivot - Psgr &amp; Sector'!A:A,0))</f>
        <v>0</v>
      </c>
      <c r="O14" s="133">
        <f t="shared" si="2"/>
        <v>0</v>
      </c>
      <c r="P14" s="134" t="s">
        <v>2341</v>
      </c>
      <c r="Q14" s="134" t="s">
        <v>2341</v>
      </c>
    </row>
    <row r="15" spans="1:17" ht="30" x14ac:dyDescent="0.25">
      <c r="A15" s="107">
        <f t="shared" si="3"/>
        <v>12</v>
      </c>
      <c r="B15" s="108" t="s">
        <v>1468</v>
      </c>
      <c r="C15" s="107">
        <f>MATCH(B15,'Pivot - Psgr &amp; Sector'!A:A,0)</f>
        <v>55</v>
      </c>
      <c r="D15" s="107">
        <f>MATCH(B15,'Pivot - Psgr &amp; Airline'!A:A,0)</f>
        <v>75</v>
      </c>
      <c r="E15" s="107">
        <f>COUNTIF(Travel!E:E,B15)</f>
        <v>2</v>
      </c>
      <c r="F15" s="111">
        <f>INDEX('Pivot - Psgr &amp; Sector'!MR:MR,MATCH(B15,'Pivot - Psgr &amp; Sector'!A:A,0))</f>
        <v>1</v>
      </c>
      <c r="G15" s="112">
        <f t="shared" si="0"/>
        <v>0.5</v>
      </c>
      <c r="H15" s="113" t="s">
        <v>2338</v>
      </c>
      <c r="I15" s="113" t="s">
        <v>2380</v>
      </c>
      <c r="J15" s="119">
        <f>INDEX('Pivot - Psgr &amp; Sector'!MS:MS,MATCH(B15,'Pivot - Psgr &amp; Sector'!A:A,0))</f>
        <v>1</v>
      </c>
      <c r="K15" s="120">
        <f t="shared" si="1"/>
        <v>0.5</v>
      </c>
      <c r="L15" s="124" t="s">
        <v>2337</v>
      </c>
      <c r="M15" s="124" t="s">
        <v>2379</v>
      </c>
      <c r="N15" s="132">
        <f>INDEX('Pivot - Psgr &amp; Sector'!MT:MT,MATCH(B15,'Pivot - Psgr &amp; Sector'!A:A,0))</f>
        <v>0</v>
      </c>
      <c r="O15" s="133">
        <f t="shared" si="2"/>
        <v>0</v>
      </c>
      <c r="P15" s="134" t="s">
        <v>2341</v>
      </c>
      <c r="Q15" s="134" t="s">
        <v>2341</v>
      </c>
    </row>
    <row r="16" spans="1:17" ht="30" x14ac:dyDescent="0.25">
      <c r="A16" s="107">
        <f t="shared" si="3"/>
        <v>13</v>
      </c>
      <c r="B16" s="108" t="s">
        <v>1767</v>
      </c>
      <c r="C16" s="107">
        <f>MATCH(B16,'Pivot - Psgr &amp; Sector'!A:A,0)</f>
        <v>61</v>
      </c>
      <c r="D16" s="107">
        <f>MATCH(B16,'Pivot - Psgr &amp; Airline'!A:A,0)</f>
        <v>82</v>
      </c>
      <c r="E16" s="107">
        <f>COUNTIF(Travel!E:E,B16)</f>
        <v>1</v>
      </c>
      <c r="F16" s="111">
        <f>INDEX('Pivot - Psgr &amp; Sector'!MR:MR,MATCH(B16,'Pivot - Psgr &amp; Sector'!A:A,0))</f>
        <v>1</v>
      </c>
      <c r="G16" s="112">
        <f t="shared" si="0"/>
        <v>1</v>
      </c>
      <c r="H16" s="113" t="s">
        <v>2335</v>
      </c>
      <c r="I16" s="113" t="s">
        <v>2379</v>
      </c>
      <c r="J16" s="119">
        <f>INDEX('Pivot - Psgr &amp; Sector'!MS:MS,MATCH(B16,'Pivot - Psgr &amp; Sector'!A:A,0))</f>
        <v>0</v>
      </c>
      <c r="K16" s="120">
        <f t="shared" si="1"/>
        <v>0</v>
      </c>
      <c r="L16" s="124" t="s">
        <v>2341</v>
      </c>
      <c r="M16" s="124" t="s">
        <v>2341</v>
      </c>
      <c r="N16" s="132">
        <f>INDEX('Pivot - Psgr &amp; Sector'!MT:MT,MATCH(B16,'Pivot - Psgr &amp; Sector'!A:A,0))</f>
        <v>0</v>
      </c>
      <c r="O16" s="133">
        <f t="shared" si="2"/>
        <v>0</v>
      </c>
      <c r="P16" s="134" t="s">
        <v>2341</v>
      </c>
      <c r="Q16" s="134" t="s">
        <v>2341</v>
      </c>
    </row>
    <row r="17" spans="1:17" ht="30" x14ac:dyDescent="0.25">
      <c r="A17" s="107">
        <f t="shared" si="3"/>
        <v>14</v>
      </c>
      <c r="B17" s="108" t="s">
        <v>244</v>
      </c>
      <c r="C17" s="107">
        <f>MATCH(B17,'Pivot - Psgr &amp; Sector'!A:A,0)</f>
        <v>81</v>
      </c>
      <c r="D17" s="107">
        <f>MATCH(B17,'Pivot - Psgr &amp; Airline'!A:A,0)</f>
        <v>102</v>
      </c>
      <c r="E17" s="107">
        <f>COUNTIF(Travel!E:E,B17)</f>
        <v>1</v>
      </c>
      <c r="F17" s="111">
        <f>INDEX('Pivot - Psgr &amp; Sector'!MR:MR,MATCH(B17,'Pivot - Psgr &amp; Sector'!A:A,0))</f>
        <v>0</v>
      </c>
      <c r="G17" s="112">
        <f t="shared" si="0"/>
        <v>0</v>
      </c>
      <c r="H17" s="113" t="s">
        <v>2341</v>
      </c>
      <c r="I17" s="113" t="s">
        <v>2341</v>
      </c>
      <c r="J17" s="119">
        <f>INDEX('Pivot - Psgr &amp; Sector'!MS:MS,MATCH(B17,'Pivot - Psgr &amp; Sector'!A:A,0))</f>
        <v>1</v>
      </c>
      <c r="K17" s="120">
        <f t="shared" si="1"/>
        <v>1</v>
      </c>
      <c r="L17" s="124" t="s">
        <v>2426</v>
      </c>
      <c r="M17" s="124" t="s">
        <v>2379</v>
      </c>
      <c r="N17" s="132">
        <f>INDEX('Pivot - Psgr &amp; Sector'!MT:MT,MATCH(B17,'Pivot - Psgr &amp; Sector'!A:A,0))</f>
        <v>0</v>
      </c>
      <c r="O17" s="133">
        <f t="shared" si="2"/>
        <v>0</v>
      </c>
      <c r="P17" s="134" t="s">
        <v>2341</v>
      </c>
      <c r="Q17" s="134" t="s">
        <v>2341</v>
      </c>
    </row>
    <row r="18" spans="1:17" ht="45" x14ac:dyDescent="0.25">
      <c r="A18" s="107">
        <f t="shared" si="3"/>
        <v>15</v>
      </c>
      <c r="B18" s="108" t="s">
        <v>1505</v>
      </c>
      <c r="C18" s="107">
        <f>MATCH(B18,'Pivot - Psgr &amp; Sector'!A:A,0)</f>
        <v>93</v>
      </c>
      <c r="D18" s="107">
        <f>MATCH(B18,'Pivot - Psgr &amp; Airline'!A:A,0)</f>
        <v>114</v>
      </c>
      <c r="E18" s="107">
        <f>COUNTIF(Travel!E:E,B18)</f>
        <v>2</v>
      </c>
      <c r="F18" s="111">
        <f>INDEX('Pivot - Psgr &amp; Sector'!MR:MR,MATCH(B18,'Pivot - Psgr &amp; Sector'!A:A,0))</f>
        <v>2</v>
      </c>
      <c r="G18" s="112">
        <f t="shared" si="0"/>
        <v>1</v>
      </c>
      <c r="H18" s="113" t="s">
        <v>2342</v>
      </c>
      <c r="I18" s="113" t="s">
        <v>2384</v>
      </c>
      <c r="J18" s="119">
        <f>INDEX('Pivot - Psgr &amp; Sector'!MS:MS,MATCH(B18,'Pivot - Psgr &amp; Sector'!A:A,0))</f>
        <v>0</v>
      </c>
      <c r="K18" s="120">
        <f t="shared" si="1"/>
        <v>0</v>
      </c>
      <c r="L18" s="124" t="s">
        <v>2341</v>
      </c>
      <c r="M18" s="124" t="s">
        <v>2341</v>
      </c>
      <c r="N18" s="132">
        <f>INDEX('Pivot - Psgr &amp; Sector'!MT:MT,MATCH(B18,'Pivot - Psgr &amp; Sector'!A:A,0))</f>
        <v>0</v>
      </c>
      <c r="O18" s="133">
        <f t="shared" si="2"/>
        <v>0</v>
      </c>
      <c r="P18" s="134" t="s">
        <v>2341</v>
      </c>
      <c r="Q18" s="134" t="s">
        <v>2341</v>
      </c>
    </row>
    <row r="19" spans="1:17" ht="30" x14ac:dyDescent="0.25">
      <c r="A19" s="107">
        <f t="shared" si="3"/>
        <v>16</v>
      </c>
      <c r="B19" s="108" t="s">
        <v>897</v>
      </c>
      <c r="C19" s="107">
        <f>MATCH(B19,'Pivot - Psgr &amp; Sector'!A:A,0)</f>
        <v>110</v>
      </c>
      <c r="D19" s="107">
        <f>MATCH(B19,'Pivot - Psgr &amp; Airline'!A:A,0)</f>
        <v>135</v>
      </c>
      <c r="E19" s="107">
        <f>COUNTIF(Travel!E:E,B19)</f>
        <v>1</v>
      </c>
      <c r="F19" s="111">
        <f>INDEX('Pivot - Psgr &amp; Sector'!MR:MR,MATCH(B19,'Pivot - Psgr &amp; Sector'!A:A,0))</f>
        <v>1</v>
      </c>
      <c r="G19" s="112">
        <f t="shared" si="0"/>
        <v>1</v>
      </c>
      <c r="H19" s="113" t="s">
        <v>2338</v>
      </c>
      <c r="I19" s="113" t="s">
        <v>2380</v>
      </c>
      <c r="J19" s="119">
        <f>INDEX('Pivot - Psgr &amp; Sector'!MS:MS,MATCH(B19,'Pivot - Psgr &amp; Sector'!A:A,0))</f>
        <v>0</v>
      </c>
      <c r="K19" s="120">
        <f t="shared" si="1"/>
        <v>0</v>
      </c>
      <c r="L19" s="124" t="s">
        <v>2341</v>
      </c>
      <c r="M19" s="124" t="s">
        <v>2341</v>
      </c>
      <c r="N19" s="132">
        <f>INDEX('Pivot - Psgr &amp; Sector'!MT:MT,MATCH(B19,'Pivot - Psgr &amp; Sector'!A:A,0))</f>
        <v>0</v>
      </c>
      <c r="O19" s="133">
        <f t="shared" si="2"/>
        <v>0</v>
      </c>
      <c r="P19" s="134" t="s">
        <v>2341</v>
      </c>
      <c r="Q19" s="134" t="s">
        <v>2341</v>
      </c>
    </row>
    <row r="20" spans="1:17" ht="45" x14ac:dyDescent="0.25">
      <c r="A20" s="107">
        <f t="shared" si="3"/>
        <v>17</v>
      </c>
      <c r="B20" s="108" t="s">
        <v>2283</v>
      </c>
      <c r="C20" s="107">
        <f>MATCH(B20,'Pivot - Psgr &amp; Sector'!A:A,0)</f>
        <v>131</v>
      </c>
      <c r="D20" s="107">
        <f>MATCH(B20,'Pivot - Psgr &amp; Airline'!A:A,0)</f>
        <v>30</v>
      </c>
      <c r="E20" s="107">
        <f>COUNTIF(Travel!E:E,B20)</f>
        <v>3</v>
      </c>
      <c r="F20" s="111">
        <f>INDEX('Pivot - Psgr &amp; Sector'!MR:MR,MATCH(B20,'Pivot - Psgr &amp; Sector'!A:A,0))</f>
        <v>1</v>
      </c>
      <c r="G20" s="112">
        <f t="shared" si="0"/>
        <v>0.33333333333333331</v>
      </c>
      <c r="H20" s="113" t="s">
        <v>2343</v>
      </c>
      <c r="I20" s="113" t="s">
        <v>2380</v>
      </c>
      <c r="J20" s="119">
        <f>INDEX('Pivot - Psgr &amp; Sector'!MS:MS,MATCH(B20,'Pivot - Psgr &amp; Sector'!A:A,0))</f>
        <v>2</v>
      </c>
      <c r="K20" s="120">
        <f t="shared" si="1"/>
        <v>0.66666666666666663</v>
      </c>
      <c r="L20" s="124" t="s">
        <v>2427</v>
      </c>
      <c r="M20" s="124" t="s">
        <v>2506</v>
      </c>
      <c r="N20" s="132">
        <f>INDEX('Pivot - Psgr &amp; Sector'!MT:MT,MATCH(B20,'Pivot - Psgr &amp; Sector'!A:A,0))</f>
        <v>0</v>
      </c>
      <c r="O20" s="133">
        <f t="shared" si="2"/>
        <v>0</v>
      </c>
      <c r="P20" s="134" t="s">
        <v>2341</v>
      </c>
      <c r="Q20" s="134" t="s">
        <v>2341</v>
      </c>
    </row>
    <row r="21" spans="1:17" ht="45" x14ac:dyDescent="0.25">
      <c r="A21" s="107">
        <f t="shared" si="3"/>
        <v>18</v>
      </c>
      <c r="B21" s="108" t="s">
        <v>1287</v>
      </c>
      <c r="C21" s="107">
        <f>MATCH(B21,'Pivot - Psgr &amp; Sector'!A:A,0)</f>
        <v>47</v>
      </c>
      <c r="D21" s="107">
        <f>MATCH(B21,'Pivot - Psgr &amp; Airline'!A:A,0)</f>
        <v>67</v>
      </c>
      <c r="E21" s="107">
        <f>COUNTIF(Travel!E:E,B21)</f>
        <v>3</v>
      </c>
      <c r="F21" s="111">
        <f>INDEX('Pivot - Psgr &amp; Sector'!MR:MR,MATCH(B21,'Pivot - Psgr &amp; Sector'!A:A,0))</f>
        <v>1</v>
      </c>
      <c r="G21" s="112">
        <f t="shared" si="0"/>
        <v>0.33333333333333331</v>
      </c>
      <c r="H21" s="113" t="s">
        <v>2338</v>
      </c>
      <c r="I21" s="113" t="s">
        <v>2385</v>
      </c>
      <c r="J21" s="119">
        <f>INDEX('Pivot - Psgr &amp; Sector'!MS:MS,MATCH(B21,'Pivot - Psgr &amp; Sector'!A:A,0))</f>
        <v>2</v>
      </c>
      <c r="K21" s="120">
        <f t="shared" si="1"/>
        <v>0.66666666666666663</v>
      </c>
      <c r="L21" s="124" t="s">
        <v>2428</v>
      </c>
      <c r="M21" s="122" t="s">
        <v>2383</v>
      </c>
      <c r="N21" s="132">
        <f>INDEX('Pivot - Psgr &amp; Sector'!MT:MT,MATCH(B21,'Pivot - Psgr &amp; Sector'!A:A,0))</f>
        <v>0</v>
      </c>
      <c r="O21" s="133">
        <f t="shared" si="2"/>
        <v>0</v>
      </c>
      <c r="P21" s="134" t="s">
        <v>2341</v>
      </c>
      <c r="Q21" s="135" t="s">
        <v>2341</v>
      </c>
    </row>
    <row r="22" spans="1:17" ht="30" x14ac:dyDescent="0.25">
      <c r="A22" s="107">
        <f t="shared" si="3"/>
        <v>19</v>
      </c>
      <c r="B22" s="108" t="s">
        <v>1891</v>
      </c>
      <c r="C22" s="107">
        <f>MATCH(B22,'Pivot - Psgr &amp; Sector'!A:A,0)</f>
        <v>88</v>
      </c>
      <c r="D22" s="107">
        <f>MATCH(B22,'Pivot - Psgr &amp; Airline'!A:A,0)</f>
        <v>109</v>
      </c>
      <c r="E22" s="107">
        <f>COUNTIF(Travel!E:E,B22)</f>
        <v>3</v>
      </c>
      <c r="F22" s="111">
        <f>INDEX('Pivot - Psgr &amp; Sector'!MR:MR,MATCH(B22,'Pivot - Psgr &amp; Sector'!A:A,0))</f>
        <v>1</v>
      </c>
      <c r="G22" s="112">
        <f t="shared" si="0"/>
        <v>0.33333333333333331</v>
      </c>
      <c r="H22" s="113" t="s">
        <v>2338</v>
      </c>
      <c r="I22" s="113" t="s">
        <v>2379</v>
      </c>
      <c r="J22" s="119">
        <f>INDEX('Pivot - Psgr &amp; Sector'!MS:MS,MATCH(B22,'Pivot - Psgr &amp; Sector'!A:A,0))</f>
        <v>1</v>
      </c>
      <c r="K22" s="120">
        <f t="shared" si="1"/>
        <v>0.33333333333333331</v>
      </c>
      <c r="L22" s="124" t="s">
        <v>2337</v>
      </c>
      <c r="M22" s="124" t="s">
        <v>2385</v>
      </c>
      <c r="N22" s="132">
        <f>INDEX('Pivot - Psgr &amp; Sector'!MT:MT,MATCH(B22,'Pivot - Psgr &amp; Sector'!A:A,0))</f>
        <v>1</v>
      </c>
      <c r="O22" s="133">
        <f t="shared" si="2"/>
        <v>0.33333333333333331</v>
      </c>
      <c r="P22" s="134" t="s">
        <v>2372</v>
      </c>
      <c r="Q22" s="134" t="s">
        <v>2567</v>
      </c>
    </row>
    <row r="23" spans="1:17" ht="75" x14ac:dyDescent="0.25">
      <c r="A23" s="107">
        <f t="shared" si="3"/>
        <v>20</v>
      </c>
      <c r="B23" s="108" t="s">
        <v>2280</v>
      </c>
      <c r="C23" s="107">
        <f>MATCH(B23,'Pivot - Psgr &amp; Sector'!A:A,0)</f>
        <v>125</v>
      </c>
      <c r="D23" s="107">
        <f>MATCH(B23,'Pivot - Psgr &amp; Airline'!A:A,0)</f>
        <v>25</v>
      </c>
      <c r="E23" s="107">
        <f>COUNTIF(Travel!E:E,B23)</f>
        <v>16</v>
      </c>
      <c r="F23" s="111">
        <f>INDEX('Pivot - Psgr &amp; Sector'!MR:MR,MATCH(B23,'Pivot - Psgr &amp; Sector'!A:A,0))</f>
        <v>6</v>
      </c>
      <c r="G23" s="112">
        <f t="shared" si="0"/>
        <v>0.375</v>
      </c>
      <c r="H23" s="113" t="s">
        <v>2344</v>
      </c>
      <c r="I23" s="113" t="s">
        <v>2386</v>
      </c>
      <c r="J23" s="119">
        <f>INDEX('Pivot - Psgr &amp; Sector'!MS:MS,MATCH(B23,'Pivot - Psgr &amp; Sector'!A:A,0))</f>
        <v>10</v>
      </c>
      <c r="K23" s="120">
        <f t="shared" si="1"/>
        <v>0.625</v>
      </c>
      <c r="L23" s="124" t="s">
        <v>2429</v>
      </c>
      <c r="M23" s="124" t="s">
        <v>2507</v>
      </c>
      <c r="N23" s="132">
        <f>INDEX('Pivot - Psgr &amp; Sector'!MT:MT,MATCH(B23,'Pivot - Psgr &amp; Sector'!A:A,0))</f>
        <v>0</v>
      </c>
      <c r="O23" s="133">
        <f t="shared" si="2"/>
        <v>0</v>
      </c>
      <c r="P23" s="134" t="s">
        <v>2341</v>
      </c>
      <c r="Q23" s="134" t="s">
        <v>2341</v>
      </c>
    </row>
    <row r="24" spans="1:17" ht="60" x14ac:dyDescent="0.25">
      <c r="A24" s="107">
        <f t="shared" si="3"/>
        <v>21</v>
      </c>
      <c r="B24" s="108" t="s">
        <v>1020</v>
      </c>
      <c r="C24" s="107">
        <f>MATCH(B24,'Pivot - Psgr &amp; Sector'!A:A,0)</f>
        <v>83</v>
      </c>
      <c r="D24" s="107">
        <f>MATCH(B24,'Pivot - Psgr &amp; Airline'!A:A,0)</f>
        <v>104</v>
      </c>
      <c r="E24" s="107">
        <f>COUNTIF(Travel!E:E,B24)</f>
        <v>5</v>
      </c>
      <c r="F24" s="111">
        <f>INDEX('Pivot - Psgr &amp; Sector'!MR:MR,MATCH(B24,'Pivot - Psgr &amp; Sector'!A:A,0))</f>
        <v>1</v>
      </c>
      <c r="G24" s="112">
        <f t="shared" si="0"/>
        <v>0.2</v>
      </c>
      <c r="H24" s="113" t="s">
        <v>2338</v>
      </c>
      <c r="I24" s="113" t="s">
        <v>2385</v>
      </c>
      <c r="J24" s="119">
        <f>INDEX('Pivot - Psgr &amp; Sector'!MS:MS,MATCH(B24,'Pivot - Psgr &amp; Sector'!A:A,0))</f>
        <v>4</v>
      </c>
      <c r="K24" s="120">
        <f t="shared" si="1"/>
        <v>0.8</v>
      </c>
      <c r="L24" s="124" t="s">
        <v>2430</v>
      </c>
      <c r="M24" s="124" t="s">
        <v>2508</v>
      </c>
      <c r="N24" s="132">
        <f>INDEX('Pivot - Psgr &amp; Sector'!MT:MT,MATCH(B24,'Pivot - Psgr &amp; Sector'!A:A,0))</f>
        <v>0</v>
      </c>
      <c r="O24" s="133">
        <f t="shared" si="2"/>
        <v>0</v>
      </c>
      <c r="P24" s="134" t="s">
        <v>2341</v>
      </c>
      <c r="Q24" s="134" t="s">
        <v>2341</v>
      </c>
    </row>
    <row r="25" spans="1:17" ht="150" x14ac:dyDescent="0.25">
      <c r="A25" s="107">
        <f t="shared" si="3"/>
        <v>22</v>
      </c>
      <c r="B25" s="108" t="s">
        <v>2276</v>
      </c>
      <c r="C25" s="107">
        <f>MATCH(B25,'Pivot - Psgr &amp; Sector'!A:A,0)</f>
        <v>123</v>
      </c>
      <c r="D25" s="107">
        <f>MATCH(B25,'Pivot - Psgr &amp; Airline'!A:A,0)</f>
        <v>12</v>
      </c>
      <c r="E25" s="107">
        <f>COUNTIF(Travel!E:E,B25)</f>
        <v>27</v>
      </c>
      <c r="F25" s="111">
        <f>INDEX('Pivot - Psgr &amp; Sector'!MR:MR,MATCH(B25,'Pivot - Psgr &amp; Sector'!A:A,0))</f>
        <v>7</v>
      </c>
      <c r="G25" s="112">
        <f t="shared" si="0"/>
        <v>0.25925925925925924</v>
      </c>
      <c r="H25" s="113" t="s">
        <v>2345</v>
      </c>
      <c r="I25" s="113" t="s">
        <v>2387</v>
      </c>
      <c r="J25" s="119">
        <f>INDEX('Pivot - Psgr &amp; Sector'!MS:MS,MATCH(B25,'Pivot - Psgr &amp; Sector'!A:A,0))</f>
        <v>19</v>
      </c>
      <c r="K25" s="120">
        <f t="shared" si="1"/>
        <v>0.70370370370370372</v>
      </c>
      <c r="L25" s="124" t="s">
        <v>2431</v>
      </c>
      <c r="M25" s="124" t="s">
        <v>2509</v>
      </c>
      <c r="N25" s="132">
        <f>INDEX('Pivot - Psgr &amp; Sector'!MT:MT,MATCH(B25,'Pivot - Psgr &amp; Sector'!A:A,0))</f>
        <v>1</v>
      </c>
      <c r="O25" s="133">
        <f t="shared" si="2"/>
        <v>3.7037037037037035E-2</v>
      </c>
      <c r="P25" s="134" t="s">
        <v>2338</v>
      </c>
      <c r="Q25" s="134" t="s">
        <v>2379</v>
      </c>
    </row>
    <row r="26" spans="1:17" ht="75" x14ac:dyDescent="0.25">
      <c r="A26" s="107">
        <f t="shared" si="3"/>
        <v>23</v>
      </c>
      <c r="B26" s="108" t="s">
        <v>2279</v>
      </c>
      <c r="C26" s="107">
        <f>MATCH(B26,'Pivot - Psgr &amp; Sector'!A:A,0)</f>
        <v>126</v>
      </c>
      <c r="D26" s="107">
        <f>MATCH(B26,'Pivot - Psgr &amp; Airline'!A:A,0)</f>
        <v>24</v>
      </c>
      <c r="E26" s="107">
        <f>COUNTIF(Travel!E:E,B26)</f>
        <v>9</v>
      </c>
      <c r="F26" s="111">
        <f>INDEX('Pivot - Psgr &amp; Sector'!MR:MR,MATCH(B26,'Pivot - Psgr &amp; Sector'!A:A,0))</f>
        <v>4</v>
      </c>
      <c r="G26" s="112">
        <f t="shared" si="0"/>
        <v>0.44444444444444442</v>
      </c>
      <c r="H26" s="113" t="s">
        <v>2346</v>
      </c>
      <c r="I26" s="113" t="s">
        <v>2388</v>
      </c>
      <c r="J26" s="119">
        <f>INDEX('Pivot - Psgr &amp; Sector'!MS:MS,MATCH(B26,'Pivot - Psgr &amp; Sector'!A:A,0))</f>
        <v>4</v>
      </c>
      <c r="K26" s="120">
        <f t="shared" si="1"/>
        <v>0.44444444444444442</v>
      </c>
      <c r="L26" s="124" t="s">
        <v>2432</v>
      </c>
      <c r="M26" s="124" t="s">
        <v>2388</v>
      </c>
      <c r="N26" s="132">
        <f>INDEX('Pivot - Psgr &amp; Sector'!MT:MT,MATCH(B26,'Pivot - Psgr &amp; Sector'!A:A,0))</f>
        <v>1</v>
      </c>
      <c r="O26" s="133">
        <f t="shared" si="2"/>
        <v>0.1111111111111111</v>
      </c>
      <c r="P26" s="134" t="s">
        <v>2338</v>
      </c>
      <c r="Q26" s="134" t="s">
        <v>2379</v>
      </c>
    </row>
    <row r="27" spans="1:17" ht="75" x14ac:dyDescent="0.25">
      <c r="A27" s="107">
        <f t="shared" si="3"/>
        <v>24</v>
      </c>
      <c r="B27" s="108" t="s">
        <v>1010</v>
      </c>
      <c r="C27" s="107">
        <f>MATCH(B27,'Pivot - Psgr &amp; Sector'!A:A,0)</f>
        <v>67</v>
      </c>
      <c r="D27" s="107">
        <f>MATCH(B27,'Pivot - Psgr &amp; Airline'!A:A,0)</f>
        <v>88</v>
      </c>
      <c r="E27" s="107">
        <f>COUNTIF(Travel!E:E,B27)</f>
        <v>13</v>
      </c>
      <c r="F27" s="111">
        <f>INDEX('Pivot - Psgr &amp; Sector'!MR:MR,MATCH(B27,'Pivot - Psgr &amp; Sector'!A:A,0))</f>
        <v>4</v>
      </c>
      <c r="G27" s="112">
        <f t="shared" si="0"/>
        <v>0.30769230769230771</v>
      </c>
      <c r="H27" s="113" t="s">
        <v>2347</v>
      </c>
      <c r="I27" s="113" t="s">
        <v>2389</v>
      </c>
      <c r="J27" s="119">
        <f>INDEX('Pivot - Psgr &amp; Sector'!MS:MS,MATCH(B27,'Pivot - Psgr &amp; Sector'!A:A,0))</f>
        <v>9</v>
      </c>
      <c r="K27" s="120">
        <f t="shared" si="1"/>
        <v>0.69230769230769229</v>
      </c>
      <c r="L27" s="124" t="s">
        <v>2433</v>
      </c>
      <c r="M27" s="124" t="s">
        <v>2510</v>
      </c>
      <c r="N27" s="132">
        <f>INDEX('Pivot - Psgr &amp; Sector'!MT:MT,MATCH(B27,'Pivot - Psgr &amp; Sector'!A:A,0))</f>
        <v>0</v>
      </c>
      <c r="O27" s="133">
        <f t="shared" si="2"/>
        <v>0</v>
      </c>
      <c r="P27" s="134" t="s">
        <v>2341</v>
      </c>
      <c r="Q27" s="134" t="s">
        <v>2341</v>
      </c>
    </row>
    <row r="28" spans="1:17" ht="135" x14ac:dyDescent="0.25">
      <c r="A28" s="107">
        <f t="shared" si="3"/>
        <v>25</v>
      </c>
      <c r="B28" s="108" t="s">
        <v>2278</v>
      </c>
      <c r="C28" s="107">
        <f>MATCH(B28,'Pivot - Psgr &amp; Sector'!A:A,0)</f>
        <v>124</v>
      </c>
      <c r="D28" s="107">
        <f>MATCH(B28,'Pivot - Psgr &amp; Airline'!A:A,0)</f>
        <v>22</v>
      </c>
      <c r="E28" s="107">
        <f>COUNTIF(Travel!E:E,B28)</f>
        <v>21</v>
      </c>
      <c r="F28" s="111">
        <f>INDEX('Pivot - Psgr &amp; Sector'!MR:MR,MATCH(B28,'Pivot - Psgr &amp; Sector'!A:A,0))</f>
        <v>5</v>
      </c>
      <c r="G28" s="112">
        <f t="shared" si="0"/>
        <v>0.23809523809523808</v>
      </c>
      <c r="H28" s="113" t="s">
        <v>2348</v>
      </c>
      <c r="I28" s="113" t="s">
        <v>2390</v>
      </c>
      <c r="J28" s="119">
        <f>INDEX('Pivot - Psgr &amp; Sector'!MS:MS,MATCH(B28,'Pivot - Psgr &amp; Sector'!A:A,0))</f>
        <v>13</v>
      </c>
      <c r="K28" s="120">
        <f t="shared" si="1"/>
        <v>0.61904761904761907</v>
      </c>
      <c r="L28" s="124" t="s">
        <v>2434</v>
      </c>
      <c r="M28" s="124" t="s">
        <v>2511</v>
      </c>
      <c r="N28" s="132">
        <f>INDEX('Pivot - Psgr &amp; Sector'!MT:MT,MATCH(B28,'Pivot - Psgr &amp; Sector'!A:A,0))</f>
        <v>3</v>
      </c>
      <c r="O28" s="133">
        <f t="shared" si="2"/>
        <v>0.14285714285714285</v>
      </c>
      <c r="P28" s="134" t="s">
        <v>2547</v>
      </c>
      <c r="Q28" s="134" t="s">
        <v>2568</v>
      </c>
    </row>
    <row r="29" spans="1:17" ht="30" x14ac:dyDescent="0.25">
      <c r="A29" s="107">
        <f t="shared" si="3"/>
        <v>26</v>
      </c>
      <c r="B29" s="108" t="s">
        <v>54</v>
      </c>
      <c r="C29" s="107">
        <f>MATCH(B29,'Pivot - Psgr &amp; Sector'!A:A,0)</f>
        <v>6</v>
      </c>
      <c r="D29" s="107">
        <f>MATCH(B29,'Pivot - Psgr &amp; Airline'!A:A,0)</f>
        <v>6</v>
      </c>
      <c r="E29" s="107">
        <f>COUNTIF(Travel!E:E,B29)</f>
        <v>2</v>
      </c>
      <c r="F29" s="111">
        <f>INDEX('Pivot - Psgr &amp; Sector'!MR:MR,MATCH(B29,'Pivot - Psgr &amp; Sector'!A:A,0))</f>
        <v>1</v>
      </c>
      <c r="G29" s="112">
        <f t="shared" si="0"/>
        <v>0.5</v>
      </c>
      <c r="H29" s="113" t="s">
        <v>2349</v>
      </c>
      <c r="I29" s="113" t="s">
        <v>2391</v>
      </c>
      <c r="J29" s="119">
        <f>INDEX('Pivot - Psgr &amp; Sector'!MS:MS,MATCH(B29,'Pivot - Psgr &amp; Sector'!A:A,0))</f>
        <v>1</v>
      </c>
      <c r="K29" s="120">
        <f t="shared" si="1"/>
        <v>0.5</v>
      </c>
      <c r="L29" s="124" t="s">
        <v>2350</v>
      </c>
      <c r="M29" s="124" t="s">
        <v>2391</v>
      </c>
      <c r="N29" s="132">
        <f>INDEX('Pivot - Psgr &amp; Sector'!MT:MT,MATCH(B29,'Pivot - Psgr &amp; Sector'!A:A,0))</f>
        <v>0</v>
      </c>
      <c r="O29" s="133">
        <f t="shared" si="2"/>
        <v>0</v>
      </c>
      <c r="P29" s="134" t="s">
        <v>2341</v>
      </c>
      <c r="Q29" s="134" t="s">
        <v>2341</v>
      </c>
    </row>
    <row r="30" spans="1:17" ht="30" x14ac:dyDescent="0.25">
      <c r="A30" s="107">
        <f t="shared" si="3"/>
        <v>27</v>
      </c>
      <c r="B30" s="108" t="s">
        <v>71</v>
      </c>
      <c r="C30" s="107">
        <f>MATCH(B30,'Pivot - Psgr &amp; Sector'!A:A,0)</f>
        <v>51</v>
      </c>
      <c r="D30" s="107">
        <f>MATCH(B30,'Pivot - Psgr &amp; Airline'!A:A,0)</f>
        <v>71</v>
      </c>
      <c r="E30" s="107">
        <f>COUNTIF(Travel!E:E,B30)</f>
        <v>2</v>
      </c>
      <c r="F30" s="111">
        <f>INDEX('Pivot - Psgr &amp; Sector'!MR:MR,MATCH(B30,'Pivot - Psgr &amp; Sector'!A:A,0))</f>
        <v>1</v>
      </c>
      <c r="G30" s="112">
        <f t="shared" si="0"/>
        <v>0.5</v>
      </c>
      <c r="H30" s="113" t="s">
        <v>2350</v>
      </c>
      <c r="I30" s="113" t="s">
        <v>2391</v>
      </c>
      <c r="J30" s="119">
        <f>INDEX('Pivot - Psgr &amp; Sector'!MS:MS,MATCH(B30,'Pivot - Psgr &amp; Sector'!A:A,0))</f>
        <v>1</v>
      </c>
      <c r="K30" s="120">
        <f t="shared" si="1"/>
        <v>0.5</v>
      </c>
      <c r="L30" s="124" t="s">
        <v>2349</v>
      </c>
      <c r="M30" s="124" t="s">
        <v>2391</v>
      </c>
      <c r="N30" s="132">
        <f>INDEX('Pivot - Psgr &amp; Sector'!MT:MT,MATCH(B30,'Pivot - Psgr &amp; Sector'!A:A,0))</f>
        <v>0</v>
      </c>
      <c r="O30" s="133">
        <f t="shared" si="2"/>
        <v>0</v>
      </c>
      <c r="P30" s="134" t="s">
        <v>2341</v>
      </c>
      <c r="Q30" s="134" t="s">
        <v>2341</v>
      </c>
    </row>
    <row r="31" spans="1:17" ht="60" x14ac:dyDescent="0.25">
      <c r="A31" s="107">
        <f t="shared" si="3"/>
        <v>28</v>
      </c>
      <c r="B31" s="108" t="s">
        <v>468</v>
      </c>
      <c r="C31" s="107">
        <f>MATCH(B31,'Pivot - Psgr &amp; Sector'!A:A,0)</f>
        <v>58</v>
      </c>
      <c r="D31" s="107">
        <f>MATCH(B31,'Pivot - Psgr &amp; Airline'!A:A,0)</f>
        <v>78</v>
      </c>
      <c r="E31" s="107">
        <f>COUNTIF(Travel!E:E,B31)</f>
        <v>8</v>
      </c>
      <c r="F31" s="111">
        <f>INDEX('Pivot - Psgr &amp; Sector'!MR:MR,MATCH(B31,'Pivot - Psgr &amp; Sector'!A:A,0))</f>
        <v>2</v>
      </c>
      <c r="G31" s="112">
        <f t="shared" si="0"/>
        <v>0.25</v>
      </c>
      <c r="H31" s="113" t="s">
        <v>2351</v>
      </c>
      <c r="I31" s="113" t="s">
        <v>2392</v>
      </c>
      <c r="J31" s="119">
        <f>INDEX('Pivot - Psgr &amp; Sector'!MS:MS,MATCH(B31,'Pivot - Psgr &amp; Sector'!A:A,0))</f>
        <v>6</v>
      </c>
      <c r="K31" s="120">
        <f t="shared" si="1"/>
        <v>0.75</v>
      </c>
      <c r="L31" s="124" t="s">
        <v>2435</v>
      </c>
      <c r="M31" s="124" t="s">
        <v>2512</v>
      </c>
      <c r="N31" s="132">
        <f>INDEX('Pivot - Psgr &amp; Sector'!MT:MT,MATCH(B31,'Pivot - Psgr &amp; Sector'!A:A,0))</f>
        <v>0</v>
      </c>
      <c r="O31" s="133">
        <f t="shared" si="2"/>
        <v>0</v>
      </c>
      <c r="P31" s="134" t="s">
        <v>2341</v>
      </c>
      <c r="Q31" s="134" t="s">
        <v>2341</v>
      </c>
    </row>
    <row r="32" spans="1:17" ht="30" x14ac:dyDescent="0.25">
      <c r="A32" s="107">
        <f t="shared" si="3"/>
        <v>29</v>
      </c>
      <c r="B32" s="108" t="s">
        <v>1091</v>
      </c>
      <c r="C32" s="107">
        <f>MATCH(B32,'Pivot - Psgr &amp; Sector'!A:A,0)</f>
        <v>64</v>
      </c>
      <c r="D32" s="107">
        <f>MATCH(B32,'Pivot - Psgr &amp; Airline'!A:A,0)</f>
        <v>85</v>
      </c>
      <c r="E32" s="107">
        <f>COUNTIF(Travel!E:E,B32)</f>
        <v>2</v>
      </c>
      <c r="F32" s="111">
        <f>INDEX('Pivot - Psgr &amp; Sector'!MR:MR,MATCH(B32,'Pivot - Psgr &amp; Sector'!A:A,0))</f>
        <v>1</v>
      </c>
      <c r="G32" s="112">
        <f t="shared" si="0"/>
        <v>0.5</v>
      </c>
      <c r="H32" s="113" t="s">
        <v>2352</v>
      </c>
      <c r="I32" s="113" t="s">
        <v>2393</v>
      </c>
      <c r="J32" s="119">
        <f>INDEX('Pivot - Psgr &amp; Sector'!MS:MS,MATCH(B32,'Pivot - Psgr &amp; Sector'!A:A,0))</f>
        <v>1</v>
      </c>
      <c r="K32" s="120">
        <f t="shared" si="1"/>
        <v>0.5</v>
      </c>
      <c r="L32" s="124" t="s">
        <v>2436</v>
      </c>
      <c r="M32" s="124" t="s">
        <v>2393</v>
      </c>
      <c r="N32" s="132">
        <f>INDEX('Pivot - Psgr &amp; Sector'!MT:MT,MATCH(B32,'Pivot - Psgr &amp; Sector'!A:A,0))</f>
        <v>0</v>
      </c>
      <c r="O32" s="133">
        <f t="shared" si="2"/>
        <v>0</v>
      </c>
      <c r="P32" s="134" t="s">
        <v>2341</v>
      </c>
      <c r="Q32" s="134" t="s">
        <v>2341</v>
      </c>
    </row>
    <row r="33" spans="1:17" ht="30" x14ac:dyDescent="0.25">
      <c r="A33" s="107">
        <f t="shared" si="3"/>
        <v>30</v>
      </c>
      <c r="B33" s="108" t="s">
        <v>954</v>
      </c>
      <c r="C33" s="107">
        <f>MATCH(B33,'Pivot - Psgr &amp; Sector'!A:A,0)</f>
        <v>75</v>
      </c>
      <c r="D33" s="107">
        <f>MATCH(B33,'Pivot - Psgr &amp; Airline'!A:A,0)</f>
        <v>96</v>
      </c>
      <c r="E33" s="107">
        <f>COUNTIF(Travel!E:E,B33)</f>
        <v>2</v>
      </c>
      <c r="F33" s="111">
        <f>INDEX('Pivot - Psgr &amp; Sector'!MR:MR,MATCH(B33,'Pivot - Psgr &amp; Sector'!A:A,0))</f>
        <v>1</v>
      </c>
      <c r="G33" s="112">
        <f t="shared" si="0"/>
        <v>0.5</v>
      </c>
      <c r="H33" s="113" t="s">
        <v>2353</v>
      </c>
      <c r="I33" s="113" t="s">
        <v>2379</v>
      </c>
      <c r="J33" s="119">
        <f>INDEX('Pivot - Psgr &amp; Sector'!MS:MS,MATCH(B33,'Pivot - Psgr &amp; Sector'!A:A,0))</f>
        <v>1</v>
      </c>
      <c r="K33" s="120">
        <f t="shared" si="1"/>
        <v>0.5</v>
      </c>
      <c r="L33" s="124" t="s">
        <v>2355</v>
      </c>
      <c r="M33" s="124" t="s">
        <v>2379</v>
      </c>
      <c r="N33" s="132">
        <f>INDEX('Pivot - Psgr &amp; Sector'!MT:MT,MATCH(B33,'Pivot - Psgr &amp; Sector'!A:A,0))</f>
        <v>0</v>
      </c>
      <c r="O33" s="133">
        <f t="shared" si="2"/>
        <v>0</v>
      </c>
      <c r="P33" s="134" t="s">
        <v>2341</v>
      </c>
      <c r="Q33" s="134" t="s">
        <v>2341</v>
      </c>
    </row>
    <row r="34" spans="1:17" ht="30" x14ac:dyDescent="0.25">
      <c r="A34" s="107">
        <f t="shared" si="3"/>
        <v>31</v>
      </c>
      <c r="B34" s="108" t="s">
        <v>1054</v>
      </c>
      <c r="C34" s="107">
        <f>MATCH(B34,'Pivot - Psgr &amp; Sector'!A:A,0)</f>
        <v>79</v>
      </c>
      <c r="D34" s="107">
        <f>MATCH(B34,'Pivot - Psgr &amp; Airline'!A:A,0)</f>
        <v>100</v>
      </c>
      <c r="E34" s="107">
        <f>COUNTIF(Travel!E:E,B34)</f>
        <v>2</v>
      </c>
      <c r="F34" s="111">
        <f>INDEX('Pivot - Psgr &amp; Sector'!MR:MR,MATCH(B34,'Pivot - Psgr &amp; Sector'!A:A,0))</f>
        <v>1</v>
      </c>
      <c r="G34" s="112">
        <f t="shared" si="0"/>
        <v>0.5</v>
      </c>
      <c r="H34" s="113" t="s">
        <v>2337</v>
      </c>
      <c r="I34" s="113" t="s">
        <v>2380</v>
      </c>
      <c r="J34" s="119">
        <f>INDEX('Pivot - Psgr &amp; Sector'!MS:MS,MATCH(B34,'Pivot - Psgr &amp; Sector'!A:A,0))</f>
        <v>1</v>
      </c>
      <c r="K34" s="120">
        <f t="shared" si="1"/>
        <v>0.5</v>
      </c>
      <c r="L34" s="124" t="s">
        <v>2338</v>
      </c>
      <c r="M34" s="124" t="s">
        <v>2380</v>
      </c>
      <c r="N34" s="132">
        <f>INDEX('Pivot - Psgr &amp; Sector'!MT:MT,MATCH(B34,'Pivot - Psgr &amp; Sector'!A:A,0))</f>
        <v>0</v>
      </c>
      <c r="O34" s="133">
        <f t="shared" si="2"/>
        <v>0</v>
      </c>
      <c r="P34" s="134" t="s">
        <v>2341</v>
      </c>
      <c r="Q34" s="134" t="s">
        <v>2341</v>
      </c>
    </row>
    <row r="35" spans="1:17" ht="30" x14ac:dyDescent="0.25">
      <c r="A35" s="107">
        <f t="shared" si="3"/>
        <v>32</v>
      </c>
      <c r="B35" s="108" t="s">
        <v>1456</v>
      </c>
      <c r="C35" s="107">
        <f>MATCH(B35,'Pivot - Psgr &amp; Sector'!A:A,0)</f>
        <v>95</v>
      </c>
      <c r="D35" s="107">
        <f>MATCH(B35,'Pivot - Psgr &amp; Airline'!A:A,0)</f>
        <v>116</v>
      </c>
      <c r="E35" s="107">
        <f>COUNTIF(Travel!E:E,B35)</f>
        <v>2</v>
      </c>
      <c r="F35" s="111">
        <f>INDEX('Pivot - Psgr &amp; Sector'!MR:MR,MATCH(B35,'Pivot - Psgr &amp; Sector'!A:A,0))</f>
        <v>1</v>
      </c>
      <c r="G35" s="112">
        <f t="shared" si="0"/>
        <v>0.5</v>
      </c>
      <c r="H35" s="113" t="s">
        <v>2354</v>
      </c>
      <c r="I35" s="113" t="s">
        <v>2379</v>
      </c>
      <c r="J35" s="119">
        <f>INDEX('Pivot - Psgr &amp; Sector'!MS:MS,MATCH(B35,'Pivot - Psgr &amp; Sector'!A:A,0))</f>
        <v>1</v>
      </c>
      <c r="K35" s="120">
        <f t="shared" si="1"/>
        <v>0.5</v>
      </c>
      <c r="L35" s="124" t="s">
        <v>2353</v>
      </c>
      <c r="M35" s="124" t="s">
        <v>2395</v>
      </c>
      <c r="N35" s="132">
        <f>INDEX('Pivot - Psgr &amp; Sector'!MT:MT,MATCH(B35,'Pivot - Psgr &amp; Sector'!A:A,0))</f>
        <v>0</v>
      </c>
      <c r="O35" s="133">
        <f t="shared" si="2"/>
        <v>0</v>
      </c>
      <c r="P35" s="134" t="s">
        <v>2341</v>
      </c>
      <c r="Q35" s="134" t="s">
        <v>2341</v>
      </c>
    </row>
    <row r="36" spans="1:17" ht="30" x14ac:dyDescent="0.25">
      <c r="A36" s="107">
        <f t="shared" si="3"/>
        <v>33</v>
      </c>
      <c r="B36" s="108" t="s">
        <v>152</v>
      </c>
      <c r="C36" s="107">
        <f>MATCH(B36,'Pivot - Psgr &amp; Sector'!A:A,0)</f>
        <v>108</v>
      </c>
      <c r="D36" s="107">
        <f>MATCH(B36,'Pivot - Psgr &amp; Airline'!A:A,0)</f>
        <v>133</v>
      </c>
      <c r="E36" s="107">
        <f>COUNTIF(Travel!E:E,B36)</f>
        <v>2</v>
      </c>
      <c r="F36" s="111">
        <f>INDEX('Pivot - Psgr &amp; Sector'!MR:MR,MATCH(B36,'Pivot - Psgr &amp; Sector'!A:A,0))</f>
        <v>1</v>
      </c>
      <c r="G36" s="112">
        <f t="shared" ref="G36:G67" si="4">F36/E36</f>
        <v>0.5</v>
      </c>
      <c r="H36" s="113" t="s">
        <v>2337</v>
      </c>
      <c r="I36" s="113" t="s">
        <v>2394</v>
      </c>
      <c r="J36" s="119">
        <f>INDEX('Pivot - Psgr &amp; Sector'!MS:MS,MATCH(B36,'Pivot - Psgr &amp; Sector'!A:A,0))</f>
        <v>1</v>
      </c>
      <c r="K36" s="120">
        <f t="shared" ref="K36:K67" si="5">J36/E36</f>
        <v>0.5</v>
      </c>
      <c r="L36" s="124" t="s">
        <v>2338</v>
      </c>
      <c r="M36" s="124" t="s">
        <v>2385</v>
      </c>
      <c r="N36" s="132">
        <f>INDEX('Pivot - Psgr &amp; Sector'!MT:MT,MATCH(B36,'Pivot - Psgr &amp; Sector'!A:A,0))</f>
        <v>0</v>
      </c>
      <c r="O36" s="133">
        <f t="shared" ref="O36:O67" si="6">N36/E36</f>
        <v>0</v>
      </c>
      <c r="P36" s="134" t="s">
        <v>2341</v>
      </c>
      <c r="Q36" s="134" t="s">
        <v>2341</v>
      </c>
    </row>
    <row r="37" spans="1:17" ht="30" x14ac:dyDescent="0.25">
      <c r="A37" s="107">
        <f t="shared" si="3"/>
        <v>34</v>
      </c>
      <c r="B37" s="108" t="s">
        <v>1493</v>
      </c>
      <c r="C37" s="107">
        <f>MATCH(B37,'Pivot - Psgr &amp; Sector'!A:A,0)</f>
        <v>115</v>
      </c>
      <c r="D37" s="107">
        <f>MATCH(B37,'Pivot - Psgr &amp; Airline'!A:A,0)</f>
        <v>140</v>
      </c>
      <c r="E37" s="107">
        <f>COUNTIF(Travel!E:E,B37)</f>
        <v>2</v>
      </c>
      <c r="F37" s="111">
        <f>INDEX('Pivot - Psgr &amp; Sector'!MR:MR,MATCH(B37,'Pivot - Psgr &amp; Sector'!A:A,0))</f>
        <v>1</v>
      </c>
      <c r="G37" s="112">
        <f t="shared" si="4"/>
        <v>0.5</v>
      </c>
      <c r="H37" s="113" t="s">
        <v>2355</v>
      </c>
      <c r="I37" s="113" t="s">
        <v>2379</v>
      </c>
      <c r="J37" s="119">
        <f>INDEX('Pivot - Psgr &amp; Sector'!MS:MS,MATCH(B37,'Pivot - Psgr &amp; Sector'!A:A,0))</f>
        <v>1</v>
      </c>
      <c r="K37" s="120">
        <f t="shared" si="5"/>
        <v>0.5</v>
      </c>
      <c r="L37" s="124" t="s">
        <v>2355</v>
      </c>
      <c r="M37" s="124" t="s">
        <v>2379</v>
      </c>
      <c r="N37" s="132">
        <f>INDEX('Pivot - Psgr &amp; Sector'!MT:MT,MATCH(B37,'Pivot - Psgr &amp; Sector'!A:A,0))</f>
        <v>0</v>
      </c>
      <c r="O37" s="133">
        <f t="shared" si="6"/>
        <v>0</v>
      </c>
      <c r="P37" s="134" t="s">
        <v>2341</v>
      </c>
      <c r="Q37" s="134" t="s">
        <v>2341</v>
      </c>
    </row>
    <row r="38" spans="1:17" ht="45" x14ac:dyDescent="0.25">
      <c r="A38" s="107">
        <f t="shared" si="3"/>
        <v>35</v>
      </c>
      <c r="B38" s="108" t="s">
        <v>868</v>
      </c>
      <c r="C38" s="107">
        <f>MATCH(B38,'Pivot - Psgr &amp; Sector'!A:A,0)</f>
        <v>116</v>
      </c>
      <c r="D38" s="107">
        <f>MATCH(B38,'Pivot - Psgr &amp; Airline'!A:A,0)</f>
        <v>141</v>
      </c>
      <c r="E38" s="107">
        <f>COUNTIF(Travel!E:E,B38)</f>
        <v>4</v>
      </c>
      <c r="F38" s="111">
        <f>INDEX('Pivot - Psgr &amp; Sector'!MR:MR,MATCH(B38,'Pivot - Psgr &amp; Sector'!A:A,0))</f>
        <v>1</v>
      </c>
      <c r="G38" s="112">
        <f t="shared" si="4"/>
        <v>0.25</v>
      </c>
      <c r="H38" s="113" t="s">
        <v>2338</v>
      </c>
      <c r="I38" s="113" t="s">
        <v>2395</v>
      </c>
      <c r="J38" s="119">
        <f>INDEX('Pivot - Psgr &amp; Sector'!MS:MS,MATCH(B38,'Pivot - Psgr &amp; Sector'!A:A,0))</f>
        <v>3</v>
      </c>
      <c r="K38" s="120">
        <f t="shared" si="5"/>
        <v>0.75</v>
      </c>
      <c r="L38" s="124" t="s">
        <v>2437</v>
      </c>
      <c r="M38" s="124" t="s">
        <v>2413</v>
      </c>
      <c r="N38" s="132">
        <f>INDEX('Pivot - Psgr &amp; Sector'!MT:MT,MATCH(B38,'Pivot - Psgr &amp; Sector'!A:A,0))</f>
        <v>0</v>
      </c>
      <c r="O38" s="133">
        <f t="shared" si="6"/>
        <v>0</v>
      </c>
      <c r="P38" s="134" t="s">
        <v>2341</v>
      </c>
      <c r="Q38" s="134" t="s">
        <v>2341</v>
      </c>
    </row>
    <row r="39" spans="1:17" ht="30" x14ac:dyDescent="0.25">
      <c r="A39" s="107">
        <f t="shared" si="3"/>
        <v>36</v>
      </c>
      <c r="B39" s="108" t="s">
        <v>850</v>
      </c>
      <c r="C39" s="107">
        <f>MATCH(B39,'Pivot - Psgr &amp; Sector'!A:A,0)</f>
        <v>26</v>
      </c>
      <c r="D39" s="107">
        <f>MATCH(B39,'Pivot - Psgr &amp; Airline'!A:A,0)</f>
        <v>39</v>
      </c>
      <c r="E39" s="107">
        <f>COUNTIF(Travel!E:E,B39)</f>
        <v>2</v>
      </c>
      <c r="F39" s="111">
        <f>INDEX('Pivot - Psgr &amp; Sector'!MR:MR,MATCH(B39,'Pivot - Psgr &amp; Sector'!A:A,0))</f>
        <v>0</v>
      </c>
      <c r="G39" s="112">
        <f t="shared" si="4"/>
        <v>0</v>
      </c>
      <c r="H39" s="113" t="s">
        <v>2341</v>
      </c>
      <c r="I39" s="113" t="s">
        <v>2341</v>
      </c>
      <c r="J39" s="119">
        <f>INDEX('Pivot - Psgr &amp; Sector'!MS:MS,MATCH(B39,'Pivot - Psgr &amp; Sector'!A:A,0))</f>
        <v>1</v>
      </c>
      <c r="K39" s="120">
        <f t="shared" si="5"/>
        <v>0.5</v>
      </c>
      <c r="L39" s="124" t="s">
        <v>2337</v>
      </c>
      <c r="M39" s="124" t="s">
        <v>2385</v>
      </c>
      <c r="N39" s="132">
        <f>INDEX('Pivot - Psgr &amp; Sector'!MT:MT,MATCH(B39,'Pivot - Psgr &amp; Sector'!A:A,0))</f>
        <v>1</v>
      </c>
      <c r="O39" s="133">
        <f t="shared" si="6"/>
        <v>0.5</v>
      </c>
      <c r="P39" s="134" t="s">
        <v>2338</v>
      </c>
      <c r="Q39" s="134" t="s">
        <v>2395</v>
      </c>
    </row>
    <row r="40" spans="1:17" ht="30" x14ac:dyDescent="0.25">
      <c r="A40" s="107">
        <f t="shared" si="3"/>
        <v>37</v>
      </c>
      <c r="B40" s="108" t="s">
        <v>916</v>
      </c>
      <c r="C40" s="107">
        <f>MATCH(B40,'Pivot - Psgr &amp; Sector'!A:A,0)</f>
        <v>57</v>
      </c>
      <c r="D40" s="107">
        <f>MATCH(B40,'Pivot - Psgr &amp; Airline'!A:A,0)</f>
        <v>77</v>
      </c>
      <c r="E40" s="107">
        <f>COUNTIF(Travel!E:E,B40)</f>
        <v>2</v>
      </c>
      <c r="F40" s="111">
        <f>INDEX('Pivot - Psgr &amp; Sector'!MR:MR,MATCH(B40,'Pivot - Psgr &amp; Sector'!A:A,0))</f>
        <v>1</v>
      </c>
      <c r="G40" s="112">
        <f t="shared" si="4"/>
        <v>0.5</v>
      </c>
      <c r="H40" s="113" t="s">
        <v>2337</v>
      </c>
      <c r="I40" s="113" t="s">
        <v>2385</v>
      </c>
      <c r="J40" s="119">
        <f>INDEX('Pivot - Psgr &amp; Sector'!MS:MS,MATCH(B40,'Pivot - Psgr &amp; Sector'!A:A,0))</f>
        <v>0</v>
      </c>
      <c r="K40" s="120">
        <f t="shared" si="5"/>
        <v>0</v>
      </c>
      <c r="L40" s="124" t="s">
        <v>2341</v>
      </c>
      <c r="M40" s="124" t="s">
        <v>2341</v>
      </c>
      <c r="N40" s="132">
        <f>INDEX('Pivot - Psgr &amp; Sector'!MT:MT,MATCH(B40,'Pivot - Psgr &amp; Sector'!A:A,0))</f>
        <v>1</v>
      </c>
      <c r="O40" s="133">
        <f t="shared" si="6"/>
        <v>0.5</v>
      </c>
      <c r="P40" s="134" t="s">
        <v>2338</v>
      </c>
      <c r="Q40" s="134" t="s">
        <v>2395</v>
      </c>
    </row>
    <row r="41" spans="1:17" ht="30" x14ac:dyDescent="0.25">
      <c r="A41" s="107">
        <f t="shared" si="3"/>
        <v>38</v>
      </c>
      <c r="B41" s="108" t="s">
        <v>506</v>
      </c>
      <c r="C41" s="107">
        <f>MATCH(B41,'Pivot - Psgr &amp; Sector'!A:A,0)</f>
        <v>117</v>
      </c>
      <c r="D41" s="107">
        <f>MATCH(B41,'Pivot - Psgr &amp; Airline'!A:A,0)</f>
        <v>142</v>
      </c>
      <c r="E41" s="107">
        <f>COUNTIF(Travel!E:E,B41)</f>
        <v>2</v>
      </c>
      <c r="F41" s="111">
        <f>INDEX('Pivot - Psgr &amp; Sector'!MR:MR,MATCH(B41,'Pivot - Psgr &amp; Sector'!A:A,0))</f>
        <v>1</v>
      </c>
      <c r="G41" s="112">
        <f t="shared" si="4"/>
        <v>0.5</v>
      </c>
      <c r="H41" s="113" t="s">
        <v>2356</v>
      </c>
      <c r="I41" s="113" t="s">
        <v>2396</v>
      </c>
      <c r="J41" s="119">
        <f>INDEX('Pivot - Psgr &amp; Sector'!MS:MS,MATCH(B41,'Pivot - Psgr &amp; Sector'!A:A,0))</f>
        <v>0</v>
      </c>
      <c r="K41" s="120">
        <f t="shared" si="5"/>
        <v>0</v>
      </c>
      <c r="L41" s="124" t="s">
        <v>2341</v>
      </c>
      <c r="M41" s="124" t="s">
        <v>2341</v>
      </c>
      <c r="N41" s="132">
        <f>INDEX('Pivot - Psgr &amp; Sector'!MT:MT,MATCH(B41,'Pivot - Psgr &amp; Sector'!A:A,0))</f>
        <v>1</v>
      </c>
      <c r="O41" s="133">
        <f t="shared" si="6"/>
        <v>0.5</v>
      </c>
      <c r="P41" s="134" t="s">
        <v>2356</v>
      </c>
      <c r="Q41" s="134" t="s">
        <v>2396</v>
      </c>
    </row>
    <row r="42" spans="1:17" ht="75" x14ac:dyDescent="0.25">
      <c r="A42" s="107">
        <f t="shared" si="3"/>
        <v>39</v>
      </c>
      <c r="B42" s="108" t="s">
        <v>2282</v>
      </c>
      <c r="C42" s="107">
        <f>MATCH(B42,'Pivot - Psgr &amp; Sector'!A:A,0)</f>
        <v>129</v>
      </c>
      <c r="D42" s="107">
        <f>MATCH(B42,'Pivot - Psgr &amp; Airline'!A:A,0)</f>
        <v>29</v>
      </c>
      <c r="E42" s="107">
        <f>COUNTIF(Travel!E:E,B42)</f>
        <v>9</v>
      </c>
      <c r="F42" s="111">
        <f>INDEX('Pivot - Psgr &amp; Sector'!MR:MR,MATCH(B42,'Pivot - Psgr &amp; Sector'!A:A,0))</f>
        <v>3</v>
      </c>
      <c r="G42" s="112">
        <f t="shared" si="4"/>
        <v>0.33333333333333331</v>
      </c>
      <c r="H42" s="113" t="s">
        <v>2357</v>
      </c>
      <c r="I42" s="113" t="s">
        <v>2397</v>
      </c>
      <c r="J42" s="119">
        <f>INDEX('Pivot - Psgr &amp; Sector'!MS:MS,MATCH(B42,'Pivot - Psgr &amp; Sector'!A:A,0))</f>
        <v>5</v>
      </c>
      <c r="K42" s="120">
        <f t="shared" si="5"/>
        <v>0.55555555555555558</v>
      </c>
      <c r="L42" s="124" t="s">
        <v>2438</v>
      </c>
      <c r="M42" s="124" t="s">
        <v>2513</v>
      </c>
      <c r="N42" s="132">
        <f>INDEX('Pivot - Psgr &amp; Sector'!MT:MT,MATCH(B42,'Pivot - Psgr &amp; Sector'!A:A,0))</f>
        <v>1</v>
      </c>
      <c r="O42" s="133">
        <f t="shared" si="6"/>
        <v>0.1111111111111111</v>
      </c>
      <c r="P42" s="134" t="s">
        <v>2338</v>
      </c>
      <c r="Q42" s="134" t="s">
        <v>2385</v>
      </c>
    </row>
    <row r="43" spans="1:17" ht="180" x14ac:dyDescent="0.25">
      <c r="A43" s="107">
        <f t="shared" si="3"/>
        <v>40</v>
      </c>
      <c r="B43" s="108" t="s">
        <v>2288</v>
      </c>
      <c r="C43" s="107">
        <f>MATCH(B43,'Pivot - Psgr &amp; Sector'!A:A,0)</f>
        <v>135</v>
      </c>
      <c r="D43" s="107">
        <f>MATCH(B43,'Pivot - Psgr &amp; Airline'!A:A,0)</f>
        <v>43</v>
      </c>
      <c r="E43" s="107">
        <f>COUNTIF(Travel!E:E,B43)</f>
        <v>65</v>
      </c>
      <c r="F43" s="111">
        <f>INDEX('Pivot - Psgr &amp; Sector'!MR:MR,MATCH(B43,'Pivot - Psgr &amp; Sector'!A:A,0))</f>
        <v>20</v>
      </c>
      <c r="G43" s="112">
        <f t="shared" si="4"/>
        <v>0.30769230769230771</v>
      </c>
      <c r="H43" s="113" t="s">
        <v>2358</v>
      </c>
      <c r="I43" s="113" t="s">
        <v>2398</v>
      </c>
      <c r="J43" s="119">
        <f>INDEX('Pivot - Psgr &amp; Sector'!MS:MS,MATCH(B43,'Pivot - Psgr &amp; Sector'!A:A,0))</f>
        <v>28</v>
      </c>
      <c r="K43" s="120">
        <f t="shared" si="5"/>
        <v>0.43076923076923079</v>
      </c>
      <c r="L43" s="124" t="s">
        <v>2439</v>
      </c>
      <c r="M43" s="124" t="s">
        <v>2514</v>
      </c>
      <c r="N43" s="132">
        <f>INDEX('Pivot - Psgr &amp; Sector'!MT:MT,MATCH(B43,'Pivot - Psgr &amp; Sector'!A:A,0))</f>
        <v>17</v>
      </c>
      <c r="O43" s="133">
        <f t="shared" si="6"/>
        <v>0.26153846153846155</v>
      </c>
      <c r="P43" s="134" t="s">
        <v>2548</v>
      </c>
      <c r="Q43" s="134" t="s">
        <v>2569</v>
      </c>
    </row>
    <row r="44" spans="1:17" ht="135" x14ac:dyDescent="0.25">
      <c r="A44" s="107">
        <f t="shared" si="3"/>
        <v>41</v>
      </c>
      <c r="B44" s="108" t="s">
        <v>2285</v>
      </c>
      <c r="C44" s="107">
        <f>MATCH(B44,'Pivot - Psgr &amp; Sector'!A:A,0)</f>
        <v>127</v>
      </c>
      <c r="D44" s="107">
        <f>MATCH(B44,'Pivot - Psgr &amp; Airline'!A:A,0)</f>
        <v>33</v>
      </c>
      <c r="E44" s="107">
        <f>COUNTIF(Travel!E:E,B44)</f>
        <v>42</v>
      </c>
      <c r="F44" s="111">
        <f>INDEX('Pivot - Psgr &amp; Sector'!MR:MR,MATCH(B44,'Pivot - Psgr &amp; Sector'!A:A,0))</f>
        <v>13</v>
      </c>
      <c r="G44" s="112">
        <f t="shared" si="4"/>
        <v>0.30952380952380953</v>
      </c>
      <c r="H44" s="113" t="s">
        <v>2359</v>
      </c>
      <c r="I44" s="113" t="s">
        <v>2399</v>
      </c>
      <c r="J44" s="119">
        <f>INDEX('Pivot - Psgr &amp; Sector'!MS:MS,MATCH(B44,'Pivot - Psgr &amp; Sector'!A:A,0))</f>
        <v>14</v>
      </c>
      <c r="K44" s="120">
        <f t="shared" si="5"/>
        <v>0.33333333333333331</v>
      </c>
      <c r="L44" s="124" t="s">
        <v>2440</v>
      </c>
      <c r="M44" s="124" t="s">
        <v>2515</v>
      </c>
      <c r="N44" s="132">
        <f>INDEX('Pivot - Psgr &amp; Sector'!MT:MT,MATCH(B44,'Pivot - Psgr &amp; Sector'!A:A,0))</f>
        <v>15</v>
      </c>
      <c r="O44" s="133">
        <f t="shared" si="6"/>
        <v>0.35714285714285715</v>
      </c>
      <c r="P44" s="134" t="s">
        <v>2549</v>
      </c>
      <c r="Q44" s="134" t="s">
        <v>2570</v>
      </c>
    </row>
    <row r="45" spans="1:17" ht="135" x14ac:dyDescent="0.25">
      <c r="A45" s="107">
        <f t="shared" si="3"/>
        <v>42</v>
      </c>
      <c r="B45" s="108" t="s">
        <v>2281</v>
      </c>
      <c r="C45" s="107">
        <f>MATCH(B45,'Pivot - Psgr &amp; Sector'!A:A,0)</f>
        <v>128</v>
      </c>
      <c r="D45" s="107">
        <f>MATCH(B45,'Pivot - Psgr &amp; Airline'!A:A,0)</f>
        <v>125</v>
      </c>
      <c r="E45" s="107">
        <f>COUNTIF(Travel!E:E,B45)</f>
        <v>12</v>
      </c>
      <c r="F45" s="111">
        <f>INDEX('Pivot - Psgr &amp; Sector'!MR:MR,MATCH(B45,'Pivot - Psgr &amp; Sector'!A:A,0))</f>
        <v>3</v>
      </c>
      <c r="G45" s="112">
        <f t="shared" si="4"/>
        <v>0.25</v>
      </c>
      <c r="H45" s="113" t="s">
        <v>2360</v>
      </c>
      <c r="I45" s="113" t="s">
        <v>2397</v>
      </c>
      <c r="J45" s="119">
        <f>INDEX('Pivot - Psgr &amp; Sector'!MS:MS,MATCH(B45,'Pivot - Psgr &amp; Sector'!A:A,0))</f>
        <v>9</v>
      </c>
      <c r="K45" s="120">
        <f t="shared" si="5"/>
        <v>0.75</v>
      </c>
      <c r="L45" s="124" t="s">
        <v>2441</v>
      </c>
      <c r="M45" s="124" t="s">
        <v>2516</v>
      </c>
      <c r="N45" s="132">
        <f>INDEX('Pivot - Psgr &amp; Sector'!MT:MT,MATCH(B45,'Pivot - Psgr &amp; Sector'!A:A,0))</f>
        <v>0</v>
      </c>
      <c r="O45" s="133">
        <f t="shared" si="6"/>
        <v>0</v>
      </c>
      <c r="P45" s="134" t="s">
        <v>2341</v>
      </c>
      <c r="Q45" s="134" t="s">
        <v>2341</v>
      </c>
    </row>
    <row r="46" spans="1:17" ht="90" x14ac:dyDescent="0.25">
      <c r="A46" s="107">
        <f t="shared" si="3"/>
        <v>43</v>
      </c>
      <c r="B46" s="108" t="s">
        <v>372</v>
      </c>
      <c r="C46" s="107">
        <f>MATCH(B46,'Pivot - Psgr &amp; Sector'!A:A,0)</f>
        <v>11</v>
      </c>
      <c r="D46" s="107">
        <f>MATCH(B46,'Pivot - Psgr &amp; Airline'!A:A,0)</f>
        <v>14</v>
      </c>
      <c r="E46" s="107">
        <f>COUNTIF(Travel!E:E,B46)</f>
        <v>15</v>
      </c>
      <c r="F46" s="111">
        <f>INDEX('Pivot - Psgr &amp; Sector'!MR:MR,MATCH(B46,'Pivot - Psgr &amp; Sector'!A:A,0))</f>
        <v>6</v>
      </c>
      <c r="G46" s="112">
        <f t="shared" si="4"/>
        <v>0.4</v>
      </c>
      <c r="H46" s="113" t="s">
        <v>2361</v>
      </c>
      <c r="I46" s="113" t="s">
        <v>2400</v>
      </c>
      <c r="J46" s="119">
        <f>INDEX('Pivot - Psgr &amp; Sector'!MS:MS,MATCH(B46,'Pivot - Psgr &amp; Sector'!A:A,0))</f>
        <v>8</v>
      </c>
      <c r="K46" s="120">
        <f t="shared" si="5"/>
        <v>0.53333333333333333</v>
      </c>
      <c r="L46" s="124" t="s">
        <v>2442</v>
      </c>
      <c r="M46" s="124" t="s">
        <v>2414</v>
      </c>
      <c r="N46" s="132">
        <f>INDEX('Pivot - Psgr &amp; Sector'!MT:MT,MATCH(B46,'Pivot - Psgr &amp; Sector'!A:A,0))</f>
        <v>1</v>
      </c>
      <c r="O46" s="133">
        <f t="shared" si="6"/>
        <v>6.6666666666666666E-2</v>
      </c>
      <c r="P46" s="134" t="s">
        <v>2335</v>
      </c>
      <c r="Q46" s="134" t="s">
        <v>2379</v>
      </c>
    </row>
    <row r="47" spans="1:17" ht="225" x14ac:dyDescent="0.25">
      <c r="A47" s="107">
        <f t="shared" si="3"/>
        <v>44</v>
      </c>
      <c r="B47" s="108" t="s">
        <v>2293</v>
      </c>
      <c r="C47" s="107">
        <f>MATCH(B47,'Pivot - Psgr &amp; Sector'!A:A,0)</f>
        <v>139</v>
      </c>
      <c r="D47" s="107">
        <f>MATCH(B47,'Pivot - Psgr &amp; Airline'!A:A,0)</f>
        <v>121</v>
      </c>
      <c r="E47" s="107">
        <f>COUNTIF(Travel!E:E,B47)</f>
        <v>29</v>
      </c>
      <c r="F47" s="111">
        <f>INDEX('Pivot - Psgr &amp; Sector'!MR:MR,MATCH(B47,'Pivot - Psgr &amp; Sector'!A:A,0))</f>
        <v>6</v>
      </c>
      <c r="G47" s="112">
        <f t="shared" si="4"/>
        <v>0.20689655172413793</v>
      </c>
      <c r="H47" s="113" t="s">
        <v>2362</v>
      </c>
      <c r="I47" s="113" t="s">
        <v>2401</v>
      </c>
      <c r="J47" s="119">
        <f>INDEX('Pivot - Psgr &amp; Sector'!MS:MS,MATCH(B47,'Pivot - Psgr &amp; Sector'!A:A,0))</f>
        <v>20</v>
      </c>
      <c r="K47" s="120">
        <f t="shared" si="5"/>
        <v>0.68965517241379315</v>
      </c>
      <c r="L47" s="124" t="s">
        <v>2443</v>
      </c>
      <c r="M47" s="124" t="s">
        <v>2517</v>
      </c>
      <c r="N47" s="132">
        <f>INDEX('Pivot - Psgr &amp; Sector'!MT:MT,MATCH(B47,'Pivot - Psgr &amp; Sector'!A:A,0))</f>
        <v>3</v>
      </c>
      <c r="O47" s="133">
        <f t="shared" si="6"/>
        <v>0.10344827586206896</v>
      </c>
      <c r="P47" s="134" t="s">
        <v>2550</v>
      </c>
      <c r="Q47" s="134" t="s">
        <v>2571</v>
      </c>
    </row>
    <row r="48" spans="1:17" ht="45" x14ac:dyDescent="0.25">
      <c r="A48" s="107">
        <f t="shared" si="3"/>
        <v>45</v>
      </c>
      <c r="B48" s="108" t="s">
        <v>110</v>
      </c>
      <c r="C48" s="107">
        <f>MATCH(B48,'Pivot - Psgr &amp; Sector'!A:A,0)</f>
        <v>62</v>
      </c>
      <c r="D48" s="107">
        <f>MATCH(B48,'Pivot - Psgr &amp; Airline'!A:A,0)</f>
        <v>83</v>
      </c>
      <c r="E48" s="107">
        <f>COUNTIF(Travel!E:E,B48)</f>
        <v>3</v>
      </c>
      <c r="F48" s="111">
        <f>INDEX('Pivot - Psgr &amp; Sector'!MR:MR,MATCH(B48,'Pivot - Psgr &amp; Sector'!A:A,0))</f>
        <v>1</v>
      </c>
      <c r="G48" s="112">
        <f t="shared" si="4"/>
        <v>0.33333333333333331</v>
      </c>
      <c r="H48" s="113" t="s">
        <v>2363</v>
      </c>
      <c r="I48" s="113" t="s">
        <v>2380</v>
      </c>
      <c r="J48" s="119">
        <f>INDEX('Pivot - Psgr &amp; Sector'!MS:MS,MATCH(B48,'Pivot - Psgr &amp; Sector'!A:A,0))</f>
        <v>2</v>
      </c>
      <c r="K48" s="120">
        <f t="shared" si="5"/>
        <v>0.66666666666666663</v>
      </c>
      <c r="L48" s="124" t="s">
        <v>2444</v>
      </c>
      <c r="M48" s="124" t="s">
        <v>2415</v>
      </c>
      <c r="N48" s="132">
        <f>INDEX('Pivot - Psgr &amp; Sector'!MT:MT,MATCH(B48,'Pivot - Psgr &amp; Sector'!A:A,0))</f>
        <v>0</v>
      </c>
      <c r="O48" s="133">
        <f t="shared" si="6"/>
        <v>0</v>
      </c>
      <c r="P48" s="134" t="s">
        <v>2341</v>
      </c>
      <c r="Q48" s="134" t="s">
        <v>2341</v>
      </c>
    </row>
    <row r="49" spans="1:17" ht="45" x14ac:dyDescent="0.25">
      <c r="A49" s="107">
        <f t="shared" si="3"/>
        <v>46</v>
      </c>
      <c r="B49" s="108" t="s">
        <v>157</v>
      </c>
      <c r="C49" s="107">
        <f>MATCH(B49,'Pivot - Psgr &amp; Sector'!A:A,0)</f>
        <v>100</v>
      </c>
      <c r="D49" s="107">
        <f>MATCH(B49,'Pivot - Psgr &amp; Airline'!A:A,0)</f>
        <v>123</v>
      </c>
      <c r="E49" s="107">
        <f>COUNTIF(Travel!E:E,B49)</f>
        <v>3</v>
      </c>
      <c r="F49" s="111">
        <f>INDEX('Pivot - Psgr &amp; Sector'!MR:MR,MATCH(B49,'Pivot - Psgr &amp; Sector'!A:A,0))</f>
        <v>1</v>
      </c>
      <c r="G49" s="112">
        <f t="shared" si="4"/>
        <v>0.33333333333333331</v>
      </c>
      <c r="H49" s="113" t="s">
        <v>2338</v>
      </c>
      <c r="I49" s="113" t="s">
        <v>2395</v>
      </c>
      <c r="J49" s="119">
        <f>INDEX('Pivot - Psgr &amp; Sector'!MS:MS,MATCH(B49,'Pivot - Psgr &amp; Sector'!A:A,0))</f>
        <v>2</v>
      </c>
      <c r="K49" s="120">
        <f t="shared" si="5"/>
        <v>0.66666666666666663</v>
      </c>
      <c r="L49" s="124" t="s">
        <v>2445</v>
      </c>
      <c r="M49" s="124" t="s">
        <v>2409</v>
      </c>
      <c r="N49" s="132">
        <f>INDEX('Pivot - Psgr &amp; Sector'!MT:MT,MATCH(B49,'Pivot - Psgr &amp; Sector'!A:A,0))</f>
        <v>0</v>
      </c>
      <c r="O49" s="133">
        <f t="shared" si="6"/>
        <v>0</v>
      </c>
      <c r="P49" s="134" t="s">
        <v>2341</v>
      </c>
      <c r="Q49" s="134" t="s">
        <v>2341</v>
      </c>
    </row>
    <row r="50" spans="1:17" ht="120" x14ac:dyDescent="0.25">
      <c r="A50" s="107">
        <f t="shared" si="3"/>
        <v>47</v>
      </c>
      <c r="B50" s="108" t="s">
        <v>2298</v>
      </c>
      <c r="C50" s="107">
        <f>MATCH(B50,'Pivot - Psgr &amp; Sector'!A:A,0)</f>
        <v>144</v>
      </c>
      <c r="D50" s="107">
        <f>MATCH(B50,'Pivot - Psgr &amp; Airline'!A:A,0)</f>
        <v>80</v>
      </c>
      <c r="E50" s="107">
        <f>COUNTIF(Travel!E:E,B50)</f>
        <v>19</v>
      </c>
      <c r="F50" s="111">
        <f>INDEX('Pivot - Psgr &amp; Sector'!MR:MR,MATCH(B50,'Pivot - Psgr &amp; Sector'!A:A,0))</f>
        <v>4</v>
      </c>
      <c r="G50" s="112">
        <f t="shared" si="4"/>
        <v>0.21052631578947367</v>
      </c>
      <c r="H50" s="113" t="s">
        <v>2364</v>
      </c>
      <c r="I50" s="113" t="s">
        <v>2402</v>
      </c>
      <c r="J50" s="119">
        <f>INDEX('Pivot - Psgr &amp; Sector'!MS:MS,MATCH(B50,'Pivot - Psgr &amp; Sector'!A:A,0))</f>
        <v>15</v>
      </c>
      <c r="K50" s="120">
        <f t="shared" si="5"/>
        <v>0.78947368421052633</v>
      </c>
      <c r="L50" s="124" t="s">
        <v>2446</v>
      </c>
      <c r="M50" s="124" t="s">
        <v>2518</v>
      </c>
      <c r="N50" s="132">
        <f>INDEX('Pivot - Psgr &amp; Sector'!MT:MT,MATCH(B50,'Pivot - Psgr &amp; Sector'!A:A,0))</f>
        <v>0</v>
      </c>
      <c r="O50" s="133">
        <f t="shared" si="6"/>
        <v>0</v>
      </c>
      <c r="P50" s="134" t="s">
        <v>2341</v>
      </c>
      <c r="Q50" s="134" t="s">
        <v>2341</v>
      </c>
    </row>
    <row r="51" spans="1:17" ht="90" x14ac:dyDescent="0.25">
      <c r="A51" s="107">
        <f t="shared" si="3"/>
        <v>48</v>
      </c>
      <c r="B51" s="108" t="s">
        <v>2287</v>
      </c>
      <c r="C51" s="107">
        <f>MATCH(B51,'Pivot - Psgr &amp; Sector'!A:A,0)</f>
        <v>136</v>
      </c>
      <c r="D51" s="107">
        <f>MATCH(B51,'Pivot - Psgr &amp; Airline'!A:A,0)</f>
        <v>42</v>
      </c>
      <c r="E51" s="107">
        <f>COUNTIF(Travel!E:E,B51)</f>
        <v>23</v>
      </c>
      <c r="F51" s="111">
        <f>INDEX('Pivot - Psgr &amp; Sector'!MR:MR,MATCH(B51,'Pivot - Psgr &amp; Sector'!A:A,0))</f>
        <v>5</v>
      </c>
      <c r="G51" s="112">
        <f t="shared" si="4"/>
        <v>0.21739130434782608</v>
      </c>
      <c r="H51" s="113" t="s">
        <v>2365</v>
      </c>
      <c r="I51" s="113" t="s">
        <v>2403</v>
      </c>
      <c r="J51" s="119">
        <f>INDEX('Pivot - Psgr &amp; Sector'!MS:MS,MATCH(B51,'Pivot - Psgr &amp; Sector'!A:A,0))</f>
        <v>9</v>
      </c>
      <c r="K51" s="120">
        <f t="shared" si="5"/>
        <v>0.39130434782608697</v>
      </c>
      <c r="L51" s="124" t="s">
        <v>2447</v>
      </c>
      <c r="M51" s="124" t="s">
        <v>2519</v>
      </c>
      <c r="N51" s="132">
        <f>INDEX('Pivot - Psgr &amp; Sector'!MT:MT,MATCH(B51,'Pivot - Psgr &amp; Sector'!A:A,0))</f>
        <v>9</v>
      </c>
      <c r="O51" s="133">
        <f t="shared" si="6"/>
        <v>0.39130434782608697</v>
      </c>
      <c r="P51" s="134" t="s">
        <v>2551</v>
      </c>
      <c r="Q51" s="134" t="s">
        <v>2572</v>
      </c>
    </row>
    <row r="52" spans="1:17" ht="210" x14ac:dyDescent="0.25">
      <c r="A52" s="107">
        <f t="shared" si="3"/>
        <v>49</v>
      </c>
      <c r="B52" s="108" t="s">
        <v>2291</v>
      </c>
      <c r="C52" s="107">
        <f>MATCH(B52,'Pivot - Psgr &amp; Sector'!A:A,0)</f>
        <v>137</v>
      </c>
      <c r="D52" s="107">
        <f>MATCH(B52,'Pivot - Psgr &amp; Airline'!A:A,0)</f>
        <v>49</v>
      </c>
      <c r="E52" s="107">
        <f>COUNTIF(Travel!E:E,B52)</f>
        <v>33</v>
      </c>
      <c r="F52" s="111">
        <f>INDEX('Pivot - Psgr &amp; Sector'!MR:MR,MATCH(B52,'Pivot - Psgr &amp; Sector'!A:A,0))</f>
        <v>6</v>
      </c>
      <c r="G52" s="112">
        <f t="shared" si="4"/>
        <v>0.18181818181818182</v>
      </c>
      <c r="H52" s="113" t="s">
        <v>2366</v>
      </c>
      <c r="I52" s="113" t="s">
        <v>2404</v>
      </c>
      <c r="J52" s="119">
        <f>INDEX('Pivot - Psgr &amp; Sector'!MS:MS,MATCH(B52,'Pivot - Psgr &amp; Sector'!A:A,0))</f>
        <v>22</v>
      </c>
      <c r="K52" s="120">
        <f t="shared" si="5"/>
        <v>0.66666666666666663</v>
      </c>
      <c r="L52" s="124" t="s">
        <v>2448</v>
      </c>
      <c r="M52" s="124" t="s">
        <v>2520</v>
      </c>
      <c r="N52" s="132">
        <f>INDEX('Pivot - Psgr &amp; Sector'!MT:MT,MATCH(B52,'Pivot - Psgr &amp; Sector'!A:A,0))</f>
        <v>5</v>
      </c>
      <c r="O52" s="133">
        <f t="shared" si="6"/>
        <v>0.15151515151515152</v>
      </c>
      <c r="P52" s="134" t="s">
        <v>2552</v>
      </c>
      <c r="Q52" s="134" t="s">
        <v>2573</v>
      </c>
    </row>
    <row r="53" spans="1:17" ht="75" x14ac:dyDescent="0.25">
      <c r="A53" s="107">
        <f t="shared" si="3"/>
        <v>50</v>
      </c>
      <c r="B53" s="108" t="s">
        <v>1231</v>
      </c>
      <c r="C53" s="107">
        <f>MATCH(B53,'Pivot - Psgr &amp; Sector'!A:A,0)</f>
        <v>76</v>
      </c>
      <c r="D53" s="107">
        <f>MATCH(B53,'Pivot - Psgr &amp; Airline'!A:A,0)</f>
        <v>97</v>
      </c>
      <c r="E53" s="107">
        <f>COUNTIF(Travel!E:E,B53)</f>
        <v>10</v>
      </c>
      <c r="F53" s="111">
        <f>INDEX('Pivot - Psgr &amp; Sector'!MR:MR,MATCH(B53,'Pivot - Psgr &amp; Sector'!A:A,0))</f>
        <v>2</v>
      </c>
      <c r="G53" s="112">
        <f t="shared" si="4"/>
        <v>0.2</v>
      </c>
      <c r="H53" s="113" t="s">
        <v>2334</v>
      </c>
      <c r="I53" s="113" t="s">
        <v>2405</v>
      </c>
      <c r="J53" s="119">
        <f>INDEX('Pivot - Psgr &amp; Sector'!MS:MS,MATCH(B53,'Pivot - Psgr &amp; Sector'!A:A,0))</f>
        <v>8</v>
      </c>
      <c r="K53" s="120">
        <f t="shared" si="5"/>
        <v>0.8</v>
      </c>
      <c r="L53" s="124" t="s">
        <v>2449</v>
      </c>
      <c r="M53" s="124" t="s">
        <v>2521</v>
      </c>
      <c r="N53" s="132">
        <f>INDEX('Pivot - Psgr &amp; Sector'!MT:MT,MATCH(B53,'Pivot - Psgr &amp; Sector'!A:A,0))</f>
        <v>0</v>
      </c>
      <c r="O53" s="133">
        <f t="shared" si="6"/>
        <v>0</v>
      </c>
      <c r="P53" s="134" t="s">
        <v>2341</v>
      </c>
      <c r="Q53" s="134" t="s">
        <v>2341</v>
      </c>
    </row>
    <row r="54" spans="1:17" ht="45" x14ac:dyDescent="0.25">
      <c r="A54" s="107">
        <f t="shared" si="3"/>
        <v>51</v>
      </c>
      <c r="B54" s="108" t="s">
        <v>28</v>
      </c>
      <c r="C54" s="107">
        <f>MATCH(B54,'Pivot - Psgr &amp; Sector'!A:A,0)</f>
        <v>101</v>
      </c>
      <c r="D54" s="107">
        <f>MATCH(B54,'Pivot - Psgr &amp; Airline'!A:A,0)</f>
        <v>124</v>
      </c>
      <c r="E54" s="107">
        <f>COUNTIF(Travel!E:E,B54)</f>
        <v>7</v>
      </c>
      <c r="F54" s="111">
        <f>INDEX('Pivot - Psgr &amp; Sector'!MR:MR,MATCH(B54,'Pivot - Psgr &amp; Sector'!A:A,0))</f>
        <v>2</v>
      </c>
      <c r="G54" s="112">
        <f t="shared" si="4"/>
        <v>0.2857142857142857</v>
      </c>
      <c r="H54" s="113" t="s">
        <v>2367</v>
      </c>
      <c r="I54" s="113" t="s">
        <v>2392</v>
      </c>
      <c r="J54" s="119">
        <f>INDEX('Pivot - Psgr &amp; Sector'!MS:MS,MATCH(B54,'Pivot - Psgr &amp; Sector'!A:A,0))</f>
        <v>2</v>
      </c>
      <c r="K54" s="120">
        <f t="shared" si="5"/>
        <v>0.2857142857142857</v>
      </c>
      <c r="L54" s="124" t="s">
        <v>2450</v>
      </c>
      <c r="M54" s="124" t="s">
        <v>2522</v>
      </c>
      <c r="N54" s="132">
        <f>INDEX('Pivot - Psgr &amp; Sector'!MT:MT,MATCH(B54,'Pivot - Psgr &amp; Sector'!A:A,0))</f>
        <v>3</v>
      </c>
      <c r="O54" s="133">
        <f t="shared" si="6"/>
        <v>0.42857142857142855</v>
      </c>
      <c r="P54" s="134" t="s">
        <v>2339</v>
      </c>
      <c r="Q54" s="134" t="s">
        <v>2537</v>
      </c>
    </row>
    <row r="55" spans="1:17" ht="60" x14ac:dyDescent="0.25">
      <c r="A55" s="107">
        <f t="shared" si="3"/>
        <v>52</v>
      </c>
      <c r="B55" s="108" t="s">
        <v>2297</v>
      </c>
      <c r="C55" s="107">
        <f>MATCH(B55,'Pivot - Psgr &amp; Sector'!A:A,0)</f>
        <v>143</v>
      </c>
      <c r="D55" s="107">
        <f>MATCH(B55,'Pivot - Psgr &amp; Airline'!A:A,0)</f>
        <v>60</v>
      </c>
      <c r="E55" s="107">
        <f>COUNTIF(Travel!E:E,B55)</f>
        <v>11</v>
      </c>
      <c r="F55" s="111">
        <f>INDEX('Pivot - Psgr &amp; Sector'!MR:MR,MATCH(B55,'Pivot - Psgr &amp; Sector'!A:A,0))</f>
        <v>3</v>
      </c>
      <c r="G55" s="112">
        <f t="shared" si="4"/>
        <v>0.27272727272727271</v>
      </c>
      <c r="H55" s="113" t="s">
        <v>2368</v>
      </c>
      <c r="I55" s="113" t="s">
        <v>2406</v>
      </c>
      <c r="J55" s="119">
        <f>INDEX('Pivot - Psgr &amp; Sector'!MS:MS,MATCH(B55,'Pivot - Psgr &amp; Sector'!A:A,0))</f>
        <v>5</v>
      </c>
      <c r="K55" s="120">
        <f t="shared" si="5"/>
        <v>0.45454545454545453</v>
      </c>
      <c r="L55" s="124" t="s">
        <v>2451</v>
      </c>
      <c r="M55" s="124" t="s">
        <v>2523</v>
      </c>
      <c r="N55" s="132">
        <f>INDEX('Pivot - Psgr &amp; Sector'!MT:MT,MATCH(B55,'Pivot - Psgr &amp; Sector'!A:A,0))</f>
        <v>3</v>
      </c>
      <c r="O55" s="133">
        <f t="shared" si="6"/>
        <v>0.27272727272727271</v>
      </c>
      <c r="P55" s="134" t="s">
        <v>2553</v>
      </c>
      <c r="Q55" s="134" t="s">
        <v>2381</v>
      </c>
    </row>
    <row r="56" spans="1:17" ht="75" x14ac:dyDescent="0.25">
      <c r="A56" s="107">
        <f t="shared" si="3"/>
        <v>53</v>
      </c>
      <c r="B56" s="108" t="s">
        <v>238</v>
      </c>
      <c r="C56" s="107">
        <f>MATCH(B56,'Pivot - Psgr &amp; Sector'!A:A,0)</f>
        <v>7</v>
      </c>
      <c r="D56" s="107">
        <f>MATCH(B56,'Pivot - Psgr &amp; Airline'!A:A,0)</f>
        <v>7</v>
      </c>
      <c r="E56" s="107">
        <f>COUNTIF(Travel!E:E,B56)</f>
        <v>4</v>
      </c>
      <c r="F56" s="111">
        <f>INDEX('Pivot - Psgr &amp; Sector'!MR:MR,MATCH(B56,'Pivot - Psgr &amp; Sector'!A:A,0))</f>
        <v>0</v>
      </c>
      <c r="G56" s="112">
        <f t="shared" si="4"/>
        <v>0</v>
      </c>
      <c r="H56" s="113" t="s">
        <v>2341</v>
      </c>
      <c r="I56" s="113" t="s">
        <v>2341</v>
      </c>
      <c r="J56" s="119">
        <f>INDEX('Pivot - Psgr &amp; Sector'!MS:MS,MATCH(B56,'Pivot - Psgr &amp; Sector'!A:A,0))</f>
        <v>4</v>
      </c>
      <c r="K56" s="120">
        <f t="shared" si="5"/>
        <v>1</v>
      </c>
      <c r="L56" s="124" t="s">
        <v>2452</v>
      </c>
      <c r="M56" s="124" t="s">
        <v>2524</v>
      </c>
      <c r="N56" s="132">
        <f>INDEX('Pivot - Psgr &amp; Sector'!MT:MT,MATCH(B56,'Pivot - Psgr &amp; Sector'!A:A,0))</f>
        <v>0</v>
      </c>
      <c r="O56" s="133">
        <f t="shared" si="6"/>
        <v>0</v>
      </c>
      <c r="P56" s="134" t="s">
        <v>2341</v>
      </c>
      <c r="Q56" s="134" t="s">
        <v>2341</v>
      </c>
    </row>
    <row r="57" spans="1:17" ht="60" x14ac:dyDescent="0.25">
      <c r="A57" s="107">
        <f t="shared" si="3"/>
        <v>54</v>
      </c>
      <c r="B57" s="108" t="s">
        <v>2024</v>
      </c>
      <c r="C57" s="107">
        <f>MATCH(B57,'Pivot - Psgr &amp; Sector'!A:A,0)</f>
        <v>92</v>
      </c>
      <c r="D57" s="107">
        <f>MATCH(B57,'Pivot - Psgr &amp; Airline'!A:A,0)</f>
        <v>113</v>
      </c>
      <c r="E57" s="107">
        <f>COUNTIF(Travel!E:E,B57)</f>
        <v>4</v>
      </c>
      <c r="F57" s="111">
        <f>INDEX('Pivot - Psgr &amp; Sector'!MR:MR,MATCH(B57,'Pivot - Psgr &amp; Sector'!A:A,0))</f>
        <v>1</v>
      </c>
      <c r="G57" s="112">
        <f t="shared" si="4"/>
        <v>0.25</v>
      </c>
      <c r="H57" s="113" t="s">
        <v>2354</v>
      </c>
      <c r="I57" s="113" t="s">
        <v>2385</v>
      </c>
      <c r="J57" s="119">
        <f>INDEX('Pivot - Psgr &amp; Sector'!MS:MS,MATCH(B57,'Pivot - Psgr &amp; Sector'!A:A,0))</f>
        <v>3</v>
      </c>
      <c r="K57" s="120">
        <f t="shared" si="5"/>
        <v>0.75</v>
      </c>
      <c r="L57" s="124" t="s">
        <v>2453</v>
      </c>
      <c r="M57" s="124" t="s">
        <v>2525</v>
      </c>
      <c r="N57" s="132">
        <f>INDEX('Pivot - Psgr &amp; Sector'!MT:MT,MATCH(B57,'Pivot - Psgr &amp; Sector'!A:A,0))</f>
        <v>0</v>
      </c>
      <c r="O57" s="133">
        <f t="shared" si="6"/>
        <v>0</v>
      </c>
      <c r="P57" s="134" t="s">
        <v>2341</v>
      </c>
      <c r="Q57" s="134" t="s">
        <v>2341</v>
      </c>
    </row>
    <row r="58" spans="1:17" ht="120" x14ac:dyDescent="0.25">
      <c r="A58" s="107">
        <f t="shared" si="3"/>
        <v>55</v>
      </c>
      <c r="B58" s="108" t="s">
        <v>2292</v>
      </c>
      <c r="C58" s="107">
        <f>MATCH(B58,'Pivot - Psgr &amp; Sector'!A:A,0)</f>
        <v>138</v>
      </c>
      <c r="D58" s="107">
        <f>MATCH(B58,'Pivot - Psgr &amp; Airline'!A:A,0)</f>
        <v>126</v>
      </c>
      <c r="E58" s="107">
        <f>COUNTIF(Travel!E:E,B58)</f>
        <v>9</v>
      </c>
      <c r="F58" s="111">
        <f>INDEX('Pivot - Psgr &amp; Sector'!MR:MR,MATCH(B58,'Pivot - Psgr &amp; Sector'!A:A,0))</f>
        <v>1</v>
      </c>
      <c r="G58" s="112">
        <f t="shared" si="4"/>
        <v>0.1111111111111111</v>
      </c>
      <c r="H58" s="113" t="s">
        <v>2369</v>
      </c>
      <c r="I58" s="113" t="s">
        <v>2379</v>
      </c>
      <c r="J58" s="119">
        <f>INDEX('Pivot - Psgr &amp; Sector'!MS:MS,MATCH(B58,'Pivot - Psgr &amp; Sector'!A:A,0))</f>
        <v>7</v>
      </c>
      <c r="K58" s="120">
        <f t="shared" si="5"/>
        <v>0.77777777777777779</v>
      </c>
      <c r="L58" s="124" t="s">
        <v>2454</v>
      </c>
      <c r="M58" s="124" t="s">
        <v>2526</v>
      </c>
      <c r="N58" s="132">
        <f>INDEX('Pivot - Psgr &amp; Sector'!MT:MT,MATCH(B58,'Pivot - Psgr &amp; Sector'!A:A,0))</f>
        <v>1</v>
      </c>
      <c r="O58" s="133">
        <f t="shared" si="6"/>
        <v>0.1111111111111111</v>
      </c>
      <c r="P58" s="134" t="s">
        <v>2353</v>
      </c>
      <c r="Q58" s="134" t="s">
        <v>2385</v>
      </c>
    </row>
    <row r="59" spans="1:17" ht="120" x14ac:dyDescent="0.25">
      <c r="A59" s="107">
        <f t="shared" si="3"/>
        <v>56</v>
      </c>
      <c r="B59" s="108" t="s">
        <v>2275</v>
      </c>
      <c r="C59" s="107">
        <f>MATCH(B59,'Pivot - Psgr &amp; Sector'!A:A,0)</f>
        <v>120</v>
      </c>
      <c r="D59" s="107">
        <f>MATCH(B59,'Pivot - Psgr &amp; Airline'!A:A,0)</f>
        <v>11</v>
      </c>
      <c r="E59" s="107">
        <f>COUNTIF(Travel!E:E,B59)</f>
        <v>14</v>
      </c>
      <c r="F59" s="111">
        <f>INDEX('Pivot - Psgr &amp; Sector'!MR:MR,MATCH(B59,'Pivot - Psgr &amp; Sector'!A:A,0))</f>
        <v>2</v>
      </c>
      <c r="G59" s="112">
        <f t="shared" si="4"/>
        <v>0.14285714285714285</v>
      </c>
      <c r="H59" s="113" t="s">
        <v>2370</v>
      </c>
      <c r="I59" s="113" t="s">
        <v>2378</v>
      </c>
      <c r="J59" s="119">
        <f>INDEX('Pivot - Psgr &amp; Sector'!MS:MS,MATCH(B59,'Pivot - Psgr &amp; Sector'!A:A,0))</f>
        <v>9</v>
      </c>
      <c r="K59" s="120">
        <f t="shared" si="5"/>
        <v>0.6428571428571429</v>
      </c>
      <c r="L59" s="124" t="s">
        <v>2455</v>
      </c>
      <c r="M59" s="124" t="s">
        <v>2527</v>
      </c>
      <c r="N59" s="132">
        <f>INDEX('Pivot - Psgr &amp; Sector'!MT:MT,MATCH(B59,'Pivot - Psgr &amp; Sector'!A:A,0))</f>
        <v>3</v>
      </c>
      <c r="O59" s="133">
        <f t="shared" si="6"/>
        <v>0.21428571428571427</v>
      </c>
      <c r="P59" s="134" t="s">
        <v>2554</v>
      </c>
      <c r="Q59" s="134" t="s">
        <v>2397</v>
      </c>
    </row>
    <row r="60" spans="1:17" ht="60" x14ac:dyDescent="0.25">
      <c r="A60" s="107">
        <f t="shared" si="3"/>
        <v>57</v>
      </c>
      <c r="B60" s="108" t="s">
        <v>40</v>
      </c>
      <c r="C60" s="107">
        <f>MATCH(B60,'Pivot - Psgr &amp; Sector'!A:A,0)</f>
        <v>106</v>
      </c>
      <c r="D60" s="107">
        <f>MATCH(B60,'Pivot - Psgr &amp; Airline'!A:A,0)</f>
        <v>131</v>
      </c>
      <c r="E60" s="107">
        <f>COUNTIF(Travel!E:E,B60)</f>
        <v>5</v>
      </c>
      <c r="F60" s="111">
        <f>INDEX('Pivot - Psgr &amp; Sector'!MR:MR,MATCH(B60,'Pivot - Psgr &amp; Sector'!A:A,0))</f>
        <v>1</v>
      </c>
      <c r="G60" s="112">
        <f t="shared" si="4"/>
        <v>0.2</v>
      </c>
      <c r="H60" s="113" t="s">
        <v>2354</v>
      </c>
      <c r="I60" s="113" t="s">
        <v>2379</v>
      </c>
      <c r="J60" s="119">
        <f>INDEX('Pivot - Psgr &amp; Sector'!MS:MS,MATCH(B60,'Pivot - Psgr &amp; Sector'!A:A,0))</f>
        <v>3</v>
      </c>
      <c r="K60" s="120">
        <f t="shared" si="5"/>
        <v>0.6</v>
      </c>
      <c r="L60" s="124" t="s">
        <v>2456</v>
      </c>
      <c r="M60" s="124" t="s">
        <v>2528</v>
      </c>
      <c r="N60" s="132">
        <f>INDEX('Pivot - Psgr &amp; Sector'!MT:MT,MATCH(B60,'Pivot - Psgr &amp; Sector'!A:A,0))</f>
        <v>1</v>
      </c>
      <c r="O60" s="133">
        <f t="shared" si="6"/>
        <v>0.2</v>
      </c>
      <c r="P60" s="134" t="s">
        <v>2350</v>
      </c>
      <c r="Q60" s="134" t="s">
        <v>2391</v>
      </c>
    </row>
    <row r="61" spans="1:17" ht="195" x14ac:dyDescent="0.25">
      <c r="A61" s="107">
        <f t="shared" si="3"/>
        <v>58</v>
      </c>
      <c r="B61" s="108" t="s">
        <v>2284</v>
      </c>
      <c r="C61" s="107">
        <f>MATCH(B61,'Pivot - Psgr &amp; Sector'!A:A,0)</f>
        <v>130</v>
      </c>
      <c r="D61" s="107">
        <f>MATCH(B61,'Pivot - Psgr &amp; Airline'!A:A,0)</f>
        <v>31</v>
      </c>
      <c r="E61" s="107">
        <f>COUNTIF(Travel!E:E,B61)</f>
        <v>40</v>
      </c>
      <c r="F61" s="111">
        <f>INDEX('Pivot - Psgr &amp; Sector'!MR:MR,MATCH(B61,'Pivot - Psgr &amp; Sector'!A:A,0))</f>
        <v>4</v>
      </c>
      <c r="G61" s="112">
        <f t="shared" si="4"/>
        <v>0.1</v>
      </c>
      <c r="H61" s="113" t="s">
        <v>2371</v>
      </c>
      <c r="I61" s="113" t="s">
        <v>2407</v>
      </c>
      <c r="J61" s="119">
        <f>INDEX('Pivot - Psgr &amp; Sector'!MS:MS,MATCH(B61,'Pivot - Psgr &amp; Sector'!A:A,0))</f>
        <v>27</v>
      </c>
      <c r="K61" s="120">
        <f t="shared" si="5"/>
        <v>0.67500000000000004</v>
      </c>
      <c r="L61" s="124" t="s">
        <v>2457</v>
      </c>
      <c r="M61" s="124" t="s">
        <v>2529</v>
      </c>
      <c r="N61" s="132">
        <f>INDEX('Pivot - Psgr &amp; Sector'!MT:MT,MATCH(B61,'Pivot - Psgr &amp; Sector'!A:A,0))</f>
        <v>9</v>
      </c>
      <c r="O61" s="133">
        <f t="shared" si="6"/>
        <v>0.22500000000000001</v>
      </c>
      <c r="P61" s="134" t="s">
        <v>2555</v>
      </c>
      <c r="Q61" s="134" t="s">
        <v>2574</v>
      </c>
    </row>
    <row r="62" spans="1:17" ht="45" x14ac:dyDescent="0.25">
      <c r="A62" s="107">
        <f t="shared" si="3"/>
        <v>59</v>
      </c>
      <c r="B62" s="108" t="s">
        <v>2277</v>
      </c>
      <c r="C62" s="107">
        <f>MATCH(B62,'Pivot - Psgr &amp; Sector'!A:A,0)</f>
        <v>122</v>
      </c>
      <c r="D62" s="107">
        <f>MATCH(B62,'Pivot - Psgr &amp; Airline'!A:A,0)</f>
        <v>18</v>
      </c>
      <c r="E62" s="107">
        <f>COUNTIF(Travel!E:E,B62)</f>
        <v>5</v>
      </c>
      <c r="F62" s="111">
        <f>INDEX('Pivot - Psgr &amp; Sector'!MR:MR,MATCH(B62,'Pivot - Psgr &amp; Sector'!A:A,0))</f>
        <v>1</v>
      </c>
      <c r="G62" s="112">
        <f t="shared" si="4"/>
        <v>0.2</v>
      </c>
      <c r="H62" s="113" t="s">
        <v>2372</v>
      </c>
      <c r="I62" s="113" t="s">
        <v>2408</v>
      </c>
      <c r="J62" s="119">
        <f>INDEX('Pivot - Psgr &amp; Sector'!MS:MS,MATCH(B62,'Pivot - Psgr &amp; Sector'!A:A,0))</f>
        <v>2</v>
      </c>
      <c r="K62" s="120">
        <f t="shared" si="5"/>
        <v>0.4</v>
      </c>
      <c r="L62" s="124" t="s">
        <v>2428</v>
      </c>
      <c r="M62" s="124" t="s">
        <v>2378</v>
      </c>
      <c r="N62" s="132">
        <f>INDEX('Pivot - Psgr &amp; Sector'!MT:MT,MATCH(B62,'Pivot - Psgr &amp; Sector'!A:A,0))</f>
        <v>2</v>
      </c>
      <c r="O62" s="133">
        <f t="shared" si="6"/>
        <v>0.4</v>
      </c>
      <c r="P62" s="134" t="s">
        <v>2556</v>
      </c>
      <c r="Q62" s="134" t="s">
        <v>2575</v>
      </c>
    </row>
    <row r="63" spans="1:17" ht="45" x14ac:dyDescent="0.25">
      <c r="A63" s="107">
        <f t="shared" si="3"/>
        <v>60</v>
      </c>
      <c r="B63" s="108" t="s">
        <v>22</v>
      </c>
      <c r="C63" s="107">
        <f>MATCH(B63,'Pivot - Psgr &amp; Sector'!A:A,0)</f>
        <v>111</v>
      </c>
      <c r="D63" s="107">
        <f>MATCH(B63,'Pivot - Psgr &amp; Airline'!A:A,0)</f>
        <v>136</v>
      </c>
      <c r="E63" s="107">
        <f>COUNTIF(Travel!E:E,B63)</f>
        <v>12</v>
      </c>
      <c r="F63" s="111">
        <f>INDEX('Pivot - Psgr &amp; Sector'!MR:MR,MATCH(B63,'Pivot - Psgr &amp; Sector'!A:A,0))</f>
        <v>2</v>
      </c>
      <c r="G63" s="112">
        <f t="shared" si="4"/>
        <v>0.16666666666666666</v>
      </c>
      <c r="H63" s="113" t="s">
        <v>2334</v>
      </c>
      <c r="I63" s="113" t="s">
        <v>2409</v>
      </c>
      <c r="J63" s="119">
        <f>INDEX('Pivot - Psgr &amp; Sector'!MS:MS,MATCH(B63,'Pivot - Psgr &amp; Sector'!A:A,0))</f>
        <v>4</v>
      </c>
      <c r="K63" s="120">
        <f t="shared" si="5"/>
        <v>0.33333333333333331</v>
      </c>
      <c r="L63" s="124" t="s">
        <v>2458</v>
      </c>
      <c r="M63" s="124" t="s">
        <v>2530</v>
      </c>
      <c r="N63" s="132">
        <f>INDEX('Pivot - Psgr &amp; Sector'!MT:MT,MATCH(B63,'Pivot - Psgr &amp; Sector'!A:A,0))</f>
        <v>6</v>
      </c>
      <c r="O63" s="133">
        <f t="shared" si="6"/>
        <v>0.5</v>
      </c>
      <c r="P63" s="134" t="s">
        <v>2557</v>
      </c>
      <c r="Q63" s="134" t="s">
        <v>2576</v>
      </c>
    </row>
    <row r="64" spans="1:17" ht="45" x14ac:dyDescent="0.25">
      <c r="A64" s="107">
        <f t="shared" si="3"/>
        <v>61</v>
      </c>
      <c r="B64" s="108" t="s">
        <v>778</v>
      </c>
      <c r="C64" s="107">
        <f>MATCH(B64,'Pivot - Psgr &amp; Sector'!A:A,0)</f>
        <v>89</v>
      </c>
      <c r="D64" s="107">
        <f>MATCH(B64,'Pivot - Psgr &amp; Airline'!A:A,0)</f>
        <v>110</v>
      </c>
      <c r="E64" s="107">
        <f>COUNTIF(Travel!E:E,B64)</f>
        <v>7</v>
      </c>
      <c r="F64" s="111">
        <f>INDEX('Pivot - Psgr &amp; Sector'!MR:MR,MATCH(B64,'Pivot - Psgr &amp; Sector'!A:A,0))</f>
        <v>1</v>
      </c>
      <c r="G64" s="112">
        <f t="shared" si="4"/>
        <v>0.14285714285714285</v>
      </c>
      <c r="H64" s="113" t="s">
        <v>2337</v>
      </c>
      <c r="I64" s="113" t="s">
        <v>2394</v>
      </c>
      <c r="J64" s="119">
        <f>INDEX('Pivot - Psgr &amp; Sector'!MS:MS,MATCH(B64,'Pivot - Psgr &amp; Sector'!A:A,0))</f>
        <v>4</v>
      </c>
      <c r="K64" s="120">
        <f t="shared" si="5"/>
        <v>0.5714285714285714</v>
      </c>
      <c r="L64" s="124" t="s">
        <v>2459</v>
      </c>
      <c r="M64" s="124" t="s">
        <v>2416</v>
      </c>
      <c r="N64" s="132">
        <f>INDEX('Pivot - Psgr &amp; Sector'!MT:MT,MATCH(B64,'Pivot - Psgr &amp; Sector'!A:A,0))</f>
        <v>2</v>
      </c>
      <c r="O64" s="133">
        <f t="shared" si="6"/>
        <v>0.2857142857142857</v>
      </c>
      <c r="P64" s="134" t="s">
        <v>2334</v>
      </c>
      <c r="Q64" s="134" t="s">
        <v>2577</v>
      </c>
    </row>
    <row r="65" spans="1:17" ht="90" x14ac:dyDescent="0.25">
      <c r="A65" s="107">
        <f t="shared" si="3"/>
        <v>62</v>
      </c>
      <c r="B65" s="108" t="s">
        <v>2290</v>
      </c>
      <c r="C65" s="107">
        <f>MATCH(B65,'Pivot - Psgr &amp; Sector'!A:A,0)</f>
        <v>133</v>
      </c>
      <c r="D65" s="107">
        <f>MATCH(B65,'Pivot - Psgr &amp; Airline'!A:A,0)</f>
        <v>46</v>
      </c>
      <c r="E65" s="107">
        <f>COUNTIF(Travel!E:E,B65)</f>
        <v>21</v>
      </c>
      <c r="F65" s="111">
        <f>INDEX('Pivot - Psgr &amp; Sector'!MR:MR,MATCH(B65,'Pivot - Psgr &amp; Sector'!A:A,0))</f>
        <v>2</v>
      </c>
      <c r="G65" s="112">
        <f t="shared" si="4"/>
        <v>9.5238095238095233E-2</v>
      </c>
      <c r="H65" s="113" t="s">
        <v>2373</v>
      </c>
      <c r="I65" s="113" t="s">
        <v>2405</v>
      </c>
      <c r="J65" s="119">
        <f>INDEX('Pivot - Psgr &amp; Sector'!MS:MS,MATCH(B65,'Pivot - Psgr &amp; Sector'!A:A,0))</f>
        <v>14</v>
      </c>
      <c r="K65" s="120">
        <f t="shared" si="5"/>
        <v>0.66666666666666663</v>
      </c>
      <c r="L65" s="124" t="s">
        <v>2460</v>
      </c>
      <c r="M65" s="124" t="s">
        <v>2531</v>
      </c>
      <c r="N65" s="132">
        <f>INDEX('Pivot - Psgr &amp; Sector'!MT:MT,MATCH(B65,'Pivot - Psgr &amp; Sector'!A:A,0))</f>
        <v>5</v>
      </c>
      <c r="O65" s="133">
        <f t="shared" si="6"/>
        <v>0.23809523809523808</v>
      </c>
      <c r="P65" s="134" t="s">
        <v>2558</v>
      </c>
      <c r="Q65" s="134" t="s">
        <v>2578</v>
      </c>
    </row>
    <row r="66" spans="1:17" ht="105" x14ac:dyDescent="0.25">
      <c r="A66" s="107">
        <f t="shared" si="3"/>
        <v>63</v>
      </c>
      <c r="B66" s="108" t="s">
        <v>2286</v>
      </c>
      <c r="C66" s="107">
        <f>MATCH(B66,'Pivot - Psgr &amp; Sector'!A:A,0)</f>
        <v>132</v>
      </c>
      <c r="D66" s="107">
        <f>MATCH(B66,'Pivot - Psgr &amp; Airline'!A:A,0)</f>
        <v>36</v>
      </c>
      <c r="E66" s="107">
        <f>COUNTIF(Travel!E:E,B66)</f>
        <v>31</v>
      </c>
      <c r="F66" s="111">
        <f>INDEX('Pivot - Psgr &amp; Sector'!MR:MR,MATCH(B66,'Pivot - Psgr &amp; Sector'!A:A,0))</f>
        <v>2</v>
      </c>
      <c r="G66" s="112">
        <f t="shared" si="4"/>
        <v>6.4516129032258063E-2</v>
      </c>
      <c r="H66" s="113" t="s">
        <v>2374</v>
      </c>
      <c r="I66" s="113" t="s">
        <v>2410</v>
      </c>
      <c r="J66" s="119">
        <f>INDEX('Pivot - Psgr &amp; Sector'!MS:MS,MATCH(B66,'Pivot - Psgr &amp; Sector'!A:A,0))</f>
        <v>18</v>
      </c>
      <c r="K66" s="120">
        <f t="shared" si="5"/>
        <v>0.58064516129032262</v>
      </c>
      <c r="L66" s="124" t="s">
        <v>2461</v>
      </c>
      <c r="M66" s="124" t="s">
        <v>2532</v>
      </c>
      <c r="N66" s="132">
        <f>INDEX('Pivot - Psgr &amp; Sector'!MT:MT,MATCH(B66,'Pivot - Psgr &amp; Sector'!A:A,0))</f>
        <v>11</v>
      </c>
      <c r="O66" s="133">
        <f t="shared" si="6"/>
        <v>0.35483870967741937</v>
      </c>
      <c r="P66" s="134" t="s">
        <v>2559</v>
      </c>
      <c r="Q66" s="134" t="s">
        <v>2579</v>
      </c>
    </row>
    <row r="67" spans="1:17" ht="90" x14ac:dyDescent="0.25">
      <c r="A67" s="107">
        <f t="shared" si="3"/>
        <v>64</v>
      </c>
      <c r="B67" s="108" t="s">
        <v>554</v>
      </c>
      <c r="C67" s="107">
        <f>MATCH(B67,'Pivot - Psgr &amp; Sector'!A:A,0)</f>
        <v>91</v>
      </c>
      <c r="D67" s="107">
        <f>MATCH(B67,'Pivot - Psgr &amp; Airline'!A:A,0)</f>
        <v>112</v>
      </c>
      <c r="E67" s="107">
        <f>COUNTIF(Travel!E:E,B67)</f>
        <v>8</v>
      </c>
      <c r="F67" s="111">
        <f>INDEX('Pivot - Psgr &amp; Sector'!MR:MR,MATCH(B67,'Pivot - Psgr &amp; Sector'!A:A,0))</f>
        <v>1</v>
      </c>
      <c r="G67" s="112">
        <f t="shared" si="4"/>
        <v>0.125</v>
      </c>
      <c r="H67" s="113" t="s">
        <v>2355</v>
      </c>
      <c r="I67" s="113" t="s">
        <v>2395</v>
      </c>
      <c r="J67" s="119">
        <f>INDEX('Pivot - Psgr &amp; Sector'!MS:MS,MATCH(B67,'Pivot - Psgr &amp; Sector'!A:A,0))</f>
        <v>7</v>
      </c>
      <c r="K67" s="120">
        <f t="shared" si="5"/>
        <v>0.875</v>
      </c>
      <c r="L67" s="124" t="s">
        <v>2462</v>
      </c>
      <c r="M67" s="124" t="s">
        <v>2533</v>
      </c>
      <c r="N67" s="132">
        <f>INDEX('Pivot - Psgr &amp; Sector'!MT:MT,MATCH(B67,'Pivot - Psgr &amp; Sector'!A:A,0))</f>
        <v>0</v>
      </c>
      <c r="O67" s="133">
        <f t="shared" si="6"/>
        <v>0</v>
      </c>
      <c r="P67" s="134" t="s">
        <v>2341</v>
      </c>
      <c r="Q67" s="134" t="s">
        <v>2341</v>
      </c>
    </row>
    <row r="68" spans="1:17" ht="90" x14ac:dyDescent="0.25">
      <c r="A68" s="107">
        <f t="shared" si="3"/>
        <v>65</v>
      </c>
      <c r="B68" s="108" t="s">
        <v>2296</v>
      </c>
      <c r="C68" s="107">
        <f>MATCH(B68,'Pivot - Psgr &amp; Sector'!A:A,0)</f>
        <v>142</v>
      </c>
      <c r="D68" s="107">
        <f>MATCH(B68,'Pivot - Psgr &amp; Airline'!A:A,0)</f>
        <v>53</v>
      </c>
      <c r="E68" s="107">
        <f>COUNTIF(Travel!E:E,B68)</f>
        <v>11</v>
      </c>
      <c r="F68" s="111">
        <f>INDEX('Pivot - Psgr &amp; Sector'!MR:MR,MATCH(B68,'Pivot - Psgr &amp; Sector'!A:A,0))</f>
        <v>1</v>
      </c>
      <c r="G68" s="112">
        <f t="shared" ref="G68:G99" si="7">F68/E68</f>
        <v>9.0909090909090912E-2</v>
      </c>
      <c r="H68" s="113" t="s">
        <v>2338</v>
      </c>
      <c r="I68" s="113" t="s">
        <v>2380</v>
      </c>
      <c r="J68" s="119">
        <f>INDEX('Pivot - Psgr &amp; Sector'!MS:MS,MATCH(B68,'Pivot - Psgr &amp; Sector'!A:A,0))</f>
        <v>8</v>
      </c>
      <c r="K68" s="120">
        <f t="shared" ref="K68:K99" si="8">J68/E68</f>
        <v>0.72727272727272729</v>
      </c>
      <c r="L68" s="124" t="s">
        <v>2463</v>
      </c>
      <c r="M68" s="124" t="s">
        <v>2534</v>
      </c>
      <c r="N68" s="132">
        <f>INDEX('Pivot - Psgr &amp; Sector'!MT:MT,MATCH(B68,'Pivot - Psgr &amp; Sector'!A:A,0))</f>
        <v>2</v>
      </c>
      <c r="O68" s="133">
        <f t="shared" ref="O68:O99" si="9">N68/E68</f>
        <v>0.18181818181818182</v>
      </c>
      <c r="P68" s="134" t="s">
        <v>2560</v>
      </c>
      <c r="Q68" s="134" t="s">
        <v>2409</v>
      </c>
    </row>
    <row r="69" spans="1:17" ht="120" x14ac:dyDescent="0.25">
      <c r="A69" s="107">
        <f t="shared" si="3"/>
        <v>66</v>
      </c>
      <c r="B69" s="108" t="s">
        <v>2274</v>
      </c>
      <c r="C69" s="107">
        <f>MATCH(B69,'Pivot - Psgr &amp; Sector'!A:A,0)</f>
        <v>121</v>
      </c>
      <c r="D69" s="107">
        <f>MATCH(B69,'Pivot - Psgr &amp; Airline'!A:A,0)</f>
        <v>10</v>
      </c>
      <c r="E69" s="107">
        <f>COUNTIF(Travel!E:E,B69)</f>
        <v>13</v>
      </c>
      <c r="F69" s="111">
        <f>INDEX('Pivot - Psgr &amp; Sector'!MR:MR,MATCH(B69,'Pivot - Psgr &amp; Sector'!A:A,0))</f>
        <v>1</v>
      </c>
      <c r="G69" s="112">
        <f t="shared" si="7"/>
        <v>7.6923076923076927E-2</v>
      </c>
      <c r="H69" s="113" t="s">
        <v>2337</v>
      </c>
      <c r="I69" s="113" t="s">
        <v>2380</v>
      </c>
      <c r="J69" s="119">
        <f>INDEX('Pivot - Psgr &amp; Sector'!MS:MS,MATCH(B69,'Pivot - Psgr &amp; Sector'!A:A,0))</f>
        <v>10</v>
      </c>
      <c r="K69" s="120">
        <f t="shared" si="8"/>
        <v>0.76923076923076927</v>
      </c>
      <c r="L69" s="124" t="s">
        <v>2464</v>
      </c>
      <c r="M69" s="124" t="s">
        <v>2535</v>
      </c>
      <c r="N69" s="132">
        <f>INDEX('Pivot - Psgr &amp; Sector'!MT:MT,MATCH(B69,'Pivot - Psgr &amp; Sector'!A:A,0))</f>
        <v>2</v>
      </c>
      <c r="O69" s="133">
        <f t="shared" si="9"/>
        <v>0.15384615384615385</v>
      </c>
      <c r="P69" s="134" t="s">
        <v>2373</v>
      </c>
      <c r="Q69" s="134" t="s">
        <v>2405</v>
      </c>
    </row>
    <row r="70" spans="1:17" ht="285" x14ac:dyDescent="0.25">
      <c r="A70" s="107">
        <f t="shared" si="3"/>
        <v>67</v>
      </c>
      <c r="B70" s="108" t="s">
        <v>2294</v>
      </c>
      <c r="C70" s="107">
        <f>MATCH(B70,'Pivot - Psgr &amp; Sector'!A:A,0)</f>
        <v>140</v>
      </c>
      <c r="D70" s="107">
        <f>MATCH(B70,'Pivot - Psgr &amp; Airline'!A:A,0)</f>
        <v>122</v>
      </c>
      <c r="E70" s="107">
        <f>COUNTIF(Travel!E:E,B70)</f>
        <v>47</v>
      </c>
      <c r="F70" s="111">
        <f>INDEX('Pivot - Psgr &amp; Sector'!MR:MR,MATCH(B70,'Pivot - Psgr &amp; Sector'!A:A,0))</f>
        <v>2</v>
      </c>
      <c r="G70" s="112">
        <f t="shared" si="7"/>
        <v>4.2553191489361701E-2</v>
      </c>
      <c r="H70" s="113" t="s">
        <v>2375</v>
      </c>
      <c r="I70" s="113" t="s">
        <v>2411</v>
      </c>
      <c r="J70" s="119">
        <f>INDEX('Pivot - Psgr &amp; Sector'!MS:MS,MATCH(B70,'Pivot - Psgr &amp; Sector'!A:A,0))</f>
        <v>37</v>
      </c>
      <c r="K70" s="120">
        <f t="shared" si="8"/>
        <v>0.78723404255319152</v>
      </c>
      <c r="L70" s="124" t="s">
        <v>2465</v>
      </c>
      <c r="M70" s="124" t="s">
        <v>2536</v>
      </c>
      <c r="N70" s="132">
        <f>INDEX('Pivot - Psgr &amp; Sector'!MT:MT,MATCH(B70,'Pivot - Psgr &amp; Sector'!A:A,0))</f>
        <v>8</v>
      </c>
      <c r="O70" s="133">
        <f t="shared" si="9"/>
        <v>0.1702127659574468</v>
      </c>
      <c r="P70" s="134" t="s">
        <v>2561</v>
      </c>
      <c r="Q70" s="134" t="s">
        <v>2580</v>
      </c>
    </row>
    <row r="71" spans="1:17" ht="30" x14ac:dyDescent="0.25">
      <c r="A71" s="107">
        <f t="shared" si="3"/>
        <v>68</v>
      </c>
      <c r="B71" s="108" t="s">
        <v>1866</v>
      </c>
      <c r="C71" s="107">
        <f>MATCH(B71,'Pivot - Psgr &amp; Sector'!A:A,0)</f>
        <v>12</v>
      </c>
      <c r="D71" s="107">
        <f>MATCH(B71,'Pivot - Psgr &amp; Airline'!A:A,0)</f>
        <v>15</v>
      </c>
      <c r="E71" s="107">
        <f>COUNTIF(Travel!E:E,B71)</f>
        <v>1</v>
      </c>
      <c r="F71" s="111">
        <f>INDEX('Pivot - Psgr &amp; Sector'!MR:MR,MATCH(B71,'Pivot - Psgr &amp; Sector'!A:A,0))</f>
        <v>0</v>
      </c>
      <c r="G71" s="112">
        <f t="shared" si="7"/>
        <v>0</v>
      </c>
      <c r="H71" s="113" t="s">
        <v>2341</v>
      </c>
      <c r="I71" s="113" t="s">
        <v>2341</v>
      </c>
      <c r="J71" s="119">
        <f>INDEX('Pivot - Psgr &amp; Sector'!MS:MS,MATCH(B71,'Pivot - Psgr &amp; Sector'!A:A,0))</f>
        <v>1</v>
      </c>
      <c r="K71" s="120">
        <f t="shared" si="8"/>
        <v>1</v>
      </c>
      <c r="L71" s="124" t="s">
        <v>2466</v>
      </c>
      <c r="M71" s="124" t="s">
        <v>2382</v>
      </c>
      <c r="N71" s="132">
        <f>INDEX('Pivot - Psgr &amp; Sector'!MT:MT,MATCH(B71,'Pivot - Psgr &amp; Sector'!A:A,0))</f>
        <v>0</v>
      </c>
      <c r="O71" s="133">
        <f t="shared" si="9"/>
        <v>0</v>
      </c>
      <c r="P71" s="134" t="s">
        <v>2341</v>
      </c>
      <c r="Q71" s="134" t="s">
        <v>2341</v>
      </c>
    </row>
    <row r="72" spans="1:17" ht="45" x14ac:dyDescent="0.25">
      <c r="A72" s="107">
        <f t="shared" ref="A72:A135" si="10">A71+1</f>
        <v>69</v>
      </c>
      <c r="B72" s="108" t="s">
        <v>1066</v>
      </c>
      <c r="C72" s="107">
        <f>MATCH(B72,'Pivot - Psgr &amp; Sector'!A:A,0)</f>
        <v>13</v>
      </c>
      <c r="D72" s="107">
        <f>MATCH(B72,'Pivot - Psgr &amp; Airline'!A:A,0)</f>
        <v>16</v>
      </c>
      <c r="E72" s="107">
        <f>COUNTIF(Travel!E:E,B72)</f>
        <v>2</v>
      </c>
      <c r="F72" s="111">
        <f>INDEX('Pivot - Psgr &amp; Sector'!MR:MR,MATCH(B72,'Pivot - Psgr &amp; Sector'!A:A,0))</f>
        <v>0</v>
      </c>
      <c r="G72" s="112">
        <f t="shared" si="7"/>
        <v>0</v>
      </c>
      <c r="H72" s="113" t="s">
        <v>2341</v>
      </c>
      <c r="I72" s="113" t="s">
        <v>2341</v>
      </c>
      <c r="J72" s="119">
        <f>INDEX('Pivot - Psgr &amp; Sector'!MS:MS,MATCH(B72,'Pivot - Psgr &amp; Sector'!A:A,0))</f>
        <v>2</v>
      </c>
      <c r="K72" s="120">
        <f t="shared" si="8"/>
        <v>1</v>
      </c>
      <c r="L72" s="124" t="s">
        <v>2334</v>
      </c>
      <c r="M72" s="124" t="s">
        <v>2378</v>
      </c>
      <c r="N72" s="132">
        <f>INDEX('Pivot - Psgr &amp; Sector'!MT:MT,MATCH(B72,'Pivot - Psgr &amp; Sector'!A:A,0))</f>
        <v>0</v>
      </c>
      <c r="O72" s="133">
        <f t="shared" si="9"/>
        <v>0</v>
      </c>
      <c r="P72" s="134" t="s">
        <v>2341</v>
      </c>
      <c r="Q72" s="134" t="s">
        <v>2341</v>
      </c>
    </row>
    <row r="73" spans="1:17" ht="30" x14ac:dyDescent="0.25">
      <c r="A73" s="107">
        <f t="shared" si="10"/>
        <v>70</v>
      </c>
      <c r="B73" s="108" t="s">
        <v>1731</v>
      </c>
      <c r="C73" s="107">
        <f>MATCH(B73,'Pivot - Psgr &amp; Sector'!A:A,0)</f>
        <v>14</v>
      </c>
      <c r="D73" s="107">
        <f>MATCH(B73,'Pivot - Psgr &amp; Airline'!A:A,0)</f>
        <v>17</v>
      </c>
      <c r="E73" s="107">
        <f>COUNTIF(Travel!E:E,B73)</f>
        <v>1</v>
      </c>
      <c r="F73" s="111">
        <f>INDEX('Pivot - Psgr &amp; Sector'!MR:MR,MATCH(B73,'Pivot - Psgr &amp; Sector'!A:A,0))</f>
        <v>0</v>
      </c>
      <c r="G73" s="112">
        <f t="shared" si="7"/>
        <v>0</v>
      </c>
      <c r="H73" s="113" t="s">
        <v>2341</v>
      </c>
      <c r="I73" s="113" t="s">
        <v>2341</v>
      </c>
      <c r="J73" s="119">
        <f>INDEX('Pivot - Psgr &amp; Sector'!MS:MS,MATCH(B73,'Pivot - Psgr &amp; Sector'!A:A,0))</f>
        <v>1</v>
      </c>
      <c r="K73" s="120">
        <f t="shared" si="8"/>
        <v>1</v>
      </c>
      <c r="L73" s="124" t="s">
        <v>2369</v>
      </c>
      <c r="M73" s="124" t="s">
        <v>2379</v>
      </c>
      <c r="N73" s="132">
        <f>INDEX('Pivot - Psgr &amp; Sector'!MT:MT,MATCH(B73,'Pivot - Psgr &amp; Sector'!A:A,0))</f>
        <v>0</v>
      </c>
      <c r="O73" s="133">
        <f t="shared" si="9"/>
        <v>0</v>
      </c>
      <c r="P73" s="134" t="s">
        <v>2341</v>
      </c>
      <c r="Q73" s="134" t="s">
        <v>2341</v>
      </c>
    </row>
    <row r="74" spans="1:17" ht="45" x14ac:dyDescent="0.25">
      <c r="A74" s="107">
        <f t="shared" si="10"/>
        <v>71</v>
      </c>
      <c r="B74" s="108" t="s">
        <v>67</v>
      </c>
      <c r="C74" s="107">
        <f>MATCH(B74,'Pivot - Psgr &amp; Sector'!A:A,0)</f>
        <v>15</v>
      </c>
      <c r="D74" s="107">
        <f>MATCH(B74,'Pivot - Psgr &amp; Airline'!A:A,0)</f>
        <v>19</v>
      </c>
      <c r="E74" s="107">
        <f>COUNTIF(Travel!E:E,B74)</f>
        <v>5</v>
      </c>
      <c r="F74" s="111">
        <f>INDEX('Pivot - Psgr &amp; Sector'!MR:MR,MATCH(B74,'Pivot - Psgr &amp; Sector'!A:A,0))</f>
        <v>0</v>
      </c>
      <c r="G74" s="112">
        <f t="shared" si="7"/>
        <v>0</v>
      </c>
      <c r="H74" s="113" t="s">
        <v>2341</v>
      </c>
      <c r="I74" s="113" t="s">
        <v>2341</v>
      </c>
      <c r="J74" s="119">
        <f>INDEX('Pivot - Psgr &amp; Sector'!MS:MS,MATCH(B74,'Pivot - Psgr &amp; Sector'!A:A,0))</f>
        <v>3</v>
      </c>
      <c r="K74" s="120">
        <f t="shared" si="8"/>
        <v>0.6</v>
      </c>
      <c r="L74" s="124" t="s">
        <v>2467</v>
      </c>
      <c r="M74" s="124" t="s">
        <v>2537</v>
      </c>
      <c r="N74" s="132">
        <f>INDEX('Pivot - Psgr &amp; Sector'!MT:MT,MATCH(B74,'Pivot - Psgr &amp; Sector'!A:A,0))</f>
        <v>2</v>
      </c>
      <c r="O74" s="133">
        <f t="shared" si="9"/>
        <v>0.4</v>
      </c>
      <c r="P74" s="134" t="s">
        <v>2428</v>
      </c>
      <c r="Q74" s="134" t="s">
        <v>2378</v>
      </c>
    </row>
    <row r="75" spans="1:17" ht="30" x14ac:dyDescent="0.25">
      <c r="A75" s="107">
        <f t="shared" si="10"/>
        <v>72</v>
      </c>
      <c r="B75" s="108" t="s">
        <v>1718</v>
      </c>
      <c r="C75" s="107">
        <f>MATCH(B75,'Pivot - Psgr &amp; Sector'!A:A,0)</f>
        <v>17</v>
      </c>
      <c r="D75" s="107">
        <f>MATCH(B75,'Pivot - Psgr &amp; Airline'!A:A,0)</f>
        <v>21</v>
      </c>
      <c r="E75" s="107">
        <f>COUNTIF(Travel!E:E,B75)</f>
        <v>2</v>
      </c>
      <c r="F75" s="111">
        <f>INDEX('Pivot - Psgr &amp; Sector'!MR:MR,MATCH(B75,'Pivot - Psgr &amp; Sector'!A:A,0))</f>
        <v>0</v>
      </c>
      <c r="G75" s="112">
        <f t="shared" si="7"/>
        <v>0</v>
      </c>
      <c r="H75" s="113" t="s">
        <v>2341</v>
      </c>
      <c r="I75" s="113" t="s">
        <v>2341</v>
      </c>
      <c r="J75" s="119">
        <f>INDEX('Pivot - Psgr &amp; Sector'!MS:MS,MATCH(B75,'Pivot - Psgr &amp; Sector'!A:A,0))</f>
        <v>2</v>
      </c>
      <c r="K75" s="120">
        <f t="shared" si="8"/>
        <v>1</v>
      </c>
      <c r="L75" s="124" t="s">
        <v>2468</v>
      </c>
      <c r="M75" s="124" t="s">
        <v>2405</v>
      </c>
      <c r="N75" s="132">
        <f>INDEX('Pivot - Psgr &amp; Sector'!MT:MT,MATCH(B75,'Pivot - Psgr &amp; Sector'!A:A,0))</f>
        <v>0</v>
      </c>
      <c r="O75" s="133">
        <f t="shared" si="9"/>
        <v>0</v>
      </c>
      <c r="P75" s="134" t="s">
        <v>2341</v>
      </c>
      <c r="Q75" s="134" t="s">
        <v>2341</v>
      </c>
    </row>
    <row r="76" spans="1:17" ht="45" x14ac:dyDescent="0.25">
      <c r="A76" s="107">
        <f t="shared" si="10"/>
        <v>73</v>
      </c>
      <c r="B76" s="108" t="s">
        <v>480</v>
      </c>
      <c r="C76" s="107">
        <f>MATCH(B76,'Pivot - Psgr &amp; Sector'!A:A,0)</f>
        <v>18</v>
      </c>
      <c r="D76" s="107">
        <f>MATCH(B76,'Pivot - Psgr &amp; Airline'!A:A,0)</f>
        <v>23</v>
      </c>
      <c r="E76" s="107">
        <f>COUNTIF(Travel!E:E,B76)</f>
        <v>2</v>
      </c>
      <c r="F76" s="111">
        <f>INDEX('Pivot - Psgr &amp; Sector'!MR:MR,MATCH(B76,'Pivot - Psgr &amp; Sector'!A:A,0))</f>
        <v>0</v>
      </c>
      <c r="G76" s="112">
        <f t="shared" si="7"/>
        <v>0</v>
      </c>
      <c r="H76" s="113" t="s">
        <v>2341</v>
      </c>
      <c r="I76" s="113" t="s">
        <v>2341</v>
      </c>
      <c r="J76" s="119">
        <f>INDEX('Pivot - Psgr &amp; Sector'!MS:MS,MATCH(B76,'Pivot - Psgr &amp; Sector'!A:A,0))</f>
        <v>2</v>
      </c>
      <c r="K76" s="120">
        <f t="shared" si="8"/>
        <v>1</v>
      </c>
      <c r="L76" s="124" t="s">
        <v>2342</v>
      </c>
      <c r="M76" s="124" t="s">
        <v>2383</v>
      </c>
      <c r="N76" s="132">
        <f>INDEX('Pivot - Psgr &amp; Sector'!MT:MT,MATCH(B76,'Pivot - Psgr &amp; Sector'!A:A,0))</f>
        <v>0</v>
      </c>
      <c r="O76" s="133">
        <f t="shared" si="9"/>
        <v>0</v>
      </c>
      <c r="P76" s="134" t="s">
        <v>2341</v>
      </c>
      <c r="Q76" s="134" t="s">
        <v>2341</v>
      </c>
    </row>
    <row r="77" spans="1:17" ht="45" x14ac:dyDescent="0.25">
      <c r="A77" s="107">
        <f t="shared" si="10"/>
        <v>74</v>
      </c>
      <c r="B77" s="108" t="s">
        <v>610</v>
      </c>
      <c r="C77" s="107">
        <f>MATCH(B77,'Pivot - Psgr &amp; Sector'!A:A,0)</f>
        <v>23</v>
      </c>
      <c r="D77" s="107">
        <f>MATCH(B77,'Pivot - Psgr &amp; Airline'!A:A,0)</f>
        <v>34</v>
      </c>
      <c r="E77" s="107">
        <f>COUNTIF(Travel!E:E,B77)</f>
        <v>2</v>
      </c>
      <c r="F77" s="111">
        <f>INDEX('Pivot - Psgr &amp; Sector'!MR:MR,MATCH(B77,'Pivot - Psgr &amp; Sector'!A:A,0))</f>
        <v>0</v>
      </c>
      <c r="G77" s="112">
        <f t="shared" si="7"/>
        <v>0</v>
      </c>
      <c r="H77" s="113" t="s">
        <v>2341</v>
      </c>
      <c r="I77" s="113" t="s">
        <v>2341</v>
      </c>
      <c r="J77" s="119">
        <f>INDEX('Pivot - Psgr &amp; Sector'!MS:MS,MATCH(B77,'Pivot - Psgr &amp; Sector'!A:A,0))</f>
        <v>2</v>
      </c>
      <c r="K77" s="120">
        <f t="shared" si="8"/>
        <v>1</v>
      </c>
      <c r="L77" s="124" t="s">
        <v>2469</v>
      </c>
      <c r="M77" s="124" t="s">
        <v>2378</v>
      </c>
      <c r="N77" s="132">
        <f>INDEX('Pivot - Psgr &amp; Sector'!MT:MT,MATCH(B77,'Pivot - Psgr &amp; Sector'!A:A,0))</f>
        <v>0</v>
      </c>
      <c r="O77" s="133">
        <f t="shared" si="9"/>
        <v>0</v>
      </c>
      <c r="P77" s="134" t="s">
        <v>2341</v>
      </c>
      <c r="Q77" s="134" t="s">
        <v>2341</v>
      </c>
    </row>
    <row r="78" spans="1:17" ht="45" x14ac:dyDescent="0.25">
      <c r="A78" s="107">
        <f t="shared" si="10"/>
        <v>75</v>
      </c>
      <c r="B78" s="108" t="s">
        <v>34</v>
      </c>
      <c r="C78" s="107">
        <f>MATCH(B78,'Pivot - Psgr &amp; Sector'!A:A,0)</f>
        <v>24</v>
      </c>
      <c r="D78" s="107">
        <f>MATCH(B78,'Pivot - Psgr &amp; Airline'!A:A,0)</f>
        <v>35</v>
      </c>
      <c r="E78" s="107">
        <f>COUNTIF(Travel!E:E,B78)</f>
        <v>2</v>
      </c>
      <c r="F78" s="111">
        <f>INDEX('Pivot - Psgr &amp; Sector'!MR:MR,MATCH(B78,'Pivot - Psgr &amp; Sector'!A:A,0))</f>
        <v>0</v>
      </c>
      <c r="G78" s="112">
        <f t="shared" si="7"/>
        <v>0</v>
      </c>
      <c r="H78" s="113" t="s">
        <v>2341</v>
      </c>
      <c r="I78" s="113" t="s">
        <v>2341</v>
      </c>
      <c r="J78" s="119">
        <f>INDEX('Pivot - Psgr &amp; Sector'!MS:MS,MATCH(B78,'Pivot - Psgr &amp; Sector'!A:A,0))</f>
        <v>2</v>
      </c>
      <c r="K78" s="120">
        <f t="shared" si="8"/>
        <v>1</v>
      </c>
      <c r="L78" s="124" t="s">
        <v>2470</v>
      </c>
      <c r="M78" s="124" t="s">
        <v>2538</v>
      </c>
      <c r="N78" s="132">
        <f>INDEX('Pivot - Psgr &amp; Sector'!MT:MT,MATCH(B78,'Pivot - Psgr &amp; Sector'!A:A,0))</f>
        <v>0</v>
      </c>
      <c r="O78" s="133">
        <f t="shared" si="9"/>
        <v>0</v>
      </c>
      <c r="P78" s="134" t="s">
        <v>2341</v>
      </c>
      <c r="Q78" s="134" t="s">
        <v>2341</v>
      </c>
    </row>
    <row r="79" spans="1:17" ht="60" x14ac:dyDescent="0.25">
      <c r="A79" s="107">
        <f t="shared" si="10"/>
        <v>76</v>
      </c>
      <c r="B79" s="108" t="s">
        <v>2295</v>
      </c>
      <c r="C79" s="107">
        <f>MATCH(B79,'Pivot - Psgr &amp; Sector'!A:A,0)</f>
        <v>141</v>
      </c>
      <c r="D79" s="107">
        <f>MATCH(B79,'Pivot - Psgr &amp; Airline'!A:A,0)</f>
        <v>37</v>
      </c>
      <c r="E79" s="107">
        <f>COUNTIF(Travel!E:E,B79)</f>
        <v>4</v>
      </c>
      <c r="F79" s="111">
        <f>INDEX('Pivot - Psgr &amp; Sector'!MR:MR,MATCH(B79,'Pivot - Psgr &amp; Sector'!A:A,0))</f>
        <v>0</v>
      </c>
      <c r="G79" s="112">
        <f t="shared" si="7"/>
        <v>0</v>
      </c>
      <c r="H79" s="113" t="s">
        <v>2341</v>
      </c>
      <c r="I79" s="113" t="s">
        <v>2341</v>
      </c>
      <c r="J79" s="119">
        <f>INDEX('Pivot - Psgr &amp; Sector'!MS:MS,MATCH(B79,'Pivot - Psgr &amp; Sector'!A:A,0))</f>
        <v>4</v>
      </c>
      <c r="K79" s="120">
        <f t="shared" si="8"/>
        <v>1</v>
      </c>
      <c r="L79" s="124" t="s">
        <v>2471</v>
      </c>
      <c r="M79" s="124" t="s">
        <v>2539</v>
      </c>
      <c r="N79" s="132">
        <f>INDEX('Pivot - Psgr &amp; Sector'!MT:MT,MATCH(B79,'Pivot - Psgr &amp; Sector'!A:A,0))</f>
        <v>0</v>
      </c>
      <c r="O79" s="133">
        <f t="shared" si="9"/>
        <v>0</v>
      </c>
      <c r="P79" s="134" t="s">
        <v>2341</v>
      </c>
      <c r="Q79" s="134" t="s">
        <v>2341</v>
      </c>
    </row>
    <row r="80" spans="1:17" ht="45" x14ac:dyDescent="0.25">
      <c r="A80" s="107">
        <f t="shared" si="10"/>
        <v>77</v>
      </c>
      <c r="B80" s="108" t="s">
        <v>1100</v>
      </c>
      <c r="C80" s="107">
        <f>MATCH(B80,'Pivot - Psgr &amp; Sector'!A:A,0)</f>
        <v>25</v>
      </c>
      <c r="D80" s="107">
        <f>MATCH(B80,'Pivot - Psgr &amp; Airline'!A:A,0)</f>
        <v>38</v>
      </c>
      <c r="E80" s="107">
        <f>COUNTIF(Travel!E:E,B80)</f>
        <v>2</v>
      </c>
      <c r="F80" s="111">
        <f>INDEX('Pivot - Psgr &amp; Sector'!MR:MR,MATCH(B80,'Pivot - Psgr &amp; Sector'!A:A,0))</f>
        <v>0</v>
      </c>
      <c r="G80" s="112">
        <f t="shared" si="7"/>
        <v>0</v>
      </c>
      <c r="H80" s="113" t="s">
        <v>2341</v>
      </c>
      <c r="I80" s="113" t="s">
        <v>2341</v>
      </c>
      <c r="J80" s="119">
        <f>INDEX('Pivot - Psgr &amp; Sector'!MS:MS,MATCH(B80,'Pivot - Psgr &amp; Sector'!A:A,0))</f>
        <v>2</v>
      </c>
      <c r="K80" s="120">
        <f t="shared" si="8"/>
        <v>1</v>
      </c>
      <c r="L80" s="124" t="s">
        <v>2472</v>
      </c>
      <c r="M80" s="124" t="s">
        <v>2417</v>
      </c>
      <c r="N80" s="132">
        <f>INDEX('Pivot - Psgr &amp; Sector'!MT:MT,MATCH(B80,'Pivot - Psgr &amp; Sector'!A:A,0))</f>
        <v>0</v>
      </c>
      <c r="O80" s="133">
        <f t="shared" si="9"/>
        <v>0</v>
      </c>
      <c r="P80" s="134" t="s">
        <v>2341</v>
      </c>
      <c r="Q80" s="134" t="s">
        <v>2341</v>
      </c>
    </row>
    <row r="81" spans="1:17" ht="30" x14ac:dyDescent="0.25">
      <c r="A81" s="107">
        <f t="shared" si="10"/>
        <v>78</v>
      </c>
      <c r="B81" s="108" t="s">
        <v>1167</v>
      </c>
      <c r="C81" s="107">
        <f>MATCH(B81,'Pivot - Psgr &amp; Sector'!A:A,0)</f>
        <v>27</v>
      </c>
      <c r="D81" s="107">
        <f>MATCH(B81,'Pivot - Psgr &amp; Airline'!A:A,0)</f>
        <v>40</v>
      </c>
      <c r="E81" s="107">
        <f>COUNTIF(Travel!E:E,B81)</f>
        <v>1</v>
      </c>
      <c r="F81" s="111">
        <f>INDEX('Pivot - Psgr &amp; Sector'!MR:MR,MATCH(B81,'Pivot - Psgr &amp; Sector'!A:A,0))</f>
        <v>0</v>
      </c>
      <c r="G81" s="112">
        <f t="shared" si="7"/>
        <v>0</v>
      </c>
      <c r="H81" s="113" t="s">
        <v>2341</v>
      </c>
      <c r="I81" s="113" t="s">
        <v>2341</v>
      </c>
      <c r="J81" s="119">
        <f>INDEX('Pivot - Psgr &amp; Sector'!MS:MS,MATCH(B81,'Pivot - Psgr &amp; Sector'!A:A,0))</f>
        <v>1</v>
      </c>
      <c r="K81" s="120">
        <f t="shared" si="8"/>
        <v>1</v>
      </c>
      <c r="L81" s="124" t="s">
        <v>2473</v>
      </c>
      <c r="M81" s="124" t="s">
        <v>2418</v>
      </c>
      <c r="N81" s="132">
        <f>INDEX('Pivot - Psgr &amp; Sector'!MT:MT,MATCH(B81,'Pivot - Psgr &amp; Sector'!A:A,0))</f>
        <v>0</v>
      </c>
      <c r="O81" s="133">
        <f t="shared" si="9"/>
        <v>0</v>
      </c>
      <c r="P81" s="134" t="s">
        <v>2341</v>
      </c>
      <c r="Q81" s="134" t="s">
        <v>2341</v>
      </c>
    </row>
    <row r="82" spans="1:17" ht="30" x14ac:dyDescent="0.25">
      <c r="A82" s="107">
        <f t="shared" si="10"/>
        <v>79</v>
      </c>
      <c r="B82" s="108" t="s">
        <v>464</v>
      </c>
      <c r="C82" s="107">
        <f>MATCH(B82,'Pivot - Psgr &amp; Sector'!A:A,0)</f>
        <v>30</v>
      </c>
      <c r="D82" s="107">
        <f>MATCH(B82,'Pivot - Psgr &amp; Airline'!A:A,0)</f>
        <v>47</v>
      </c>
      <c r="E82" s="107">
        <f>COUNTIF(Travel!E:E,B82)</f>
        <v>1</v>
      </c>
      <c r="F82" s="111">
        <f>INDEX('Pivot - Psgr &amp; Sector'!MR:MR,MATCH(B82,'Pivot - Psgr &amp; Sector'!A:A,0))</f>
        <v>0</v>
      </c>
      <c r="G82" s="112">
        <f t="shared" si="7"/>
        <v>0</v>
      </c>
      <c r="H82" s="113" t="s">
        <v>2341</v>
      </c>
      <c r="I82" s="113" t="s">
        <v>2341</v>
      </c>
      <c r="J82" s="119">
        <f>INDEX('Pivot - Psgr &amp; Sector'!MS:MS,MATCH(B82,'Pivot - Psgr &amp; Sector'!A:A,0))</f>
        <v>1</v>
      </c>
      <c r="K82" s="120">
        <f t="shared" si="8"/>
        <v>1</v>
      </c>
      <c r="L82" s="124" t="s">
        <v>2474</v>
      </c>
      <c r="M82" s="124" t="s">
        <v>2385</v>
      </c>
      <c r="N82" s="132">
        <f>INDEX('Pivot - Psgr &amp; Sector'!MT:MT,MATCH(B82,'Pivot - Psgr &amp; Sector'!A:A,0))</f>
        <v>0</v>
      </c>
      <c r="O82" s="133">
        <f t="shared" si="9"/>
        <v>0</v>
      </c>
      <c r="P82" s="134" t="s">
        <v>2341</v>
      </c>
      <c r="Q82" s="134" t="s">
        <v>2341</v>
      </c>
    </row>
    <row r="83" spans="1:17" ht="45" x14ac:dyDescent="0.25">
      <c r="A83" s="107">
        <f t="shared" si="10"/>
        <v>80</v>
      </c>
      <c r="B83" s="108" t="s">
        <v>281</v>
      </c>
      <c r="C83" s="107">
        <f>MATCH(B83,'Pivot - Psgr &amp; Sector'!A:A,0)</f>
        <v>31</v>
      </c>
      <c r="D83" s="107">
        <f>MATCH(B83,'Pivot - Psgr &amp; Airline'!A:A,0)</f>
        <v>48</v>
      </c>
      <c r="E83" s="107">
        <f>COUNTIF(Travel!E:E,B83)</f>
        <v>2</v>
      </c>
      <c r="F83" s="111">
        <f>INDEX('Pivot - Psgr &amp; Sector'!MR:MR,MATCH(B83,'Pivot - Psgr &amp; Sector'!A:A,0))</f>
        <v>0</v>
      </c>
      <c r="G83" s="112">
        <f t="shared" si="7"/>
        <v>0</v>
      </c>
      <c r="H83" s="113" t="s">
        <v>2341</v>
      </c>
      <c r="I83" s="113" t="s">
        <v>2341</v>
      </c>
      <c r="J83" s="119">
        <f>INDEX('Pivot - Psgr &amp; Sector'!MS:MS,MATCH(B83,'Pivot - Psgr &amp; Sector'!A:A,0))</f>
        <v>2</v>
      </c>
      <c r="K83" s="120">
        <f t="shared" si="8"/>
        <v>1</v>
      </c>
      <c r="L83" s="124" t="s">
        <v>2370</v>
      </c>
      <c r="M83" s="124" t="s">
        <v>2378</v>
      </c>
      <c r="N83" s="132">
        <f>INDEX('Pivot - Psgr &amp; Sector'!MT:MT,MATCH(B83,'Pivot - Psgr &amp; Sector'!A:A,0))</f>
        <v>0</v>
      </c>
      <c r="O83" s="133">
        <f t="shared" si="9"/>
        <v>0</v>
      </c>
      <c r="P83" s="134" t="s">
        <v>2341</v>
      </c>
      <c r="Q83" s="134" t="s">
        <v>2341</v>
      </c>
    </row>
    <row r="84" spans="1:17" ht="30" x14ac:dyDescent="0.25">
      <c r="A84" s="107">
        <f t="shared" si="10"/>
        <v>81</v>
      </c>
      <c r="B84" s="108" t="s">
        <v>2069</v>
      </c>
      <c r="C84" s="107">
        <f>MATCH(B84,'Pivot - Psgr &amp; Sector'!A:A,0)</f>
        <v>33</v>
      </c>
      <c r="D84" s="107">
        <f>MATCH(B84,'Pivot - Psgr &amp; Airline'!A:A,0)</f>
        <v>51</v>
      </c>
      <c r="E84" s="107">
        <f>COUNTIF(Travel!E:E,B84)</f>
        <v>1</v>
      </c>
      <c r="F84" s="111">
        <f>INDEX('Pivot - Psgr &amp; Sector'!MR:MR,MATCH(B84,'Pivot - Psgr &amp; Sector'!A:A,0))</f>
        <v>0</v>
      </c>
      <c r="G84" s="112">
        <f t="shared" si="7"/>
        <v>0</v>
      </c>
      <c r="H84" s="113" t="s">
        <v>2341</v>
      </c>
      <c r="I84" s="113" t="s">
        <v>2341</v>
      </c>
      <c r="J84" s="119">
        <f>INDEX('Pivot - Psgr &amp; Sector'!MS:MS,MATCH(B84,'Pivot - Psgr &amp; Sector'!A:A,0))</f>
        <v>1</v>
      </c>
      <c r="K84" s="120">
        <f t="shared" si="8"/>
        <v>1</v>
      </c>
      <c r="L84" s="124" t="s">
        <v>2475</v>
      </c>
      <c r="M84" s="124" t="s">
        <v>2379</v>
      </c>
      <c r="N84" s="132">
        <f>INDEX('Pivot - Psgr &amp; Sector'!MT:MT,MATCH(B84,'Pivot - Psgr &amp; Sector'!A:A,0))</f>
        <v>0</v>
      </c>
      <c r="O84" s="133">
        <f t="shared" si="9"/>
        <v>0</v>
      </c>
      <c r="P84" s="134" t="s">
        <v>2341</v>
      </c>
      <c r="Q84" s="134" t="s">
        <v>2341</v>
      </c>
    </row>
    <row r="85" spans="1:17" ht="30" x14ac:dyDescent="0.25">
      <c r="A85" s="107">
        <f t="shared" si="10"/>
        <v>82</v>
      </c>
      <c r="B85" s="108" t="s">
        <v>884</v>
      </c>
      <c r="C85" s="107">
        <f>MATCH(B85,'Pivot - Psgr &amp; Sector'!A:A,0)</f>
        <v>35</v>
      </c>
      <c r="D85" s="107">
        <f>MATCH(B85,'Pivot - Psgr &amp; Airline'!A:A,0)</f>
        <v>54</v>
      </c>
      <c r="E85" s="107">
        <f>COUNTIF(Travel!E:E,B85)</f>
        <v>1</v>
      </c>
      <c r="F85" s="111">
        <f>INDEX('Pivot - Psgr &amp; Sector'!MR:MR,MATCH(B85,'Pivot - Psgr &amp; Sector'!A:A,0))</f>
        <v>0</v>
      </c>
      <c r="G85" s="112">
        <f t="shared" si="7"/>
        <v>0</v>
      </c>
      <c r="H85" s="113" t="s">
        <v>2341</v>
      </c>
      <c r="I85" s="113" t="s">
        <v>2341</v>
      </c>
      <c r="J85" s="119">
        <f>INDEX('Pivot - Psgr &amp; Sector'!MS:MS,MATCH(B85,'Pivot - Psgr &amp; Sector'!A:A,0))</f>
        <v>1</v>
      </c>
      <c r="K85" s="120">
        <f t="shared" si="8"/>
        <v>1</v>
      </c>
      <c r="L85" s="124" t="s">
        <v>2369</v>
      </c>
      <c r="M85" s="124" t="s">
        <v>2379</v>
      </c>
      <c r="N85" s="132">
        <f>INDEX('Pivot - Psgr &amp; Sector'!MT:MT,MATCH(B85,'Pivot - Psgr &amp; Sector'!A:A,0))</f>
        <v>0</v>
      </c>
      <c r="O85" s="133">
        <f t="shared" si="9"/>
        <v>0</v>
      </c>
      <c r="P85" s="134" t="s">
        <v>2341</v>
      </c>
      <c r="Q85" s="134" t="s">
        <v>2341</v>
      </c>
    </row>
    <row r="86" spans="1:17" ht="45" x14ac:dyDescent="0.25">
      <c r="A86" s="107">
        <f t="shared" si="10"/>
        <v>83</v>
      </c>
      <c r="B86" s="108" t="s">
        <v>406</v>
      </c>
      <c r="C86" s="107">
        <f>MATCH(B86,'Pivot - Psgr &amp; Sector'!A:A,0)</f>
        <v>36</v>
      </c>
      <c r="D86" s="107">
        <f>MATCH(B86,'Pivot - Psgr &amp; Airline'!A:A,0)</f>
        <v>55</v>
      </c>
      <c r="E86" s="107">
        <f>COUNTIF(Travel!E:E,B86)</f>
        <v>2</v>
      </c>
      <c r="F86" s="111">
        <f>INDEX('Pivot - Psgr &amp; Sector'!MR:MR,MATCH(B86,'Pivot - Psgr &amp; Sector'!A:A,0))</f>
        <v>0</v>
      </c>
      <c r="G86" s="112">
        <f t="shared" si="7"/>
        <v>0</v>
      </c>
      <c r="H86" s="113" t="s">
        <v>2341</v>
      </c>
      <c r="I86" s="113" t="s">
        <v>2341</v>
      </c>
      <c r="J86" s="119">
        <f>INDEX('Pivot - Psgr &amp; Sector'!MS:MS,MATCH(B86,'Pivot - Psgr &amp; Sector'!A:A,0))</f>
        <v>2</v>
      </c>
      <c r="K86" s="120">
        <f t="shared" si="8"/>
        <v>1</v>
      </c>
      <c r="L86" s="124" t="s">
        <v>2334</v>
      </c>
      <c r="M86" s="124" t="s">
        <v>2405</v>
      </c>
      <c r="N86" s="132">
        <f>INDEX('Pivot - Psgr &amp; Sector'!MT:MT,MATCH(B86,'Pivot - Psgr &amp; Sector'!A:A,0))</f>
        <v>0</v>
      </c>
      <c r="O86" s="133">
        <f t="shared" si="9"/>
        <v>0</v>
      </c>
      <c r="P86" s="134" t="s">
        <v>2341</v>
      </c>
      <c r="Q86" s="134" t="s">
        <v>2341</v>
      </c>
    </row>
    <row r="87" spans="1:17" ht="45" x14ac:dyDescent="0.25">
      <c r="A87" s="107">
        <f t="shared" si="10"/>
        <v>84</v>
      </c>
      <c r="B87" s="108" t="s">
        <v>1905</v>
      </c>
      <c r="C87" s="107">
        <f>MATCH(B87,'Pivot - Psgr &amp; Sector'!A:A,0)</f>
        <v>37</v>
      </c>
      <c r="D87" s="107">
        <f>MATCH(B87,'Pivot - Psgr &amp; Airline'!A:A,0)</f>
        <v>56</v>
      </c>
      <c r="E87" s="107">
        <f>COUNTIF(Travel!E:E,B87)</f>
        <v>2</v>
      </c>
      <c r="F87" s="111">
        <f>INDEX('Pivot - Psgr &amp; Sector'!MR:MR,MATCH(B87,'Pivot - Psgr &amp; Sector'!A:A,0))</f>
        <v>0</v>
      </c>
      <c r="G87" s="112">
        <f t="shared" si="7"/>
        <v>0</v>
      </c>
      <c r="H87" s="113" t="s">
        <v>2341</v>
      </c>
      <c r="I87" s="113" t="s">
        <v>2341</v>
      </c>
      <c r="J87" s="119">
        <f>INDEX('Pivot - Psgr &amp; Sector'!MS:MS,MATCH(B87,'Pivot - Psgr &amp; Sector'!A:A,0))</f>
        <v>2</v>
      </c>
      <c r="K87" s="120">
        <f t="shared" si="8"/>
        <v>1</v>
      </c>
      <c r="L87" s="124" t="s">
        <v>2476</v>
      </c>
      <c r="M87" s="124" t="s">
        <v>2540</v>
      </c>
      <c r="N87" s="132">
        <f>INDEX('Pivot - Psgr &amp; Sector'!MT:MT,MATCH(B87,'Pivot - Psgr &amp; Sector'!A:A,0))</f>
        <v>0</v>
      </c>
      <c r="O87" s="133">
        <f t="shared" si="9"/>
        <v>0</v>
      </c>
      <c r="P87" s="134" t="s">
        <v>2341</v>
      </c>
      <c r="Q87" s="134" t="s">
        <v>2341</v>
      </c>
    </row>
    <row r="88" spans="1:17" ht="30" x14ac:dyDescent="0.25">
      <c r="A88" s="107">
        <f t="shared" si="10"/>
        <v>85</v>
      </c>
      <c r="B88" s="108" t="s">
        <v>707</v>
      </c>
      <c r="C88" s="107">
        <f>MATCH(B88,'Pivot - Psgr &amp; Sector'!A:A,0)</f>
        <v>38</v>
      </c>
      <c r="D88" s="107">
        <f>MATCH(B88,'Pivot - Psgr &amp; Airline'!A:A,0)</f>
        <v>57</v>
      </c>
      <c r="E88" s="107">
        <f>COUNTIF(Travel!E:E,B88)</f>
        <v>1</v>
      </c>
      <c r="F88" s="111">
        <f>INDEX('Pivot - Psgr &amp; Sector'!MR:MR,MATCH(B88,'Pivot - Psgr &amp; Sector'!A:A,0))</f>
        <v>0</v>
      </c>
      <c r="G88" s="112">
        <f t="shared" si="7"/>
        <v>0</v>
      </c>
      <c r="H88" s="113" t="s">
        <v>2341</v>
      </c>
      <c r="I88" s="113" t="s">
        <v>2341</v>
      </c>
      <c r="J88" s="119">
        <f>INDEX('Pivot - Psgr &amp; Sector'!MS:MS,MATCH(B88,'Pivot - Psgr &amp; Sector'!A:A,0))</f>
        <v>1</v>
      </c>
      <c r="K88" s="120">
        <f t="shared" si="8"/>
        <v>1</v>
      </c>
      <c r="L88" s="124" t="s">
        <v>2477</v>
      </c>
      <c r="M88" s="124" t="s">
        <v>2408</v>
      </c>
      <c r="N88" s="132">
        <f>INDEX('Pivot - Psgr &amp; Sector'!MT:MT,MATCH(B88,'Pivot - Psgr &amp; Sector'!A:A,0))</f>
        <v>0</v>
      </c>
      <c r="O88" s="133">
        <f t="shared" si="9"/>
        <v>0</v>
      </c>
      <c r="P88" s="134" t="s">
        <v>2341</v>
      </c>
      <c r="Q88" s="134" t="s">
        <v>2341</v>
      </c>
    </row>
    <row r="89" spans="1:17" ht="45" x14ac:dyDescent="0.25">
      <c r="A89" s="107">
        <f t="shared" si="10"/>
        <v>86</v>
      </c>
      <c r="B89" s="108" t="s">
        <v>1140</v>
      </c>
      <c r="C89" s="107">
        <f>MATCH(B89,'Pivot - Psgr &amp; Sector'!A:A,0)</f>
        <v>39</v>
      </c>
      <c r="D89" s="107">
        <f>MATCH(B89,'Pivot - Psgr &amp; Airline'!A:A,0)</f>
        <v>58</v>
      </c>
      <c r="E89" s="107">
        <f>COUNTIF(Travel!E:E,B89)</f>
        <v>2</v>
      </c>
      <c r="F89" s="111">
        <f>INDEX('Pivot - Psgr &amp; Sector'!MR:MR,MATCH(B89,'Pivot - Psgr &amp; Sector'!A:A,0))</f>
        <v>0</v>
      </c>
      <c r="G89" s="112">
        <f t="shared" si="7"/>
        <v>0</v>
      </c>
      <c r="H89" s="113" t="s">
        <v>2341</v>
      </c>
      <c r="I89" s="113" t="s">
        <v>2341</v>
      </c>
      <c r="J89" s="119">
        <f>INDEX('Pivot - Psgr &amp; Sector'!MS:MS,MATCH(B89,'Pivot - Psgr &amp; Sector'!A:A,0))</f>
        <v>2</v>
      </c>
      <c r="K89" s="120">
        <f t="shared" si="8"/>
        <v>1</v>
      </c>
      <c r="L89" s="124" t="s">
        <v>2478</v>
      </c>
      <c r="M89" s="124" t="s">
        <v>2384</v>
      </c>
      <c r="N89" s="132">
        <f>INDEX('Pivot - Psgr &amp; Sector'!MT:MT,MATCH(B89,'Pivot - Psgr &amp; Sector'!A:A,0))</f>
        <v>0</v>
      </c>
      <c r="O89" s="133">
        <f t="shared" si="9"/>
        <v>0</v>
      </c>
      <c r="P89" s="134" t="s">
        <v>2341</v>
      </c>
      <c r="Q89" s="134" t="s">
        <v>2341</v>
      </c>
    </row>
    <row r="90" spans="1:17" ht="30" x14ac:dyDescent="0.25">
      <c r="A90" s="107">
        <f t="shared" si="10"/>
        <v>87</v>
      </c>
      <c r="B90" s="108" t="s">
        <v>1728</v>
      </c>
      <c r="C90" s="107">
        <f>MATCH(B90,'Pivot - Psgr &amp; Sector'!A:A,0)</f>
        <v>40</v>
      </c>
      <c r="D90" s="107">
        <f>MATCH(B90,'Pivot - Psgr &amp; Airline'!A:A,0)</f>
        <v>59</v>
      </c>
      <c r="E90" s="107">
        <f>COUNTIF(Travel!E:E,B90)</f>
        <v>1</v>
      </c>
      <c r="F90" s="111">
        <f>INDEX('Pivot - Psgr &amp; Sector'!MR:MR,MATCH(B90,'Pivot - Psgr &amp; Sector'!A:A,0))</f>
        <v>0</v>
      </c>
      <c r="G90" s="112">
        <f t="shared" si="7"/>
        <v>0</v>
      </c>
      <c r="H90" s="113" t="s">
        <v>2341</v>
      </c>
      <c r="I90" s="113" t="s">
        <v>2341</v>
      </c>
      <c r="J90" s="119">
        <f>INDEX('Pivot - Psgr &amp; Sector'!MS:MS,MATCH(B90,'Pivot - Psgr &amp; Sector'!A:A,0))</f>
        <v>1</v>
      </c>
      <c r="K90" s="120">
        <f t="shared" si="8"/>
        <v>1</v>
      </c>
      <c r="L90" s="124" t="s">
        <v>2369</v>
      </c>
      <c r="M90" s="124" t="s">
        <v>2379</v>
      </c>
      <c r="N90" s="132">
        <f>INDEX('Pivot - Psgr &amp; Sector'!MT:MT,MATCH(B90,'Pivot - Psgr &amp; Sector'!A:A,0))</f>
        <v>0</v>
      </c>
      <c r="O90" s="133">
        <f t="shared" si="9"/>
        <v>0</v>
      </c>
      <c r="P90" s="134" t="s">
        <v>2341</v>
      </c>
      <c r="Q90" s="134" t="s">
        <v>2341</v>
      </c>
    </row>
    <row r="91" spans="1:17" ht="30" x14ac:dyDescent="0.25">
      <c r="A91" s="107">
        <f t="shared" si="10"/>
        <v>88</v>
      </c>
      <c r="B91" s="108" t="s">
        <v>1986</v>
      </c>
      <c r="C91" s="107">
        <f>MATCH(B91,'Pivot - Psgr &amp; Sector'!A:A,0)</f>
        <v>41</v>
      </c>
      <c r="D91" s="107">
        <f>MATCH(B91,'Pivot - Psgr &amp; Airline'!A:A,0)</f>
        <v>61</v>
      </c>
      <c r="E91" s="107">
        <f>COUNTIF(Travel!E:E,B91)</f>
        <v>1</v>
      </c>
      <c r="F91" s="111">
        <f>INDEX('Pivot - Psgr &amp; Sector'!MR:MR,MATCH(B91,'Pivot - Psgr &amp; Sector'!A:A,0))</f>
        <v>0</v>
      </c>
      <c r="G91" s="112">
        <f t="shared" si="7"/>
        <v>0</v>
      </c>
      <c r="H91" s="113" t="s">
        <v>2341</v>
      </c>
      <c r="I91" s="113" t="s">
        <v>2341</v>
      </c>
      <c r="J91" s="119">
        <f>INDEX('Pivot - Psgr &amp; Sector'!MS:MS,MATCH(B91,'Pivot - Psgr &amp; Sector'!A:A,0))</f>
        <v>1</v>
      </c>
      <c r="K91" s="120">
        <f t="shared" si="8"/>
        <v>1</v>
      </c>
      <c r="L91" s="124" t="s">
        <v>2479</v>
      </c>
      <c r="M91" s="124" t="s">
        <v>2379</v>
      </c>
      <c r="N91" s="132">
        <f>INDEX('Pivot - Psgr &amp; Sector'!MT:MT,MATCH(B91,'Pivot - Psgr &amp; Sector'!A:A,0))</f>
        <v>0</v>
      </c>
      <c r="O91" s="133">
        <f t="shared" si="9"/>
        <v>0</v>
      </c>
      <c r="P91" s="134" t="s">
        <v>2341</v>
      </c>
      <c r="Q91" s="134" t="s">
        <v>2341</v>
      </c>
    </row>
    <row r="92" spans="1:17" ht="30" x14ac:dyDescent="0.25">
      <c r="A92" s="107">
        <f t="shared" si="10"/>
        <v>89</v>
      </c>
      <c r="B92" s="108" t="s">
        <v>1132</v>
      </c>
      <c r="C92" s="107">
        <f>MATCH(B92,'Pivot - Psgr &amp; Sector'!A:A,0)</f>
        <v>42</v>
      </c>
      <c r="D92" s="107">
        <f>MATCH(B92,'Pivot - Psgr &amp; Airline'!A:A,0)</f>
        <v>62</v>
      </c>
      <c r="E92" s="107">
        <f>COUNTIF(Travel!E:E,B92)</f>
        <v>1</v>
      </c>
      <c r="F92" s="111">
        <f>INDEX('Pivot - Psgr &amp; Sector'!MR:MR,MATCH(B92,'Pivot - Psgr &amp; Sector'!A:A,0))</f>
        <v>0</v>
      </c>
      <c r="G92" s="112">
        <f t="shared" si="7"/>
        <v>0</v>
      </c>
      <c r="H92" s="113" t="s">
        <v>2341</v>
      </c>
      <c r="I92" s="113" t="s">
        <v>2341</v>
      </c>
      <c r="J92" s="119">
        <f>INDEX('Pivot - Psgr &amp; Sector'!MS:MS,MATCH(B92,'Pivot - Psgr &amp; Sector'!A:A,0))</f>
        <v>1</v>
      </c>
      <c r="K92" s="120">
        <f t="shared" si="8"/>
        <v>1</v>
      </c>
      <c r="L92" s="124" t="s">
        <v>2480</v>
      </c>
      <c r="M92" s="124" t="s">
        <v>2419</v>
      </c>
      <c r="N92" s="132">
        <f>INDEX('Pivot - Psgr &amp; Sector'!MT:MT,MATCH(B92,'Pivot - Psgr &amp; Sector'!A:A,0))</f>
        <v>0</v>
      </c>
      <c r="O92" s="133">
        <f t="shared" si="9"/>
        <v>0</v>
      </c>
      <c r="P92" s="134" t="s">
        <v>2341</v>
      </c>
      <c r="Q92" s="134" t="s">
        <v>2341</v>
      </c>
    </row>
    <row r="93" spans="1:17" ht="30" x14ac:dyDescent="0.25">
      <c r="A93" s="107">
        <f t="shared" si="10"/>
        <v>90</v>
      </c>
      <c r="B93" s="108" t="s">
        <v>495</v>
      </c>
      <c r="C93" s="107">
        <f>MATCH(B93,'Pivot - Psgr &amp; Sector'!A:A,0)</f>
        <v>45</v>
      </c>
      <c r="D93" s="107">
        <f>MATCH(B93,'Pivot - Psgr &amp; Airline'!A:A,0)</f>
        <v>65</v>
      </c>
      <c r="E93" s="107">
        <f>COUNTIF(Travel!E:E,B93)</f>
        <v>1</v>
      </c>
      <c r="F93" s="111">
        <f>INDEX('Pivot - Psgr &amp; Sector'!MR:MR,MATCH(B93,'Pivot - Psgr &amp; Sector'!A:A,0))</f>
        <v>0</v>
      </c>
      <c r="G93" s="112">
        <f t="shared" si="7"/>
        <v>0</v>
      </c>
      <c r="H93" s="113" t="s">
        <v>2341</v>
      </c>
      <c r="I93" s="113" t="s">
        <v>2341</v>
      </c>
      <c r="J93" s="119">
        <f>INDEX('Pivot - Psgr &amp; Sector'!MS:MS,MATCH(B93,'Pivot - Psgr &amp; Sector'!A:A,0))</f>
        <v>1</v>
      </c>
      <c r="K93" s="120">
        <f t="shared" si="8"/>
        <v>1</v>
      </c>
      <c r="L93" s="124" t="s">
        <v>2336</v>
      </c>
      <c r="M93" s="124" t="s">
        <v>2395</v>
      </c>
      <c r="N93" s="132">
        <f>INDEX('Pivot - Psgr &amp; Sector'!MT:MT,MATCH(B93,'Pivot - Psgr &amp; Sector'!A:A,0))</f>
        <v>0</v>
      </c>
      <c r="O93" s="133">
        <f t="shared" si="9"/>
        <v>0</v>
      </c>
      <c r="P93" s="134" t="s">
        <v>2341</v>
      </c>
      <c r="Q93" s="134" t="s">
        <v>2341</v>
      </c>
    </row>
    <row r="94" spans="1:17" ht="30" x14ac:dyDescent="0.25">
      <c r="A94" s="107">
        <f t="shared" si="10"/>
        <v>91</v>
      </c>
      <c r="B94" s="108" t="s">
        <v>76</v>
      </c>
      <c r="C94" s="107">
        <f>MATCH(B94,'Pivot - Psgr &amp; Sector'!A:A,0)</f>
        <v>48</v>
      </c>
      <c r="D94" s="107">
        <f>MATCH(B94,'Pivot - Psgr &amp; Airline'!A:A,0)</f>
        <v>68</v>
      </c>
      <c r="E94" s="107">
        <f>COUNTIF(Travel!E:E,B94)</f>
        <v>1</v>
      </c>
      <c r="F94" s="111">
        <f>INDEX('Pivot - Psgr &amp; Sector'!MR:MR,MATCH(B94,'Pivot - Psgr &amp; Sector'!A:A,0))</f>
        <v>0</v>
      </c>
      <c r="G94" s="112">
        <f t="shared" si="7"/>
        <v>0</v>
      </c>
      <c r="H94" s="113" t="s">
        <v>2341</v>
      </c>
      <c r="I94" s="113" t="s">
        <v>2341</v>
      </c>
      <c r="J94" s="119">
        <f>INDEX('Pivot - Psgr &amp; Sector'!MS:MS,MATCH(B94,'Pivot - Psgr &amp; Sector'!A:A,0))</f>
        <v>1</v>
      </c>
      <c r="K94" s="120">
        <f t="shared" si="8"/>
        <v>1</v>
      </c>
      <c r="L94" s="124" t="s">
        <v>2350</v>
      </c>
      <c r="M94" s="124" t="s">
        <v>2391</v>
      </c>
      <c r="N94" s="132">
        <f>INDEX('Pivot - Psgr &amp; Sector'!MT:MT,MATCH(B94,'Pivot - Psgr &amp; Sector'!A:A,0))</f>
        <v>0</v>
      </c>
      <c r="O94" s="133">
        <f t="shared" si="9"/>
        <v>0</v>
      </c>
      <c r="P94" s="134" t="s">
        <v>2341</v>
      </c>
      <c r="Q94" s="134" t="s">
        <v>2341</v>
      </c>
    </row>
    <row r="95" spans="1:17" ht="60" x14ac:dyDescent="0.25">
      <c r="A95" s="107">
        <f t="shared" si="10"/>
        <v>92</v>
      </c>
      <c r="B95" s="108" t="s">
        <v>416</v>
      </c>
      <c r="C95" s="107">
        <f>MATCH(B95,'Pivot - Psgr &amp; Sector'!A:A,0)</f>
        <v>49</v>
      </c>
      <c r="D95" s="107">
        <f>MATCH(B95,'Pivot - Psgr &amp; Airline'!A:A,0)</f>
        <v>69</v>
      </c>
      <c r="E95" s="107">
        <f>COUNTIF(Travel!E:E,B95)</f>
        <v>3</v>
      </c>
      <c r="F95" s="111">
        <f>INDEX('Pivot - Psgr &amp; Sector'!MR:MR,MATCH(B95,'Pivot - Psgr &amp; Sector'!A:A,0))</f>
        <v>0</v>
      </c>
      <c r="G95" s="112">
        <f t="shared" si="7"/>
        <v>0</v>
      </c>
      <c r="H95" s="113" t="s">
        <v>2341</v>
      </c>
      <c r="I95" s="113" t="s">
        <v>2341</v>
      </c>
      <c r="J95" s="119">
        <f>INDEX('Pivot - Psgr &amp; Sector'!MS:MS,MATCH(B95,'Pivot - Psgr &amp; Sector'!A:A,0))</f>
        <v>3</v>
      </c>
      <c r="K95" s="120">
        <f t="shared" si="8"/>
        <v>1</v>
      </c>
      <c r="L95" s="124" t="s">
        <v>2481</v>
      </c>
      <c r="M95" s="124" t="s">
        <v>2541</v>
      </c>
      <c r="N95" s="132">
        <f>INDEX('Pivot - Psgr &amp; Sector'!MT:MT,MATCH(B95,'Pivot - Psgr &amp; Sector'!A:A,0))</f>
        <v>0</v>
      </c>
      <c r="O95" s="133">
        <f t="shared" si="9"/>
        <v>0</v>
      </c>
      <c r="P95" s="134" t="s">
        <v>2341</v>
      </c>
      <c r="Q95" s="134" t="s">
        <v>2341</v>
      </c>
    </row>
    <row r="96" spans="1:17" ht="30" x14ac:dyDescent="0.25">
      <c r="A96" s="107">
        <f t="shared" si="10"/>
        <v>93</v>
      </c>
      <c r="B96" s="108" t="s">
        <v>212</v>
      </c>
      <c r="C96" s="107">
        <f>MATCH(B96,'Pivot - Psgr &amp; Sector'!A:A,0)</f>
        <v>50</v>
      </c>
      <c r="D96" s="107">
        <f>MATCH(B96,'Pivot - Psgr &amp; Airline'!A:A,0)</f>
        <v>70</v>
      </c>
      <c r="E96" s="107">
        <f>COUNTIF(Travel!E:E,B96)</f>
        <v>1</v>
      </c>
      <c r="F96" s="111">
        <f>INDEX('Pivot - Psgr &amp; Sector'!MR:MR,MATCH(B96,'Pivot - Psgr &amp; Sector'!A:A,0))</f>
        <v>0</v>
      </c>
      <c r="G96" s="112">
        <f t="shared" si="7"/>
        <v>0</v>
      </c>
      <c r="H96" s="113" t="s">
        <v>2341</v>
      </c>
      <c r="I96" s="113" t="s">
        <v>2341</v>
      </c>
      <c r="J96" s="119">
        <f>INDEX('Pivot - Psgr &amp; Sector'!MS:MS,MATCH(B96,'Pivot - Psgr &amp; Sector'!A:A,0))</f>
        <v>1</v>
      </c>
      <c r="K96" s="120">
        <f t="shared" si="8"/>
        <v>1</v>
      </c>
      <c r="L96" s="124" t="s">
        <v>2354</v>
      </c>
      <c r="M96" s="124" t="s">
        <v>2379</v>
      </c>
      <c r="N96" s="132">
        <f>INDEX('Pivot - Psgr &amp; Sector'!MT:MT,MATCH(B96,'Pivot - Psgr &amp; Sector'!A:A,0))</f>
        <v>0</v>
      </c>
      <c r="O96" s="133">
        <f t="shared" si="9"/>
        <v>0</v>
      </c>
      <c r="P96" s="134" t="s">
        <v>2341</v>
      </c>
      <c r="Q96" s="134" t="s">
        <v>2341</v>
      </c>
    </row>
    <row r="97" spans="1:17" ht="60" x14ac:dyDescent="0.25">
      <c r="A97" s="107">
        <f t="shared" si="10"/>
        <v>94</v>
      </c>
      <c r="B97" s="108" t="s">
        <v>509</v>
      </c>
      <c r="C97" s="107">
        <f>MATCH(B97,'Pivot - Psgr &amp; Sector'!A:A,0)</f>
        <v>52</v>
      </c>
      <c r="D97" s="107">
        <f>MATCH(B97,'Pivot - Psgr &amp; Airline'!A:A,0)</f>
        <v>72</v>
      </c>
      <c r="E97" s="107">
        <f>COUNTIF(Travel!E:E,B97)</f>
        <v>3</v>
      </c>
      <c r="F97" s="111">
        <f>INDEX('Pivot - Psgr &amp; Sector'!MR:MR,MATCH(B97,'Pivot - Psgr &amp; Sector'!A:A,0))</f>
        <v>0</v>
      </c>
      <c r="G97" s="112">
        <f t="shared" si="7"/>
        <v>0</v>
      </c>
      <c r="H97" s="113" t="s">
        <v>2341</v>
      </c>
      <c r="I97" s="113" t="s">
        <v>2341</v>
      </c>
      <c r="J97" s="119">
        <f>INDEX('Pivot - Psgr &amp; Sector'!MS:MS,MATCH(B97,'Pivot - Psgr &amp; Sector'!A:A,0))</f>
        <v>3</v>
      </c>
      <c r="K97" s="120">
        <f t="shared" si="8"/>
        <v>1</v>
      </c>
      <c r="L97" s="124" t="s">
        <v>2482</v>
      </c>
      <c r="M97" s="124" t="s">
        <v>2420</v>
      </c>
      <c r="N97" s="132">
        <f>INDEX('Pivot - Psgr &amp; Sector'!MT:MT,MATCH(B97,'Pivot - Psgr &amp; Sector'!A:A,0))</f>
        <v>0</v>
      </c>
      <c r="O97" s="133">
        <f t="shared" si="9"/>
        <v>0</v>
      </c>
      <c r="P97" s="134" t="s">
        <v>2341</v>
      </c>
      <c r="Q97" s="134" t="s">
        <v>2341</v>
      </c>
    </row>
    <row r="98" spans="1:17" ht="60" x14ac:dyDescent="0.25">
      <c r="A98" s="107">
        <f t="shared" si="10"/>
        <v>95</v>
      </c>
      <c r="B98" s="108" t="s">
        <v>446</v>
      </c>
      <c r="C98" s="107">
        <f>MATCH(B98,'Pivot - Psgr &amp; Sector'!A:A,0)</f>
        <v>54</v>
      </c>
      <c r="D98" s="107">
        <f>MATCH(B98,'Pivot - Psgr &amp; Airline'!A:A,0)</f>
        <v>74</v>
      </c>
      <c r="E98" s="107">
        <f>COUNTIF(Travel!E:E,B98)</f>
        <v>3</v>
      </c>
      <c r="F98" s="111">
        <f>INDEX('Pivot - Psgr &amp; Sector'!MR:MR,MATCH(B98,'Pivot - Psgr &amp; Sector'!A:A,0))</f>
        <v>0</v>
      </c>
      <c r="G98" s="112">
        <f t="shared" si="7"/>
        <v>0</v>
      </c>
      <c r="H98" s="113" t="s">
        <v>2341</v>
      </c>
      <c r="I98" s="113" t="s">
        <v>2341</v>
      </c>
      <c r="J98" s="119">
        <f>INDEX('Pivot - Psgr &amp; Sector'!MS:MS,MATCH(B98,'Pivot - Psgr &amp; Sector'!A:A,0))</f>
        <v>3</v>
      </c>
      <c r="K98" s="120">
        <f t="shared" si="8"/>
        <v>1</v>
      </c>
      <c r="L98" s="124" t="s">
        <v>2483</v>
      </c>
      <c r="M98" s="124" t="s">
        <v>2542</v>
      </c>
      <c r="N98" s="132">
        <f>INDEX('Pivot - Psgr &amp; Sector'!MT:MT,MATCH(B98,'Pivot - Psgr &amp; Sector'!A:A,0))</f>
        <v>0</v>
      </c>
      <c r="O98" s="133">
        <f t="shared" si="9"/>
        <v>0</v>
      </c>
      <c r="P98" s="134" t="s">
        <v>2341</v>
      </c>
      <c r="Q98" s="134" t="s">
        <v>2341</v>
      </c>
    </row>
    <row r="99" spans="1:17" ht="30" x14ac:dyDescent="0.25">
      <c r="A99" s="107">
        <f t="shared" si="10"/>
        <v>96</v>
      </c>
      <c r="B99" s="108" t="s">
        <v>1809</v>
      </c>
      <c r="C99" s="107">
        <f>MATCH(B99,'Pivot - Psgr &amp; Sector'!A:A,0)</f>
        <v>56</v>
      </c>
      <c r="D99" s="107">
        <f>MATCH(B99,'Pivot - Psgr &amp; Airline'!A:A,0)</f>
        <v>76</v>
      </c>
      <c r="E99" s="107">
        <f>COUNTIF(Travel!E:E,B99)</f>
        <v>1</v>
      </c>
      <c r="F99" s="111">
        <f>INDEX('Pivot - Psgr &amp; Sector'!MR:MR,MATCH(B99,'Pivot - Psgr &amp; Sector'!A:A,0))</f>
        <v>0</v>
      </c>
      <c r="G99" s="112">
        <f t="shared" si="7"/>
        <v>0</v>
      </c>
      <c r="H99" s="113" t="s">
        <v>2341</v>
      </c>
      <c r="I99" s="113" t="s">
        <v>2341</v>
      </c>
      <c r="J99" s="119">
        <f>INDEX('Pivot - Psgr &amp; Sector'!MS:MS,MATCH(B99,'Pivot - Psgr &amp; Sector'!A:A,0))</f>
        <v>1</v>
      </c>
      <c r="K99" s="120">
        <f t="shared" si="8"/>
        <v>1</v>
      </c>
      <c r="L99" s="124" t="s">
        <v>2484</v>
      </c>
      <c r="M99" s="124" t="s">
        <v>2408</v>
      </c>
      <c r="N99" s="132">
        <f>INDEX('Pivot - Psgr &amp; Sector'!MT:MT,MATCH(B99,'Pivot - Psgr &amp; Sector'!A:A,0))</f>
        <v>0</v>
      </c>
      <c r="O99" s="133">
        <f t="shared" si="9"/>
        <v>0</v>
      </c>
      <c r="P99" s="134" t="s">
        <v>2341</v>
      </c>
      <c r="Q99" s="134" t="s">
        <v>2341</v>
      </c>
    </row>
    <row r="100" spans="1:17" ht="30" x14ac:dyDescent="0.25">
      <c r="A100" s="107">
        <f t="shared" si="10"/>
        <v>97</v>
      </c>
      <c r="B100" s="108" t="s">
        <v>1153</v>
      </c>
      <c r="C100" s="107">
        <f>MATCH(B100,'Pivot - Psgr &amp; Sector'!A:A,0)</f>
        <v>59</v>
      </c>
      <c r="D100" s="107">
        <f>MATCH(B100,'Pivot - Psgr &amp; Airline'!A:A,0)</f>
        <v>79</v>
      </c>
      <c r="E100" s="107">
        <f>COUNTIF(Travel!E:E,B100)</f>
        <v>1</v>
      </c>
      <c r="F100" s="111">
        <f>INDEX('Pivot - Psgr &amp; Sector'!MR:MR,MATCH(B100,'Pivot - Psgr &amp; Sector'!A:A,0))</f>
        <v>0</v>
      </c>
      <c r="G100" s="112">
        <f t="shared" ref="G100:G131" si="11">F100/E100</f>
        <v>0</v>
      </c>
      <c r="H100" s="113" t="s">
        <v>2341</v>
      </c>
      <c r="I100" s="113" t="s">
        <v>2341</v>
      </c>
      <c r="J100" s="119">
        <f>INDEX('Pivot - Psgr &amp; Sector'!MS:MS,MATCH(B100,'Pivot - Psgr &amp; Sector'!A:A,0))</f>
        <v>1</v>
      </c>
      <c r="K100" s="120">
        <f t="shared" ref="K100:K131" si="12">J100/E100</f>
        <v>1</v>
      </c>
      <c r="L100" s="124" t="s">
        <v>2485</v>
      </c>
      <c r="M100" s="124" t="s">
        <v>2419</v>
      </c>
      <c r="N100" s="132">
        <f>INDEX('Pivot - Psgr &amp; Sector'!MT:MT,MATCH(B100,'Pivot - Psgr &amp; Sector'!A:A,0))</f>
        <v>0</v>
      </c>
      <c r="O100" s="133">
        <f t="shared" ref="O100:O131" si="13">N100/E100</f>
        <v>0</v>
      </c>
      <c r="P100" s="134" t="s">
        <v>2341</v>
      </c>
      <c r="Q100" s="134" t="s">
        <v>2341</v>
      </c>
    </row>
    <row r="101" spans="1:17" ht="45" x14ac:dyDescent="0.25">
      <c r="A101" s="107">
        <f t="shared" si="10"/>
        <v>98</v>
      </c>
      <c r="B101" s="108" t="s">
        <v>432</v>
      </c>
      <c r="C101" s="107">
        <f>MATCH(B101,'Pivot - Psgr &amp; Sector'!A:A,0)</f>
        <v>63</v>
      </c>
      <c r="D101" s="107">
        <f>MATCH(B101,'Pivot - Psgr &amp; Airline'!A:A,0)</f>
        <v>84</v>
      </c>
      <c r="E101" s="107">
        <f>COUNTIF(Travel!E:E,B101)</f>
        <v>2</v>
      </c>
      <c r="F101" s="111">
        <f>INDEX('Pivot - Psgr &amp; Sector'!MR:MR,MATCH(B101,'Pivot - Psgr &amp; Sector'!A:A,0))</f>
        <v>0</v>
      </c>
      <c r="G101" s="112">
        <f t="shared" si="11"/>
        <v>0</v>
      </c>
      <c r="H101" s="113" t="s">
        <v>2341</v>
      </c>
      <c r="I101" s="113" t="s">
        <v>2341</v>
      </c>
      <c r="J101" s="119">
        <f>INDEX('Pivot - Psgr &amp; Sector'!MS:MS,MATCH(B101,'Pivot - Psgr &amp; Sector'!A:A,0))</f>
        <v>2</v>
      </c>
      <c r="K101" s="120">
        <f t="shared" si="12"/>
        <v>1</v>
      </c>
      <c r="L101" s="124" t="s">
        <v>2486</v>
      </c>
      <c r="M101" s="124" t="s">
        <v>2392</v>
      </c>
      <c r="N101" s="132">
        <f>INDEX('Pivot - Psgr &amp; Sector'!MT:MT,MATCH(B101,'Pivot - Psgr &amp; Sector'!A:A,0))</f>
        <v>0</v>
      </c>
      <c r="O101" s="133">
        <f t="shared" si="13"/>
        <v>0</v>
      </c>
      <c r="P101" s="134" t="s">
        <v>2341</v>
      </c>
      <c r="Q101" s="134" t="s">
        <v>2341</v>
      </c>
    </row>
    <row r="102" spans="1:17" ht="30" x14ac:dyDescent="0.25">
      <c r="A102" s="107">
        <f t="shared" si="10"/>
        <v>99</v>
      </c>
      <c r="B102" s="108" t="s">
        <v>978</v>
      </c>
      <c r="C102" s="107">
        <f>MATCH(B102,'Pivot - Psgr &amp; Sector'!A:A,0)</f>
        <v>65</v>
      </c>
      <c r="D102" s="107">
        <f>MATCH(B102,'Pivot - Psgr &amp; Airline'!A:A,0)</f>
        <v>86</v>
      </c>
      <c r="E102" s="107">
        <f>COUNTIF(Travel!E:E,B102)</f>
        <v>1</v>
      </c>
      <c r="F102" s="111">
        <f>INDEX('Pivot - Psgr &amp; Sector'!MR:MR,MATCH(B102,'Pivot - Psgr &amp; Sector'!A:A,0))</f>
        <v>0</v>
      </c>
      <c r="G102" s="112">
        <f t="shared" si="11"/>
        <v>0</v>
      </c>
      <c r="H102" s="113" t="s">
        <v>2341</v>
      </c>
      <c r="I102" s="113" t="s">
        <v>2341</v>
      </c>
      <c r="J102" s="119">
        <f>INDEX('Pivot - Psgr &amp; Sector'!MS:MS,MATCH(B102,'Pivot - Psgr &amp; Sector'!A:A,0))</f>
        <v>1</v>
      </c>
      <c r="K102" s="120">
        <f t="shared" si="12"/>
        <v>1</v>
      </c>
      <c r="L102" s="124" t="s">
        <v>2475</v>
      </c>
      <c r="M102" s="124" t="s">
        <v>2379</v>
      </c>
      <c r="N102" s="132">
        <f>INDEX('Pivot - Psgr &amp; Sector'!MT:MT,MATCH(B102,'Pivot - Psgr &amp; Sector'!A:A,0))</f>
        <v>0</v>
      </c>
      <c r="O102" s="133">
        <f t="shared" si="13"/>
        <v>0</v>
      </c>
      <c r="P102" s="134" t="s">
        <v>2341</v>
      </c>
      <c r="Q102" s="134" t="s">
        <v>2341</v>
      </c>
    </row>
    <row r="103" spans="1:17" ht="45" x14ac:dyDescent="0.25">
      <c r="A103" s="107">
        <f t="shared" si="10"/>
        <v>100</v>
      </c>
      <c r="B103" s="108" t="s">
        <v>451</v>
      </c>
      <c r="C103" s="107">
        <f>MATCH(B103,'Pivot - Psgr &amp; Sector'!A:A,0)</f>
        <v>66</v>
      </c>
      <c r="D103" s="107">
        <f>MATCH(B103,'Pivot - Psgr &amp; Airline'!A:A,0)</f>
        <v>87</v>
      </c>
      <c r="E103" s="107">
        <f>COUNTIF(Travel!E:E,B103)</f>
        <v>2</v>
      </c>
      <c r="F103" s="111">
        <f>INDEX('Pivot - Psgr &amp; Sector'!MR:MR,MATCH(B103,'Pivot - Psgr &amp; Sector'!A:A,0))</f>
        <v>0</v>
      </c>
      <c r="G103" s="112">
        <f t="shared" si="11"/>
        <v>0</v>
      </c>
      <c r="H103" s="113" t="s">
        <v>2341</v>
      </c>
      <c r="I103" s="113" t="s">
        <v>2341</v>
      </c>
      <c r="J103" s="119">
        <f>INDEX('Pivot - Psgr &amp; Sector'!MS:MS,MATCH(B103,'Pivot - Psgr &amp; Sector'!A:A,0))</f>
        <v>2</v>
      </c>
      <c r="K103" s="120">
        <f t="shared" si="12"/>
        <v>1</v>
      </c>
      <c r="L103" s="124" t="s">
        <v>2334</v>
      </c>
      <c r="M103" s="124" t="s">
        <v>2383</v>
      </c>
      <c r="N103" s="132">
        <f>INDEX('Pivot - Psgr &amp; Sector'!MT:MT,MATCH(B103,'Pivot - Psgr &amp; Sector'!A:A,0))</f>
        <v>0</v>
      </c>
      <c r="O103" s="133">
        <f t="shared" si="13"/>
        <v>0</v>
      </c>
      <c r="P103" s="134" t="s">
        <v>2341</v>
      </c>
      <c r="Q103" s="134" t="s">
        <v>2341</v>
      </c>
    </row>
    <row r="104" spans="1:17" ht="30" x14ac:dyDescent="0.25">
      <c r="A104" s="107">
        <f t="shared" si="10"/>
        <v>101</v>
      </c>
      <c r="B104" s="108" t="s">
        <v>1308</v>
      </c>
      <c r="C104" s="107">
        <f>MATCH(B104,'Pivot - Psgr &amp; Sector'!A:A,0)</f>
        <v>69</v>
      </c>
      <c r="D104" s="107">
        <f>MATCH(B104,'Pivot - Psgr &amp; Airline'!A:A,0)</f>
        <v>90</v>
      </c>
      <c r="E104" s="107">
        <f>COUNTIF(Travel!E:E,B104)</f>
        <v>1</v>
      </c>
      <c r="F104" s="111">
        <f>INDEX('Pivot - Psgr &amp; Sector'!MR:MR,MATCH(B104,'Pivot - Psgr &amp; Sector'!A:A,0))</f>
        <v>0</v>
      </c>
      <c r="G104" s="112">
        <f t="shared" si="11"/>
        <v>0</v>
      </c>
      <c r="H104" s="113" t="s">
        <v>2341</v>
      </c>
      <c r="I104" s="113" t="s">
        <v>2341</v>
      </c>
      <c r="J104" s="119">
        <f>INDEX('Pivot - Psgr &amp; Sector'!MS:MS,MATCH(B104,'Pivot - Psgr &amp; Sector'!A:A,0))</f>
        <v>1</v>
      </c>
      <c r="K104" s="120">
        <f t="shared" si="12"/>
        <v>1</v>
      </c>
      <c r="L104" s="124" t="s">
        <v>2487</v>
      </c>
      <c r="M104" s="124" t="s">
        <v>2394</v>
      </c>
      <c r="N104" s="132">
        <f>INDEX('Pivot - Psgr &amp; Sector'!MT:MT,MATCH(B104,'Pivot - Psgr &amp; Sector'!A:A,0))</f>
        <v>0</v>
      </c>
      <c r="O104" s="133">
        <f t="shared" si="13"/>
        <v>0</v>
      </c>
      <c r="P104" s="134" t="s">
        <v>2341</v>
      </c>
      <c r="Q104" s="134" t="s">
        <v>2341</v>
      </c>
    </row>
    <row r="105" spans="1:17" ht="30" x14ac:dyDescent="0.25">
      <c r="A105" s="107">
        <f t="shared" si="10"/>
        <v>102</v>
      </c>
      <c r="B105" s="108" t="s">
        <v>389</v>
      </c>
      <c r="C105" s="107">
        <f>MATCH(B105,'Pivot - Psgr &amp; Sector'!A:A,0)</f>
        <v>70</v>
      </c>
      <c r="D105" s="107">
        <f>MATCH(B105,'Pivot - Psgr &amp; Airline'!A:A,0)</f>
        <v>91</v>
      </c>
      <c r="E105" s="107">
        <f>COUNTIF(Travel!E:E,B105)</f>
        <v>1</v>
      </c>
      <c r="F105" s="111">
        <f>INDEX('Pivot - Psgr &amp; Sector'!MR:MR,MATCH(B105,'Pivot - Psgr &amp; Sector'!A:A,0))</f>
        <v>0</v>
      </c>
      <c r="G105" s="112">
        <f t="shared" si="11"/>
        <v>0</v>
      </c>
      <c r="H105" s="113" t="s">
        <v>2341</v>
      </c>
      <c r="I105" s="113" t="s">
        <v>2341</v>
      </c>
      <c r="J105" s="119">
        <f>INDEX('Pivot - Psgr &amp; Sector'!MS:MS,MATCH(B105,'Pivot - Psgr &amp; Sector'!A:A,0))</f>
        <v>1</v>
      </c>
      <c r="K105" s="120">
        <f t="shared" si="12"/>
        <v>1</v>
      </c>
      <c r="L105" s="124" t="s">
        <v>2335</v>
      </c>
      <c r="M105" s="124" t="s">
        <v>2395</v>
      </c>
      <c r="N105" s="132">
        <f>INDEX('Pivot - Psgr &amp; Sector'!MT:MT,MATCH(B105,'Pivot - Psgr &amp; Sector'!A:A,0))</f>
        <v>0</v>
      </c>
      <c r="O105" s="133">
        <f t="shared" si="13"/>
        <v>0</v>
      </c>
      <c r="P105" s="134" t="s">
        <v>2341</v>
      </c>
      <c r="Q105" s="134" t="s">
        <v>2341</v>
      </c>
    </row>
    <row r="106" spans="1:17" ht="60" x14ac:dyDescent="0.25">
      <c r="A106" s="107">
        <f t="shared" si="10"/>
        <v>103</v>
      </c>
      <c r="B106" s="108" t="s">
        <v>1872</v>
      </c>
      <c r="C106" s="107">
        <f>MATCH(B106,'Pivot - Psgr &amp; Sector'!A:A,0)</f>
        <v>72</v>
      </c>
      <c r="D106" s="107">
        <f>MATCH(B106,'Pivot - Psgr &amp; Airline'!A:A,0)</f>
        <v>93</v>
      </c>
      <c r="E106" s="107">
        <f>COUNTIF(Travel!E:E,B106)</f>
        <v>3</v>
      </c>
      <c r="F106" s="111">
        <f>INDEX('Pivot - Psgr &amp; Sector'!MR:MR,MATCH(B106,'Pivot - Psgr &amp; Sector'!A:A,0))</f>
        <v>0</v>
      </c>
      <c r="G106" s="112">
        <f t="shared" si="11"/>
        <v>0</v>
      </c>
      <c r="H106" s="113" t="s">
        <v>2341</v>
      </c>
      <c r="I106" s="113" t="s">
        <v>2341</v>
      </c>
      <c r="J106" s="119">
        <f>INDEX('Pivot - Psgr &amp; Sector'!MS:MS,MATCH(B106,'Pivot - Psgr &amp; Sector'!A:A,0))</f>
        <v>3</v>
      </c>
      <c r="K106" s="120">
        <f t="shared" si="12"/>
        <v>1</v>
      </c>
      <c r="L106" s="124" t="s">
        <v>2488</v>
      </c>
      <c r="M106" s="124" t="s">
        <v>2543</v>
      </c>
      <c r="N106" s="132">
        <f>INDEX('Pivot - Psgr &amp; Sector'!MT:MT,MATCH(B106,'Pivot - Psgr &amp; Sector'!A:A,0))</f>
        <v>0</v>
      </c>
      <c r="O106" s="133">
        <f t="shared" si="13"/>
        <v>0</v>
      </c>
      <c r="P106" s="134" t="s">
        <v>2341</v>
      </c>
      <c r="Q106" s="134" t="s">
        <v>2341</v>
      </c>
    </row>
    <row r="107" spans="1:17" ht="30" x14ac:dyDescent="0.25">
      <c r="A107" s="107">
        <f t="shared" si="10"/>
        <v>104</v>
      </c>
      <c r="B107" s="108" t="s">
        <v>1381</v>
      </c>
      <c r="C107" s="107">
        <f>MATCH(B107,'Pivot - Psgr &amp; Sector'!A:A,0)</f>
        <v>73</v>
      </c>
      <c r="D107" s="107">
        <f>MATCH(B107,'Pivot - Psgr &amp; Airline'!A:A,0)</f>
        <v>94</v>
      </c>
      <c r="E107" s="107">
        <f>COUNTIF(Travel!E:E,B107)</f>
        <v>1</v>
      </c>
      <c r="F107" s="111">
        <f>INDEX('Pivot - Psgr &amp; Sector'!MR:MR,MATCH(B107,'Pivot - Psgr &amp; Sector'!A:A,0))</f>
        <v>0</v>
      </c>
      <c r="G107" s="112">
        <f t="shared" si="11"/>
        <v>0</v>
      </c>
      <c r="H107" s="113" t="s">
        <v>2341</v>
      </c>
      <c r="I107" s="113" t="s">
        <v>2341</v>
      </c>
      <c r="J107" s="119">
        <f>INDEX('Pivot - Psgr &amp; Sector'!MS:MS,MATCH(B107,'Pivot - Psgr &amp; Sector'!A:A,0))</f>
        <v>1</v>
      </c>
      <c r="K107" s="120">
        <f t="shared" si="12"/>
        <v>1</v>
      </c>
      <c r="L107" s="124" t="s">
        <v>2489</v>
      </c>
      <c r="M107" s="124" t="s">
        <v>2379</v>
      </c>
      <c r="N107" s="132">
        <f>INDEX('Pivot - Psgr &amp; Sector'!MT:MT,MATCH(B107,'Pivot - Psgr &amp; Sector'!A:A,0))</f>
        <v>0</v>
      </c>
      <c r="O107" s="133">
        <f t="shared" si="13"/>
        <v>0</v>
      </c>
      <c r="P107" s="134" t="s">
        <v>2341</v>
      </c>
      <c r="Q107" s="134" t="s">
        <v>2341</v>
      </c>
    </row>
    <row r="108" spans="1:17" ht="30" x14ac:dyDescent="0.25">
      <c r="A108" s="107">
        <f t="shared" si="10"/>
        <v>105</v>
      </c>
      <c r="B108" s="108" t="s">
        <v>1547</v>
      </c>
      <c r="C108" s="107">
        <f>MATCH(B108,'Pivot - Psgr &amp; Sector'!A:A,0)</f>
        <v>74</v>
      </c>
      <c r="D108" s="107">
        <f>MATCH(B108,'Pivot - Psgr &amp; Airline'!A:A,0)</f>
        <v>95</v>
      </c>
      <c r="E108" s="107">
        <f>COUNTIF(Travel!E:E,B108)</f>
        <v>2</v>
      </c>
      <c r="F108" s="111">
        <f>INDEX('Pivot - Psgr &amp; Sector'!MR:MR,MATCH(B108,'Pivot - Psgr &amp; Sector'!A:A,0))</f>
        <v>0</v>
      </c>
      <c r="G108" s="112">
        <f t="shared" si="11"/>
        <v>0</v>
      </c>
      <c r="H108" s="113" t="s">
        <v>2341</v>
      </c>
      <c r="I108" s="113" t="s">
        <v>2341</v>
      </c>
      <c r="J108" s="119">
        <f>INDEX('Pivot - Psgr &amp; Sector'!MS:MS,MATCH(B108,'Pivot - Psgr &amp; Sector'!A:A,0))</f>
        <v>2</v>
      </c>
      <c r="K108" s="120">
        <f t="shared" si="12"/>
        <v>1</v>
      </c>
      <c r="L108" s="124" t="s">
        <v>2468</v>
      </c>
      <c r="M108" s="124" t="s">
        <v>2378</v>
      </c>
      <c r="N108" s="132">
        <f>INDEX('Pivot - Psgr &amp; Sector'!MT:MT,MATCH(B108,'Pivot - Psgr &amp; Sector'!A:A,0))</f>
        <v>0</v>
      </c>
      <c r="O108" s="133">
        <f t="shared" si="13"/>
        <v>0</v>
      </c>
      <c r="P108" s="134" t="s">
        <v>2341</v>
      </c>
      <c r="Q108" s="134" t="s">
        <v>2341</v>
      </c>
    </row>
    <row r="109" spans="1:17" ht="30" x14ac:dyDescent="0.25">
      <c r="A109" s="107">
        <f t="shared" si="10"/>
        <v>106</v>
      </c>
      <c r="B109" s="108" t="s">
        <v>1187</v>
      </c>
      <c r="C109" s="107">
        <f>MATCH(B109,'Pivot - Psgr &amp; Sector'!A:A,0)</f>
        <v>80</v>
      </c>
      <c r="D109" s="107">
        <f>MATCH(B109,'Pivot - Psgr &amp; Airline'!A:A,0)</f>
        <v>101</v>
      </c>
      <c r="E109" s="107">
        <f>COUNTIF(Travel!E:E,B109)</f>
        <v>1</v>
      </c>
      <c r="F109" s="111">
        <f>INDEX('Pivot - Psgr &amp; Sector'!MR:MR,MATCH(B109,'Pivot - Psgr &amp; Sector'!A:A,0))</f>
        <v>0</v>
      </c>
      <c r="G109" s="112">
        <f t="shared" si="11"/>
        <v>0</v>
      </c>
      <c r="H109" s="113" t="s">
        <v>2341</v>
      </c>
      <c r="I109" s="113" t="s">
        <v>2341</v>
      </c>
      <c r="J109" s="119">
        <f>INDEX('Pivot - Psgr &amp; Sector'!MS:MS,MATCH(B109,'Pivot - Psgr &amp; Sector'!A:A,0))</f>
        <v>1</v>
      </c>
      <c r="K109" s="120">
        <f t="shared" si="12"/>
        <v>1</v>
      </c>
      <c r="L109" s="124" t="s">
        <v>2490</v>
      </c>
      <c r="M109" s="124" t="s">
        <v>2385</v>
      </c>
      <c r="N109" s="132">
        <f>INDEX('Pivot - Psgr &amp; Sector'!MT:MT,MATCH(B109,'Pivot - Psgr &amp; Sector'!A:A,0))</f>
        <v>0</v>
      </c>
      <c r="O109" s="133">
        <f t="shared" si="13"/>
        <v>0</v>
      </c>
      <c r="P109" s="134" t="s">
        <v>2341</v>
      </c>
      <c r="Q109" s="134" t="s">
        <v>2341</v>
      </c>
    </row>
    <row r="110" spans="1:17" ht="30" x14ac:dyDescent="0.25">
      <c r="A110" s="107">
        <f t="shared" si="10"/>
        <v>107</v>
      </c>
      <c r="B110" s="108" t="s">
        <v>113</v>
      </c>
      <c r="C110" s="107">
        <f>MATCH(B110,'Pivot - Psgr &amp; Sector'!A:A,0)</f>
        <v>84</v>
      </c>
      <c r="D110" s="107">
        <f>MATCH(B110,'Pivot - Psgr &amp; Airline'!A:A,0)</f>
        <v>105</v>
      </c>
      <c r="E110" s="107">
        <f>COUNTIF(Travel!E:E,B110)</f>
        <v>1</v>
      </c>
      <c r="F110" s="111">
        <f>INDEX('Pivot - Psgr &amp; Sector'!MR:MR,MATCH(B110,'Pivot - Psgr &amp; Sector'!A:A,0))</f>
        <v>0</v>
      </c>
      <c r="G110" s="112">
        <f t="shared" si="11"/>
        <v>0</v>
      </c>
      <c r="H110" s="113" t="s">
        <v>2341</v>
      </c>
      <c r="I110" s="113" t="s">
        <v>2341</v>
      </c>
      <c r="J110" s="119">
        <f>INDEX('Pivot - Psgr &amp; Sector'!MS:MS,MATCH(B110,'Pivot - Psgr &amp; Sector'!A:A,0))</f>
        <v>1</v>
      </c>
      <c r="K110" s="120">
        <f t="shared" si="12"/>
        <v>1</v>
      </c>
      <c r="L110" s="124" t="s">
        <v>2491</v>
      </c>
      <c r="M110" s="124" t="s">
        <v>2394</v>
      </c>
      <c r="N110" s="132">
        <f>INDEX('Pivot - Psgr &amp; Sector'!MT:MT,MATCH(B110,'Pivot - Psgr &amp; Sector'!A:A,0))</f>
        <v>0</v>
      </c>
      <c r="O110" s="133">
        <f t="shared" si="13"/>
        <v>0</v>
      </c>
      <c r="P110" s="134" t="s">
        <v>2341</v>
      </c>
      <c r="Q110" s="134" t="s">
        <v>2341</v>
      </c>
    </row>
    <row r="111" spans="1:17" ht="30" x14ac:dyDescent="0.25">
      <c r="A111" s="107">
        <f t="shared" si="10"/>
        <v>108</v>
      </c>
      <c r="B111" s="108" t="s">
        <v>1918</v>
      </c>
      <c r="C111" s="107">
        <f>MATCH(B111,'Pivot - Psgr &amp; Sector'!A:A,0)</f>
        <v>86</v>
      </c>
      <c r="D111" s="107">
        <f>MATCH(B111,'Pivot - Psgr &amp; Airline'!A:A,0)</f>
        <v>107</v>
      </c>
      <c r="E111" s="107">
        <f>COUNTIF(Travel!E:E,B111)</f>
        <v>1</v>
      </c>
      <c r="F111" s="111">
        <f>INDEX('Pivot - Psgr &amp; Sector'!MR:MR,MATCH(B111,'Pivot - Psgr &amp; Sector'!A:A,0))</f>
        <v>0</v>
      </c>
      <c r="G111" s="112">
        <f t="shared" si="11"/>
        <v>0</v>
      </c>
      <c r="H111" s="113" t="s">
        <v>2341</v>
      </c>
      <c r="I111" s="113" t="s">
        <v>2341</v>
      </c>
      <c r="J111" s="119">
        <f>INDEX('Pivot - Psgr &amp; Sector'!MS:MS,MATCH(B111,'Pivot - Psgr &amp; Sector'!A:A,0))</f>
        <v>1</v>
      </c>
      <c r="K111" s="120">
        <f t="shared" si="12"/>
        <v>1</v>
      </c>
      <c r="L111" s="124" t="s">
        <v>2492</v>
      </c>
      <c r="M111" s="124" t="s">
        <v>2382</v>
      </c>
      <c r="N111" s="132">
        <f>INDEX('Pivot - Psgr &amp; Sector'!MT:MT,MATCH(B111,'Pivot - Psgr &amp; Sector'!A:A,0))</f>
        <v>0</v>
      </c>
      <c r="O111" s="133">
        <f t="shared" si="13"/>
        <v>0</v>
      </c>
      <c r="P111" s="134" t="s">
        <v>2341</v>
      </c>
      <c r="Q111" s="134" t="s">
        <v>2341</v>
      </c>
    </row>
    <row r="112" spans="1:17" ht="45" x14ac:dyDescent="0.25">
      <c r="A112" s="107">
        <f t="shared" si="10"/>
        <v>109</v>
      </c>
      <c r="B112" s="108" t="s">
        <v>104</v>
      </c>
      <c r="C112" s="107">
        <f>MATCH(B112,'Pivot - Psgr &amp; Sector'!A:A,0)</f>
        <v>87</v>
      </c>
      <c r="D112" s="107">
        <f>MATCH(B112,'Pivot - Psgr &amp; Airline'!A:A,0)</f>
        <v>108</v>
      </c>
      <c r="E112" s="107">
        <f>COUNTIF(Travel!E:E,B112)</f>
        <v>2</v>
      </c>
      <c r="F112" s="111">
        <f>INDEX('Pivot - Psgr &amp; Sector'!MR:MR,MATCH(B112,'Pivot - Psgr &amp; Sector'!A:A,0))</f>
        <v>0</v>
      </c>
      <c r="G112" s="112">
        <f t="shared" si="11"/>
        <v>0</v>
      </c>
      <c r="H112" s="113" t="s">
        <v>2341</v>
      </c>
      <c r="I112" s="113" t="s">
        <v>2341</v>
      </c>
      <c r="J112" s="119">
        <f>INDEX('Pivot - Psgr &amp; Sector'!MS:MS,MATCH(B112,'Pivot - Psgr &amp; Sector'!A:A,0))</f>
        <v>2</v>
      </c>
      <c r="K112" s="120">
        <f t="shared" si="12"/>
        <v>1</v>
      </c>
      <c r="L112" s="124" t="s">
        <v>2493</v>
      </c>
      <c r="M112" s="124" t="s">
        <v>2421</v>
      </c>
      <c r="N112" s="132">
        <f>INDEX('Pivot - Psgr &amp; Sector'!MT:MT,MATCH(B112,'Pivot - Psgr &amp; Sector'!A:A,0))</f>
        <v>0</v>
      </c>
      <c r="O112" s="133">
        <f t="shared" si="13"/>
        <v>0</v>
      </c>
      <c r="P112" s="134" t="s">
        <v>2341</v>
      </c>
      <c r="Q112" s="134" t="s">
        <v>2341</v>
      </c>
    </row>
    <row r="113" spans="1:17" ht="45" x14ac:dyDescent="0.25">
      <c r="A113" s="107">
        <f t="shared" si="10"/>
        <v>110</v>
      </c>
      <c r="B113" s="108" t="s">
        <v>79</v>
      </c>
      <c r="C113" s="107">
        <f>MATCH(B113,'Pivot - Psgr &amp; Sector'!A:A,0)</f>
        <v>96</v>
      </c>
      <c r="D113" s="107">
        <f>MATCH(B113,'Pivot - Psgr &amp; Airline'!A:A,0)</f>
        <v>117</v>
      </c>
      <c r="E113" s="107">
        <f>COUNTIF(Travel!E:E,B113)</f>
        <v>2</v>
      </c>
      <c r="F113" s="111">
        <f>INDEX('Pivot - Psgr &amp; Sector'!MR:MR,MATCH(B113,'Pivot - Psgr &amp; Sector'!A:A,0))</f>
        <v>0</v>
      </c>
      <c r="G113" s="112">
        <f t="shared" si="11"/>
        <v>0</v>
      </c>
      <c r="H113" s="113" t="s">
        <v>2341</v>
      </c>
      <c r="I113" s="113" t="s">
        <v>2341</v>
      </c>
      <c r="J113" s="119">
        <f>INDEX('Pivot - Psgr &amp; Sector'!MS:MS,MATCH(B113,'Pivot - Psgr &amp; Sector'!A:A,0))</f>
        <v>2</v>
      </c>
      <c r="K113" s="120">
        <f t="shared" si="12"/>
        <v>1</v>
      </c>
      <c r="L113" s="124" t="s">
        <v>2494</v>
      </c>
      <c r="M113" s="124" t="s">
        <v>2544</v>
      </c>
      <c r="N113" s="132">
        <f>INDEX('Pivot - Psgr &amp; Sector'!MT:MT,MATCH(B113,'Pivot - Psgr &amp; Sector'!A:A,0))</f>
        <v>0</v>
      </c>
      <c r="O113" s="133">
        <f t="shared" si="13"/>
        <v>0</v>
      </c>
      <c r="P113" s="134" t="s">
        <v>2341</v>
      </c>
      <c r="Q113" s="134" t="s">
        <v>2341</v>
      </c>
    </row>
    <row r="114" spans="1:17" ht="45" x14ac:dyDescent="0.25">
      <c r="A114" s="107">
        <f t="shared" si="10"/>
        <v>111</v>
      </c>
      <c r="B114" s="108" t="s">
        <v>1948</v>
      </c>
      <c r="C114" s="107">
        <f>MATCH(B114,'Pivot - Psgr &amp; Sector'!A:A,0)</f>
        <v>97</v>
      </c>
      <c r="D114" s="107">
        <f>MATCH(B114,'Pivot - Psgr &amp; Airline'!A:A,0)</f>
        <v>118</v>
      </c>
      <c r="E114" s="107">
        <f>COUNTIF(Travel!E:E,B114)</f>
        <v>2</v>
      </c>
      <c r="F114" s="111">
        <f>INDEX('Pivot - Psgr &amp; Sector'!MR:MR,MATCH(B114,'Pivot - Psgr &amp; Sector'!A:A,0))</f>
        <v>0</v>
      </c>
      <c r="G114" s="112">
        <f t="shared" si="11"/>
        <v>0</v>
      </c>
      <c r="H114" s="113" t="s">
        <v>2341</v>
      </c>
      <c r="I114" s="113" t="s">
        <v>2341</v>
      </c>
      <c r="J114" s="119">
        <f>INDEX('Pivot - Psgr &amp; Sector'!MS:MS,MATCH(B114,'Pivot - Psgr &amp; Sector'!A:A,0))</f>
        <v>2</v>
      </c>
      <c r="K114" s="120">
        <f t="shared" si="12"/>
        <v>1</v>
      </c>
      <c r="L114" s="124" t="s">
        <v>2495</v>
      </c>
      <c r="M114" s="124" t="s">
        <v>2409</v>
      </c>
      <c r="N114" s="132">
        <f>INDEX('Pivot - Psgr &amp; Sector'!MT:MT,MATCH(B114,'Pivot - Psgr &amp; Sector'!A:A,0))</f>
        <v>0</v>
      </c>
      <c r="O114" s="133">
        <f t="shared" si="13"/>
        <v>0</v>
      </c>
      <c r="P114" s="134" t="s">
        <v>2341</v>
      </c>
      <c r="Q114" s="134" t="s">
        <v>2341</v>
      </c>
    </row>
    <row r="115" spans="1:17" ht="30" x14ac:dyDescent="0.25">
      <c r="A115" s="107">
        <f t="shared" si="10"/>
        <v>112</v>
      </c>
      <c r="B115" s="108" t="s">
        <v>347</v>
      </c>
      <c r="C115" s="107">
        <f>MATCH(B115,'Pivot - Psgr &amp; Sector'!A:A,0)</f>
        <v>99</v>
      </c>
      <c r="D115" s="107">
        <f>MATCH(B115,'Pivot - Psgr &amp; Airline'!A:A,0)</f>
        <v>120</v>
      </c>
      <c r="E115" s="107">
        <f>COUNTIF(Travel!E:E,B115)</f>
        <v>1</v>
      </c>
      <c r="F115" s="111">
        <f>INDEX('Pivot - Psgr &amp; Sector'!MR:MR,MATCH(B115,'Pivot - Psgr &amp; Sector'!A:A,0))</f>
        <v>0</v>
      </c>
      <c r="G115" s="112">
        <f t="shared" si="11"/>
        <v>0</v>
      </c>
      <c r="H115" s="113" t="s">
        <v>2341</v>
      </c>
      <c r="I115" s="113" t="s">
        <v>2341</v>
      </c>
      <c r="J115" s="119">
        <f>INDEX('Pivot - Psgr &amp; Sector'!MS:MS,MATCH(B115,'Pivot - Psgr &amp; Sector'!A:A,0))</f>
        <v>1</v>
      </c>
      <c r="K115" s="120">
        <f t="shared" si="12"/>
        <v>1</v>
      </c>
      <c r="L115" s="124" t="s">
        <v>2335</v>
      </c>
      <c r="M115" s="124" t="s">
        <v>2379</v>
      </c>
      <c r="N115" s="132">
        <f>INDEX('Pivot - Psgr &amp; Sector'!MT:MT,MATCH(B115,'Pivot - Psgr &amp; Sector'!A:A,0))</f>
        <v>0</v>
      </c>
      <c r="O115" s="133">
        <f t="shared" si="13"/>
        <v>0</v>
      </c>
      <c r="P115" s="134" t="s">
        <v>2341</v>
      </c>
      <c r="Q115" s="134" t="s">
        <v>2341</v>
      </c>
    </row>
    <row r="116" spans="1:17" ht="30" x14ac:dyDescent="0.25">
      <c r="A116" s="107">
        <f t="shared" si="10"/>
        <v>113</v>
      </c>
      <c r="B116" s="108" t="s">
        <v>1263</v>
      </c>
      <c r="C116" s="107">
        <f>MATCH(B116,'Pivot - Psgr &amp; Sector'!A:A,0)</f>
        <v>102</v>
      </c>
      <c r="D116" s="107">
        <f>MATCH(B116,'Pivot - Psgr &amp; Airline'!A:A,0)</f>
        <v>127</v>
      </c>
      <c r="E116" s="107">
        <f>COUNTIF(Travel!E:E,B116)</f>
        <v>1</v>
      </c>
      <c r="F116" s="111">
        <f>INDEX('Pivot - Psgr &amp; Sector'!MR:MR,MATCH(B116,'Pivot - Psgr &amp; Sector'!A:A,0))</f>
        <v>0</v>
      </c>
      <c r="G116" s="112">
        <f t="shared" si="11"/>
        <v>0</v>
      </c>
      <c r="H116" s="113" t="s">
        <v>2341</v>
      </c>
      <c r="I116" s="113" t="s">
        <v>2341</v>
      </c>
      <c r="J116" s="119">
        <f>INDEX('Pivot - Psgr &amp; Sector'!MS:MS,MATCH(B116,'Pivot - Psgr &amp; Sector'!A:A,0))</f>
        <v>1</v>
      </c>
      <c r="K116" s="120">
        <f t="shared" si="12"/>
        <v>1</v>
      </c>
      <c r="L116" s="124" t="s">
        <v>2338</v>
      </c>
      <c r="M116" s="124" t="s">
        <v>2379</v>
      </c>
      <c r="N116" s="132">
        <f>INDEX('Pivot - Psgr &amp; Sector'!MT:MT,MATCH(B116,'Pivot - Psgr &amp; Sector'!A:A,0))</f>
        <v>0</v>
      </c>
      <c r="O116" s="133">
        <f t="shared" si="13"/>
        <v>0</v>
      </c>
      <c r="P116" s="134" t="s">
        <v>2341</v>
      </c>
      <c r="Q116" s="134" t="s">
        <v>2341</v>
      </c>
    </row>
    <row r="117" spans="1:17" ht="30" x14ac:dyDescent="0.25">
      <c r="A117" s="107">
        <f t="shared" si="10"/>
        <v>114</v>
      </c>
      <c r="B117" s="108" t="s">
        <v>284</v>
      </c>
      <c r="C117" s="107">
        <f>MATCH(B117,'Pivot - Psgr &amp; Sector'!A:A,0)</f>
        <v>103</v>
      </c>
      <c r="D117" s="107">
        <f>MATCH(B117,'Pivot - Psgr &amp; Airline'!A:A,0)</f>
        <v>128</v>
      </c>
      <c r="E117" s="107">
        <f>COUNTIF(Travel!E:E,B117)</f>
        <v>1</v>
      </c>
      <c r="F117" s="111">
        <f>INDEX('Pivot - Psgr &amp; Sector'!MR:MR,MATCH(B117,'Pivot - Psgr &amp; Sector'!A:A,0))</f>
        <v>0</v>
      </c>
      <c r="G117" s="112">
        <f t="shared" si="11"/>
        <v>0</v>
      </c>
      <c r="H117" s="113" t="s">
        <v>2341</v>
      </c>
      <c r="I117" s="113" t="s">
        <v>2341</v>
      </c>
      <c r="J117" s="119">
        <f>INDEX('Pivot - Psgr &amp; Sector'!MS:MS,MATCH(B117,'Pivot - Psgr &amp; Sector'!A:A,0))</f>
        <v>1</v>
      </c>
      <c r="K117" s="120">
        <f t="shared" si="12"/>
        <v>1</v>
      </c>
      <c r="L117" s="124" t="s">
        <v>2355</v>
      </c>
      <c r="M117" s="124" t="s">
        <v>2379</v>
      </c>
      <c r="N117" s="132">
        <f>INDEX('Pivot - Psgr &amp; Sector'!MT:MT,MATCH(B117,'Pivot - Psgr &amp; Sector'!A:A,0))</f>
        <v>0</v>
      </c>
      <c r="O117" s="133">
        <f t="shared" si="13"/>
        <v>0</v>
      </c>
      <c r="P117" s="134" t="s">
        <v>2341</v>
      </c>
      <c r="Q117" s="134" t="s">
        <v>2341</v>
      </c>
    </row>
    <row r="118" spans="1:17" ht="30" x14ac:dyDescent="0.25">
      <c r="A118" s="107">
        <f t="shared" si="10"/>
        <v>115</v>
      </c>
      <c r="B118" s="108" t="s">
        <v>1859</v>
      </c>
      <c r="C118" s="107">
        <f>MATCH(B118,'Pivot - Psgr &amp; Sector'!A:A,0)</f>
        <v>104</v>
      </c>
      <c r="D118" s="107">
        <f>MATCH(B118,'Pivot - Psgr &amp; Airline'!A:A,0)</f>
        <v>129</v>
      </c>
      <c r="E118" s="107">
        <f>COUNTIF(Travel!E:E,B118)</f>
        <v>1</v>
      </c>
      <c r="F118" s="111">
        <f>INDEX('Pivot - Psgr &amp; Sector'!MR:MR,MATCH(B118,'Pivot - Psgr &amp; Sector'!A:A,0))</f>
        <v>0</v>
      </c>
      <c r="G118" s="112">
        <f t="shared" si="11"/>
        <v>0</v>
      </c>
      <c r="H118" s="113" t="s">
        <v>2341</v>
      </c>
      <c r="I118" s="113" t="s">
        <v>2341</v>
      </c>
      <c r="J118" s="119">
        <f>INDEX('Pivot - Psgr &amp; Sector'!MS:MS,MATCH(B118,'Pivot - Psgr &amp; Sector'!A:A,0))</f>
        <v>1</v>
      </c>
      <c r="K118" s="120">
        <f t="shared" si="12"/>
        <v>1</v>
      </c>
      <c r="L118" s="124" t="s">
        <v>2337</v>
      </c>
      <c r="M118" s="124" t="s">
        <v>2379</v>
      </c>
      <c r="N118" s="132">
        <f>INDEX('Pivot - Psgr &amp; Sector'!MT:MT,MATCH(B118,'Pivot - Psgr &amp; Sector'!A:A,0))</f>
        <v>0</v>
      </c>
      <c r="O118" s="133">
        <f t="shared" si="13"/>
        <v>0</v>
      </c>
      <c r="P118" s="134" t="s">
        <v>2341</v>
      </c>
      <c r="Q118" s="134" t="s">
        <v>2341</v>
      </c>
    </row>
    <row r="119" spans="1:17" ht="30" x14ac:dyDescent="0.25">
      <c r="A119" s="107">
        <f t="shared" si="10"/>
        <v>116</v>
      </c>
      <c r="B119" s="108" t="s">
        <v>1454</v>
      </c>
      <c r="C119" s="107">
        <f>MATCH(B119,'Pivot - Psgr &amp; Sector'!A:A,0)</f>
        <v>105</v>
      </c>
      <c r="D119" s="107">
        <f>MATCH(B119,'Pivot - Psgr &amp; Airline'!A:A,0)</f>
        <v>130</v>
      </c>
      <c r="E119" s="107">
        <f>COUNTIF(Travel!E:E,B119)</f>
        <v>1</v>
      </c>
      <c r="F119" s="111">
        <f>INDEX('Pivot - Psgr &amp; Sector'!MR:MR,MATCH(B119,'Pivot - Psgr &amp; Sector'!A:A,0))</f>
        <v>0</v>
      </c>
      <c r="G119" s="112">
        <f t="shared" si="11"/>
        <v>0</v>
      </c>
      <c r="H119" s="113" t="s">
        <v>2341</v>
      </c>
      <c r="I119" s="113" t="s">
        <v>2341</v>
      </c>
      <c r="J119" s="119">
        <f>INDEX('Pivot - Psgr &amp; Sector'!MS:MS,MATCH(B119,'Pivot - Psgr &amp; Sector'!A:A,0))</f>
        <v>1</v>
      </c>
      <c r="K119" s="120">
        <f t="shared" si="12"/>
        <v>1</v>
      </c>
      <c r="L119" s="124" t="s">
        <v>2369</v>
      </c>
      <c r="M119" s="124" t="s">
        <v>2379</v>
      </c>
      <c r="N119" s="132">
        <f>INDEX('Pivot - Psgr &amp; Sector'!MT:MT,MATCH(B119,'Pivot - Psgr &amp; Sector'!A:A,0))</f>
        <v>0</v>
      </c>
      <c r="O119" s="133">
        <f t="shared" si="13"/>
        <v>0</v>
      </c>
      <c r="P119" s="134" t="s">
        <v>2341</v>
      </c>
      <c r="Q119" s="134" t="s">
        <v>2341</v>
      </c>
    </row>
    <row r="120" spans="1:17" ht="30" x14ac:dyDescent="0.25">
      <c r="A120" s="107">
        <f t="shared" si="10"/>
        <v>117</v>
      </c>
      <c r="B120" s="108" t="s">
        <v>1553</v>
      </c>
      <c r="C120" s="107">
        <f>MATCH(B120,'Pivot - Psgr &amp; Sector'!A:A,0)</f>
        <v>107</v>
      </c>
      <c r="D120" s="107">
        <f>MATCH(B120,'Pivot - Psgr &amp; Airline'!A:A,0)</f>
        <v>132</v>
      </c>
      <c r="E120" s="107">
        <f>COUNTIF(Travel!E:E,B120)</f>
        <v>1</v>
      </c>
      <c r="F120" s="111">
        <f>INDEX('Pivot - Psgr &amp; Sector'!MR:MR,MATCH(B120,'Pivot - Psgr &amp; Sector'!A:A,0))</f>
        <v>0</v>
      </c>
      <c r="G120" s="112">
        <f t="shared" si="11"/>
        <v>0</v>
      </c>
      <c r="H120" s="113" t="s">
        <v>2341</v>
      </c>
      <c r="I120" s="113" t="s">
        <v>2341</v>
      </c>
      <c r="J120" s="119">
        <f>INDEX('Pivot - Psgr &amp; Sector'!MS:MS,MATCH(B120,'Pivot - Psgr &amp; Sector'!A:A,0))</f>
        <v>1</v>
      </c>
      <c r="K120" s="120">
        <f t="shared" si="12"/>
        <v>1</v>
      </c>
      <c r="L120" s="124" t="s">
        <v>2496</v>
      </c>
      <c r="M120" s="124" t="s">
        <v>2422</v>
      </c>
      <c r="N120" s="132">
        <f>INDEX('Pivot - Psgr &amp; Sector'!MT:MT,MATCH(B120,'Pivot - Psgr &amp; Sector'!A:A,0))</f>
        <v>0</v>
      </c>
      <c r="O120" s="133">
        <f t="shared" si="13"/>
        <v>0</v>
      </c>
      <c r="P120" s="134" t="s">
        <v>2341</v>
      </c>
      <c r="Q120" s="134" t="s">
        <v>2341</v>
      </c>
    </row>
    <row r="121" spans="1:17" ht="30" x14ac:dyDescent="0.25">
      <c r="A121" s="107">
        <f t="shared" si="10"/>
        <v>118</v>
      </c>
      <c r="B121" s="108" t="s">
        <v>1642</v>
      </c>
      <c r="C121" s="107">
        <f>MATCH(B121,'Pivot - Psgr &amp; Sector'!A:A,0)</f>
        <v>109</v>
      </c>
      <c r="D121" s="107">
        <f>MATCH(B121,'Pivot - Psgr &amp; Airline'!A:A,0)</f>
        <v>134</v>
      </c>
      <c r="E121" s="107">
        <f>COUNTIF(Travel!E:E,B121)</f>
        <v>1</v>
      </c>
      <c r="F121" s="111">
        <f>INDEX('Pivot - Psgr &amp; Sector'!MR:MR,MATCH(B121,'Pivot - Psgr &amp; Sector'!A:A,0))</f>
        <v>0</v>
      </c>
      <c r="G121" s="112">
        <f t="shared" si="11"/>
        <v>0</v>
      </c>
      <c r="H121" s="113" t="s">
        <v>2341</v>
      </c>
      <c r="I121" s="113" t="s">
        <v>2341</v>
      </c>
      <c r="J121" s="119">
        <f>INDEX('Pivot - Psgr &amp; Sector'!MS:MS,MATCH(B121,'Pivot - Psgr &amp; Sector'!A:A,0))</f>
        <v>1</v>
      </c>
      <c r="K121" s="120">
        <f t="shared" si="12"/>
        <v>1</v>
      </c>
      <c r="L121" s="124" t="s">
        <v>2497</v>
      </c>
      <c r="M121" s="124" t="s">
        <v>2379</v>
      </c>
      <c r="N121" s="132">
        <f>INDEX('Pivot - Psgr &amp; Sector'!MT:MT,MATCH(B121,'Pivot - Psgr &amp; Sector'!A:A,0))</f>
        <v>0</v>
      </c>
      <c r="O121" s="133">
        <f t="shared" si="13"/>
        <v>0</v>
      </c>
      <c r="P121" s="134" t="s">
        <v>2341</v>
      </c>
      <c r="Q121" s="134" t="s">
        <v>2341</v>
      </c>
    </row>
    <row r="122" spans="1:17" ht="30" x14ac:dyDescent="0.25">
      <c r="A122" s="107">
        <f t="shared" si="10"/>
        <v>119</v>
      </c>
      <c r="B122" s="108" t="s">
        <v>905</v>
      </c>
      <c r="C122" s="107">
        <f>MATCH(B122,'Pivot - Psgr &amp; Sector'!A:A,0)</f>
        <v>114</v>
      </c>
      <c r="D122" s="107">
        <f>MATCH(B122,'Pivot - Psgr &amp; Airline'!A:A,0)</f>
        <v>139</v>
      </c>
      <c r="E122" s="107">
        <f>COUNTIF(Travel!E:E,B122)</f>
        <v>1</v>
      </c>
      <c r="F122" s="111">
        <f>INDEX('Pivot - Psgr &amp; Sector'!MR:MR,MATCH(B122,'Pivot - Psgr &amp; Sector'!A:A,0))</f>
        <v>0</v>
      </c>
      <c r="G122" s="112">
        <f t="shared" si="11"/>
        <v>0</v>
      </c>
      <c r="H122" s="113" t="s">
        <v>2341</v>
      </c>
      <c r="I122" s="113" t="s">
        <v>2341</v>
      </c>
      <c r="J122" s="119">
        <f>INDEX('Pivot - Psgr &amp; Sector'!MS:MS,MATCH(B122,'Pivot - Psgr &amp; Sector'!A:A,0))</f>
        <v>1</v>
      </c>
      <c r="K122" s="120">
        <f t="shared" si="12"/>
        <v>1</v>
      </c>
      <c r="L122" s="124" t="s">
        <v>2343</v>
      </c>
      <c r="M122" s="124" t="s">
        <v>2379</v>
      </c>
      <c r="N122" s="132">
        <f>INDEX('Pivot - Psgr &amp; Sector'!MT:MT,MATCH(B122,'Pivot - Psgr &amp; Sector'!A:A,0))</f>
        <v>0</v>
      </c>
      <c r="O122" s="133">
        <f t="shared" si="13"/>
        <v>0</v>
      </c>
      <c r="P122" s="134" t="s">
        <v>2341</v>
      </c>
      <c r="Q122" s="134" t="s">
        <v>2341</v>
      </c>
    </row>
    <row r="123" spans="1:17" ht="30" x14ac:dyDescent="0.25">
      <c r="A123" s="107">
        <f t="shared" si="10"/>
        <v>120</v>
      </c>
      <c r="B123" s="108" t="s">
        <v>2109</v>
      </c>
      <c r="C123" s="107">
        <f>MATCH(B123,'Pivot - Psgr &amp; Sector'!A:A,0)</f>
        <v>118</v>
      </c>
      <c r="D123" s="107">
        <f>MATCH(B123,'Pivot - Psgr &amp; Airline'!A:A,0)</f>
        <v>143</v>
      </c>
      <c r="E123" s="107">
        <f>COUNTIF(Travel!E:E,B123)</f>
        <v>2</v>
      </c>
      <c r="F123" s="111">
        <f>INDEX('Pivot - Psgr &amp; Sector'!MR:MR,MATCH(B123,'Pivot - Psgr &amp; Sector'!A:A,0))</f>
        <v>0</v>
      </c>
      <c r="G123" s="112">
        <f t="shared" si="11"/>
        <v>0</v>
      </c>
      <c r="H123" s="113" t="s">
        <v>2341</v>
      </c>
      <c r="I123" s="113" t="s">
        <v>2341</v>
      </c>
      <c r="J123" s="119">
        <f>INDEX('Pivot - Psgr &amp; Sector'!MS:MS,MATCH(B123,'Pivot - Psgr &amp; Sector'!A:A,0))</f>
        <v>1</v>
      </c>
      <c r="K123" s="120">
        <f t="shared" si="12"/>
        <v>0.5</v>
      </c>
      <c r="L123" s="124" t="s">
        <v>2369</v>
      </c>
      <c r="M123" s="124" t="s">
        <v>2379</v>
      </c>
      <c r="N123" s="132">
        <f>INDEX('Pivot - Psgr &amp; Sector'!MT:MT,MATCH(B123,'Pivot - Psgr &amp; Sector'!A:A,0))</f>
        <v>1</v>
      </c>
      <c r="O123" s="133">
        <f t="shared" si="13"/>
        <v>0.5</v>
      </c>
      <c r="P123" s="134" t="s">
        <v>2562</v>
      </c>
      <c r="Q123" s="134" t="s">
        <v>2379</v>
      </c>
    </row>
    <row r="124" spans="1:17" ht="105" x14ac:dyDescent="0.25">
      <c r="A124" s="107">
        <f t="shared" si="10"/>
        <v>121</v>
      </c>
      <c r="B124" s="108" t="s">
        <v>717</v>
      </c>
      <c r="C124" s="107">
        <f>MATCH(B124,'Pivot - Psgr &amp; Sector'!A:A,0)</f>
        <v>60</v>
      </c>
      <c r="D124" s="107">
        <f>MATCH(B124,'Pivot - Psgr &amp; Airline'!A:A,0)</f>
        <v>81</v>
      </c>
      <c r="E124" s="107">
        <f>COUNTIF(Travel!E:E,B124)</f>
        <v>8</v>
      </c>
      <c r="F124" s="111">
        <f>INDEX('Pivot - Psgr &amp; Sector'!MR:MR,MATCH(B124,'Pivot - Psgr &amp; Sector'!A:A,0))</f>
        <v>0</v>
      </c>
      <c r="G124" s="112">
        <f t="shared" si="11"/>
        <v>0</v>
      </c>
      <c r="H124" s="113" t="s">
        <v>2341</v>
      </c>
      <c r="I124" s="113" t="s">
        <v>2341</v>
      </c>
      <c r="J124" s="119">
        <f>INDEX('Pivot - Psgr &amp; Sector'!MS:MS,MATCH(B124,'Pivot - Psgr &amp; Sector'!A:A,0))</f>
        <v>6</v>
      </c>
      <c r="K124" s="120">
        <f t="shared" si="12"/>
        <v>0.75</v>
      </c>
      <c r="L124" s="124" t="s">
        <v>2498</v>
      </c>
      <c r="M124" s="124" t="s">
        <v>2545</v>
      </c>
      <c r="N124" s="132">
        <f>INDEX('Pivot - Psgr &amp; Sector'!MT:MT,MATCH(B124,'Pivot - Psgr &amp; Sector'!A:A,0))</f>
        <v>2</v>
      </c>
      <c r="O124" s="133">
        <f t="shared" si="13"/>
        <v>0.25</v>
      </c>
      <c r="P124" s="134" t="s">
        <v>2563</v>
      </c>
      <c r="Q124" s="134" t="s">
        <v>2522</v>
      </c>
    </row>
    <row r="125" spans="1:17" ht="60" x14ac:dyDescent="0.25">
      <c r="A125" s="107">
        <f t="shared" si="10"/>
        <v>122</v>
      </c>
      <c r="B125" s="108" t="s">
        <v>729</v>
      </c>
      <c r="C125" s="107">
        <f>MATCH(B125,'Pivot - Psgr &amp; Sector'!A:A,0)</f>
        <v>78</v>
      </c>
      <c r="D125" s="107">
        <f>MATCH(B125,'Pivot - Psgr &amp; Airline'!A:A,0)</f>
        <v>99</v>
      </c>
      <c r="E125" s="107">
        <f>COUNTIF(Travel!E:E,B125)</f>
        <v>4</v>
      </c>
      <c r="F125" s="111">
        <f>INDEX('Pivot - Psgr &amp; Sector'!MR:MR,MATCH(B125,'Pivot - Psgr &amp; Sector'!A:A,0))</f>
        <v>0</v>
      </c>
      <c r="G125" s="112">
        <f t="shared" si="11"/>
        <v>0</v>
      </c>
      <c r="H125" s="113" t="s">
        <v>2341</v>
      </c>
      <c r="I125" s="113" t="s">
        <v>2341</v>
      </c>
      <c r="J125" s="119">
        <f>INDEX('Pivot - Psgr &amp; Sector'!MS:MS,MATCH(B125,'Pivot - Psgr &amp; Sector'!A:A,0))</f>
        <v>3</v>
      </c>
      <c r="K125" s="120">
        <f t="shared" si="12"/>
        <v>0.75</v>
      </c>
      <c r="L125" s="124" t="s">
        <v>2499</v>
      </c>
      <c r="M125" s="124" t="s">
        <v>2423</v>
      </c>
      <c r="N125" s="132">
        <f>INDEX('Pivot - Psgr &amp; Sector'!MT:MT,MATCH(B125,'Pivot - Psgr &amp; Sector'!A:A,0))</f>
        <v>1</v>
      </c>
      <c r="O125" s="133">
        <f t="shared" si="13"/>
        <v>0.25</v>
      </c>
      <c r="P125" s="134" t="s">
        <v>2337</v>
      </c>
      <c r="Q125" s="134" t="s">
        <v>2395</v>
      </c>
    </row>
    <row r="126" spans="1:17" ht="30" x14ac:dyDescent="0.25">
      <c r="A126" s="107">
        <f t="shared" si="10"/>
        <v>123</v>
      </c>
      <c r="B126" s="108" t="s">
        <v>194</v>
      </c>
      <c r="C126" s="107">
        <f>MATCH(B126,'Pivot - Psgr &amp; Sector'!A:A,0)</f>
        <v>90</v>
      </c>
      <c r="D126" s="107">
        <f>MATCH(B126,'Pivot - Psgr &amp; Airline'!A:A,0)</f>
        <v>111</v>
      </c>
      <c r="E126" s="107">
        <f>COUNTIF(Travel!E:E,B126)</f>
        <v>4</v>
      </c>
      <c r="F126" s="111">
        <f>INDEX('Pivot - Psgr &amp; Sector'!MR:MR,MATCH(B126,'Pivot - Psgr &amp; Sector'!A:A,0))</f>
        <v>0</v>
      </c>
      <c r="G126" s="112">
        <f t="shared" si="11"/>
        <v>0</v>
      </c>
      <c r="H126" s="113" t="s">
        <v>2341</v>
      </c>
      <c r="I126" s="113" t="s">
        <v>2341</v>
      </c>
      <c r="J126" s="119">
        <f>INDEX('Pivot - Psgr &amp; Sector'!MS:MS,MATCH(B126,'Pivot - Psgr &amp; Sector'!A:A,0))</f>
        <v>3</v>
      </c>
      <c r="K126" s="120">
        <f t="shared" si="12"/>
        <v>0.75</v>
      </c>
      <c r="L126" s="124" t="s">
        <v>2500</v>
      </c>
      <c r="M126" s="124" t="s">
        <v>2397</v>
      </c>
      <c r="N126" s="132">
        <f>INDEX('Pivot - Psgr &amp; Sector'!MT:MT,MATCH(B126,'Pivot - Psgr &amp; Sector'!A:A,0))</f>
        <v>1</v>
      </c>
      <c r="O126" s="133">
        <f t="shared" si="13"/>
        <v>0.25</v>
      </c>
      <c r="P126" s="134" t="s">
        <v>2479</v>
      </c>
      <c r="Q126" s="134" t="s">
        <v>2379</v>
      </c>
    </row>
    <row r="127" spans="1:17" ht="60" x14ac:dyDescent="0.25">
      <c r="A127" s="107">
        <f t="shared" si="10"/>
        <v>124</v>
      </c>
      <c r="B127" s="108" t="s">
        <v>205</v>
      </c>
      <c r="C127" s="107">
        <f>MATCH(B127,'Pivot - Psgr &amp; Sector'!A:A,0)</f>
        <v>113</v>
      </c>
      <c r="D127" s="107">
        <f>MATCH(B127,'Pivot - Psgr &amp; Airline'!A:A,0)</f>
        <v>138</v>
      </c>
      <c r="E127" s="107">
        <f>COUNTIF(Travel!E:E,B127)</f>
        <v>4</v>
      </c>
      <c r="F127" s="111">
        <f>INDEX('Pivot - Psgr &amp; Sector'!MR:MR,MATCH(B127,'Pivot - Psgr &amp; Sector'!A:A,0))</f>
        <v>0</v>
      </c>
      <c r="G127" s="112">
        <f t="shared" si="11"/>
        <v>0</v>
      </c>
      <c r="H127" s="113" t="s">
        <v>2341</v>
      </c>
      <c r="I127" s="113" t="s">
        <v>2341</v>
      </c>
      <c r="J127" s="119">
        <f>INDEX('Pivot - Psgr &amp; Sector'!MS:MS,MATCH(B127,'Pivot - Psgr &amp; Sector'!A:A,0))</f>
        <v>3</v>
      </c>
      <c r="K127" s="120">
        <f t="shared" si="12"/>
        <v>0.75</v>
      </c>
      <c r="L127" s="124" t="s">
        <v>2501</v>
      </c>
      <c r="M127" s="124" t="s">
        <v>2397</v>
      </c>
      <c r="N127" s="132">
        <f>INDEX('Pivot - Psgr &amp; Sector'!MT:MT,MATCH(B127,'Pivot - Psgr &amp; Sector'!A:A,0))</f>
        <v>1</v>
      </c>
      <c r="O127" s="133">
        <f t="shared" si="13"/>
        <v>0.25</v>
      </c>
      <c r="P127" s="134" t="s">
        <v>2335</v>
      </c>
      <c r="Q127" s="134" t="s">
        <v>2379</v>
      </c>
    </row>
    <row r="128" spans="1:17" ht="45" x14ac:dyDescent="0.25">
      <c r="A128" s="107">
        <f t="shared" si="10"/>
        <v>125</v>
      </c>
      <c r="B128" s="108" t="s">
        <v>379</v>
      </c>
      <c r="C128" s="107">
        <f>MATCH(B128,'Pivot - Psgr &amp; Sector'!A:A,0)</f>
        <v>20</v>
      </c>
      <c r="D128" s="107">
        <f>MATCH(B128,'Pivot - Psgr &amp; Airline'!A:A,0)</f>
        <v>27</v>
      </c>
      <c r="E128" s="107">
        <f>COUNTIF(Travel!E:E,B128)</f>
        <v>3</v>
      </c>
      <c r="F128" s="111">
        <f>INDEX('Pivot - Psgr &amp; Sector'!MR:MR,MATCH(B128,'Pivot - Psgr &amp; Sector'!A:A,0))</f>
        <v>0</v>
      </c>
      <c r="G128" s="112">
        <f t="shared" si="11"/>
        <v>0</v>
      </c>
      <c r="H128" s="113" t="s">
        <v>2341</v>
      </c>
      <c r="I128" s="113" t="s">
        <v>2341</v>
      </c>
      <c r="J128" s="119">
        <f>INDEX('Pivot - Psgr &amp; Sector'!MS:MS,MATCH(B128,'Pivot - Psgr &amp; Sector'!A:A,0))</f>
        <v>2</v>
      </c>
      <c r="K128" s="120">
        <f t="shared" si="12"/>
        <v>0.66666666666666663</v>
      </c>
      <c r="L128" s="124" t="s">
        <v>2351</v>
      </c>
      <c r="M128" s="124" t="s">
        <v>2546</v>
      </c>
      <c r="N128" s="132">
        <f>INDEX('Pivot - Psgr &amp; Sector'!MT:MT,MATCH(B128,'Pivot - Psgr &amp; Sector'!A:A,0))</f>
        <v>1</v>
      </c>
      <c r="O128" s="133">
        <f t="shared" si="13"/>
        <v>0.33333333333333331</v>
      </c>
      <c r="P128" s="134" t="s">
        <v>2335</v>
      </c>
      <c r="Q128" s="134" t="s">
        <v>2379</v>
      </c>
    </row>
    <row r="129" spans="1:17" ht="45" x14ac:dyDescent="0.25">
      <c r="A129" s="107">
        <f t="shared" si="10"/>
        <v>126</v>
      </c>
      <c r="B129" s="108" t="s">
        <v>1036</v>
      </c>
      <c r="C129" s="107">
        <f>MATCH(B129,'Pivot - Psgr &amp; Sector'!A:A,0)</f>
        <v>71</v>
      </c>
      <c r="D129" s="107">
        <f>MATCH(B129,'Pivot - Psgr &amp; Airline'!A:A,0)</f>
        <v>92</v>
      </c>
      <c r="E129" s="107">
        <f>COUNTIF(Travel!E:E,B129)</f>
        <v>3</v>
      </c>
      <c r="F129" s="111">
        <f>INDEX('Pivot - Psgr &amp; Sector'!MR:MR,MATCH(B129,'Pivot - Psgr &amp; Sector'!A:A,0))</f>
        <v>0</v>
      </c>
      <c r="G129" s="112">
        <f t="shared" si="11"/>
        <v>0</v>
      </c>
      <c r="H129" s="113" t="s">
        <v>2341</v>
      </c>
      <c r="I129" s="113" t="s">
        <v>2341</v>
      </c>
      <c r="J129" s="119">
        <f>INDEX('Pivot - Psgr &amp; Sector'!MS:MS,MATCH(B129,'Pivot - Psgr &amp; Sector'!A:A,0))</f>
        <v>2</v>
      </c>
      <c r="K129" s="120">
        <f t="shared" si="12"/>
        <v>0.66666666666666663</v>
      </c>
      <c r="L129" s="124" t="s">
        <v>2502</v>
      </c>
      <c r="M129" s="124" t="s">
        <v>2405</v>
      </c>
      <c r="N129" s="132">
        <f>INDEX('Pivot - Psgr &amp; Sector'!MT:MT,MATCH(B129,'Pivot - Psgr &amp; Sector'!A:A,0))</f>
        <v>1</v>
      </c>
      <c r="O129" s="133">
        <f t="shared" si="13"/>
        <v>0.33333333333333331</v>
      </c>
      <c r="P129" s="134" t="s">
        <v>2564</v>
      </c>
      <c r="Q129" s="134" t="s">
        <v>2394</v>
      </c>
    </row>
    <row r="130" spans="1:17" ht="45" x14ac:dyDescent="0.25">
      <c r="A130" s="107">
        <f t="shared" si="10"/>
        <v>127</v>
      </c>
      <c r="B130" s="108" t="s">
        <v>1081</v>
      </c>
      <c r="C130" s="107">
        <f>MATCH(B130,'Pivot - Psgr &amp; Sector'!A:A,0)</f>
        <v>82</v>
      </c>
      <c r="D130" s="107">
        <f>MATCH(B130,'Pivot - Psgr &amp; Airline'!A:A,0)</f>
        <v>103</v>
      </c>
      <c r="E130" s="107">
        <f>COUNTIF(Travel!E:E,B130)</f>
        <v>3</v>
      </c>
      <c r="F130" s="111">
        <f>INDEX('Pivot - Psgr &amp; Sector'!MR:MR,MATCH(B130,'Pivot - Psgr &amp; Sector'!A:A,0))</f>
        <v>0</v>
      </c>
      <c r="G130" s="112">
        <f t="shared" si="11"/>
        <v>0</v>
      </c>
      <c r="H130" s="113" t="s">
        <v>2341</v>
      </c>
      <c r="I130" s="113" t="s">
        <v>2341</v>
      </c>
      <c r="J130" s="119">
        <f>INDEX('Pivot - Psgr &amp; Sector'!MS:MS,MATCH(B130,'Pivot - Psgr &amp; Sector'!A:A,0))</f>
        <v>2</v>
      </c>
      <c r="K130" s="120">
        <f t="shared" si="12"/>
        <v>0.66666666666666663</v>
      </c>
      <c r="L130" s="124" t="s">
        <v>2503</v>
      </c>
      <c r="M130" s="124" t="s">
        <v>2392</v>
      </c>
      <c r="N130" s="132">
        <f>INDEX('Pivot - Psgr &amp; Sector'!MT:MT,MATCH(B130,'Pivot - Psgr &amp; Sector'!A:A,0))</f>
        <v>1</v>
      </c>
      <c r="O130" s="133">
        <f t="shared" si="13"/>
        <v>0.33333333333333331</v>
      </c>
      <c r="P130" s="134" t="s">
        <v>2335</v>
      </c>
      <c r="Q130" s="134" t="s">
        <v>2379</v>
      </c>
    </row>
    <row r="131" spans="1:17" ht="30" x14ac:dyDescent="0.25">
      <c r="A131" s="107">
        <f t="shared" si="10"/>
        <v>128</v>
      </c>
      <c r="B131" s="108" t="s">
        <v>1206</v>
      </c>
      <c r="C131" s="107">
        <f>MATCH(B131,'Pivot - Psgr &amp; Sector'!A:A,0)</f>
        <v>28</v>
      </c>
      <c r="D131" s="107">
        <f>MATCH(B131,'Pivot - Psgr &amp; Airline'!A:A,0)</f>
        <v>41</v>
      </c>
      <c r="E131" s="107">
        <f>COUNTIF(Travel!E:E,B131)</f>
        <v>2</v>
      </c>
      <c r="F131" s="111">
        <f>INDEX('Pivot - Psgr &amp; Sector'!MR:MR,MATCH(B131,'Pivot - Psgr &amp; Sector'!A:A,0))</f>
        <v>0</v>
      </c>
      <c r="G131" s="112">
        <f t="shared" si="11"/>
        <v>0</v>
      </c>
      <c r="H131" s="113" t="s">
        <v>2341</v>
      </c>
      <c r="I131" s="113" t="s">
        <v>2341</v>
      </c>
      <c r="J131" s="119">
        <f>INDEX('Pivot - Psgr &amp; Sector'!MS:MS,MATCH(B131,'Pivot - Psgr &amp; Sector'!A:A,0))</f>
        <v>1</v>
      </c>
      <c r="K131" s="120">
        <f t="shared" si="12"/>
        <v>0.5</v>
      </c>
      <c r="L131" s="124" t="s">
        <v>2338</v>
      </c>
      <c r="M131" s="124" t="s">
        <v>2380</v>
      </c>
      <c r="N131" s="132">
        <f>INDEX('Pivot - Psgr &amp; Sector'!MT:MT,MATCH(B131,'Pivot - Psgr &amp; Sector'!A:A,0))</f>
        <v>1</v>
      </c>
      <c r="O131" s="133">
        <f t="shared" si="13"/>
        <v>0.5</v>
      </c>
      <c r="P131" s="134" t="s">
        <v>2352</v>
      </c>
      <c r="Q131" s="134" t="s">
        <v>2393</v>
      </c>
    </row>
    <row r="132" spans="1:17" ht="45" x14ac:dyDescent="0.25">
      <c r="A132" s="107">
        <f t="shared" si="10"/>
        <v>129</v>
      </c>
      <c r="B132" s="108" t="s">
        <v>514</v>
      </c>
      <c r="C132" s="107">
        <f>MATCH(B132,'Pivot - Psgr &amp; Sector'!A:A,0)</f>
        <v>98</v>
      </c>
      <c r="D132" s="107">
        <f>MATCH(B132,'Pivot - Psgr &amp; Airline'!A:A,0)</f>
        <v>119</v>
      </c>
      <c r="E132" s="107">
        <f>COUNTIF(Travel!E:E,B132)</f>
        <v>3</v>
      </c>
      <c r="F132" s="111">
        <f>INDEX('Pivot - Psgr &amp; Sector'!MR:MR,MATCH(B132,'Pivot - Psgr &amp; Sector'!A:A,0))</f>
        <v>0</v>
      </c>
      <c r="G132" s="112">
        <f t="shared" ref="G132:G141" si="14">F132/E132</f>
        <v>0</v>
      </c>
      <c r="H132" s="113" t="s">
        <v>2341</v>
      </c>
      <c r="I132" s="113" t="s">
        <v>2341</v>
      </c>
      <c r="J132" s="119">
        <f>INDEX('Pivot - Psgr &amp; Sector'!MS:MS,MATCH(B132,'Pivot - Psgr &amp; Sector'!A:A,0))</f>
        <v>1</v>
      </c>
      <c r="K132" s="120">
        <f t="shared" ref="K132:K141" si="15">J132/E132</f>
        <v>0.33333333333333331</v>
      </c>
      <c r="L132" s="124" t="s">
        <v>2504</v>
      </c>
      <c r="M132" s="124" t="s">
        <v>2380</v>
      </c>
      <c r="N132" s="132">
        <f>INDEX('Pivot - Psgr &amp; Sector'!MT:MT,MATCH(B132,'Pivot - Psgr &amp; Sector'!A:A,0))</f>
        <v>2</v>
      </c>
      <c r="O132" s="133">
        <f t="shared" ref="O132:O141" si="16">N132/E132</f>
        <v>0.66666666666666663</v>
      </c>
      <c r="P132" s="134" t="s">
        <v>2334</v>
      </c>
      <c r="Q132" s="134" t="s">
        <v>2409</v>
      </c>
    </row>
    <row r="133" spans="1:17" ht="45" x14ac:dyDescent="0.25">
      <c r="A133" s="107">
        <f t="shared" si="10"/>
        <v>130</v>
      </c>
      <c r="B133" s="108" t="s">
        <v>613</v>
      </c>
      <c r="C133" s="107">
        <f>MATCH(B133,'Pivot - Psgr &amp; Sector'!A:A,0)</f>
        <v>68</v>
      </c>
      <c r="D133" s="107">
        <f>MATCH(B133,'Pivot - Psgr &amp; Airline'!A:A,0)</f>
        <v>89</v>
      </c>
      <c r="E133" s="107">
        <f>COUNTIF(Travel!E:E,B133)</f>
        <v>4</v>
      </c>
      <c r="F133" s="111">
        <f>INDEX('Pivot - Psgr &amp; Sector'!MR:MR,MATCH(B133,'Pivot - Psgr &amp; Sector'!A:A,0))</f>
        <v>0</v>
      </c>
      <c r="G133" s="112">
        <f t="shared" si="14"/>
        <v>0</v>
      </c>
      <c r="H133" s="113" t="s">
        <v>2341</v>
      </c>
      <c r="I133" s="113" t="s">
        <v>2341</v>
      </c>
      <c r="J133" s="119">
        <f>INDEX('Pivot - Psgr &amp; Sector'!MS:MS,MATCH(B133,'Pivot - Psgr &amp; Sector'!A:A,0))</f>
        <v>1</v>
      </c>
      <c r="K133" s="120">
        <f t="shared" si="15"/>
        <v>0.25</v>
      </c>
      <c r="L133" s="124" t="s">
        <v>2505</v>
      </c>
      <c r="M133" s="124" t="s">
        <v>2424</v>
      </c>
      <c r="N133" s="132">
        <f>INDEX('Pivot - Psgr &amp; Sector'!MT:MT,MATCH(B133,'Pivot - Psgr &amp; Sector'!A:A,0))</f>
        <v>3</v>
      </c>
      <c r="O133" s="133">
        <f t="shared" si="16"/>
        <v>0.75</v>
      </c>
      <c r="P133" s="134" t="s">
        <v>2481</v>
      </c>
      <c r="Q133" s="134" t="s">
        <v>2581</v>
      </c>
    </row>
    <row r="134" spans="1:17" ht="30" x14ac:dyDescent="0.25">
      <c r="A134" s="107">
        <f t="shared" si="10"/>
        <v>131</v>
      </c>
      <c r="B134" s="108" t="s">
        <v>1721</v>
      </c>
      <c r="C134" s="107">
        <f>MATCH(B134,'Pivot - Psgr &amp; Sector'!A:A,0)</f>
        <v>10</v>
      </c>
      <c r="D134" s="107">
        <f>MATCH(B134,'Pivot - Psgr &amp; Airline'!A:A,0)</f>
        <v>13</v>
      </c>
      <c r="E134" s="107">
        <f>COUNTIF(Travel!E:E,B134)</f>
        <v>1</v>
      </c>
      <c r="F134" s="111">
        <f>INDEX('Pivot - Psgr &amp; Sector'!MR:MR,MATCH(B134,'Pivot - Psgr &amp; Sector'!A:A,0))</f>
        <v>0</v>
      </c>
      <c r="G134" s="112">
        <f t="shared" si="14"/>
        <v>0</v>
      </c>
      <c r="H134" s="113" t="s">
        <v>2341</v>
      </c>
      <c r="I134" s="113" t="s">
        <v>2341</v>
      </c>
      <c r="J134" s="119">
        <f>INDEX('Pivot - Psgr &amp; Sector'!MS:MS,MATCH(B134,'Pivot - Psgr &amp; Sector'!A:A,0))</f>
        <v>0</v>
      </c>
      <c r="K134" s="120">
        <f t="shared" si="15"/>
        <v>0</v>
      </c>
      <c r="L134" s="124" t="s">
        <v>2341</v>
      </c>
      <c r="M134" s="124" t="s">
        <v>2341</v>
      </c>
      <c r="N134" s="132">
        <f>INDEX('Pivot - Psgr &amp; Sector'!MT:MT,MATCH(B134,'Pivot - Psgr &amp; Sector'!A:A,0))</f>
        <v>1</v>
      </c>
      <c r="O134" s="133">
        <f t="shared" si="16"/>
        <v>1</v>
      </c>
      <c r="P134" s="134" t="s">
        <v>2340</v>
      </c>
      <c r="Q134" s="134" t="s">
        <v>2382</v>
      </c>
    </row>
    <row r="135" spans="1:17" ht="60" x14ac:dyDescent="0.25">
      <c r="A135" s="107">
        <f t="shared" si="10"/>
        <v>132</v>
      </c>
      <c r="B135" s="108" t="s">
        <v>550</v>
      </c>
      <c r="C135" s="107">
        <f>MATCH(B135,'Pivot - Psgr &amp; Sector'!A:A,0)</f>
        <v>19</v>
      </c>
      <c r="D135" s="107">
        <f>MATCH(B135,'Pivot - Psgr &amp; Airline'!A:A,0)</f>
        <v>26</v>
      </c>
      <c r="E135" s="107">
        <f>COUNTIF(Travel!E:E,B135)</f>
        <v>3</v>
      </c>
      <c r="F135" s="111">
        <f>INDEX('Pivot - Psgr &amp; Sector'!MR:MR,MATCH(B135,'Pivot - Psgr &amp; Sector'!A:A,0))</f>
        <v>0</v>
      </c>
      <c r="G135" s="112">
        <f t="shared" si="14"/>
        <v>0</v>
      </c>
      <c r="H135" s="113" t="s">
        <v>2341</v>
      </c>
      <c r="I135" s="113" t="s">
        <v>2341</v>
      </c>
      <c r="J135" s="119">
        <f>INDEX('Pivot - Psgr &amp; Sector'!MS:MS,MATCH(B135,'Pivot - Psgr &amp; Sector'!A:A,0))</f>
        <v>0</v>
      </c>
      <c r="K135" s="120">
        <f t="shared" si="15"/>
        <v>0</v>
      </c>
      <c r="L135" s="124" t="s">
        <v>2341</v>
      </c>
      <c r="M135" s="124" t="s">
        <v>2341</v>
      </c>
      <c r="N135" s="132">
        <f>INDEX('Pivot - Psgr &amp; Sector'!MT:MT,MATCH(B135,'Pivot - Psgr &amp; Sector'!A:A,0))</f>
        <v>3</v>
      </c>
      <c r="O135" s="133">
        <f t="shared" si="16"/>
        <v>1</v>
      </c>
      <c r="P135" s="134" t="s">
        <v>2565</v>
      </c>
      <c r="Q135" s="134" t="s">
        <v>2397</v>
      </c>
    </row>
    <row r="136" spans="1:17" ht="30" x14ac:dyDescent="0.25">
      <c r="A136" s="107">
        <f t="shared" ref="A136:A141" si="17">A135+1</f>
        <v>133</v>
      </c>
      <c r="B136" s="108" t="s">
        <v>768</v>
      </c>
      <c r="C136" s="107">
        <f>MATCH(B136,'Pivot - Psgr &amp; Sector'!A:A,0)</f>
        <v>44</v>
      </c>
      <c r="D136" s="107">
        <f>MATCH(B136,'Pivot - Psgr &amp; Airline'!A:A,0)</f>
        <v>64</v>
      </c>
      <c r="E136" s="107">
        <f>COUNTIF(Travel!E:E,B136)</f>
        <v>1</v>
      </c>
      <c r="F136" s="111">
        <f>INDEX('Pivot - Psgr &amp; Sector'!MR:MR,MATCH(B136,'Pivot - Psgr &amp; Sector'!A:A,0))</f>
        <v>0</v>
      </c>
      <c r="G136" s="112">
        <f t="shared" si="14"/>
        <v>0</v>
      </c>
      <c r="H136" s="113" t="s">
        <v>2341</v>
      </c>
      <c r="I136" s="113" t="s">
        <v>2341</v>
      </c>
      <c r="J136" s="119">
        <f>INDEX('Pivot - Psgr &amp; Sector'!MS:MS,MATCH(B136,'Pivot - Psgr &amp; Sector'!A:A,0))</f>
        <v>0</v>
      </c>
      <c r="K136" s="120">
        <f t="shared" si="15"/>
        <v>0</v>
      </c>
      <c r="L136" s="124" t="s">
        <v>2341</v>
      </c>
      <c r="M136" s="124" t="s">
        <v>2341</v>
      </c>
      <c r="N136" s="132">
        <f>INDEX('Pivot - Psgr &amp; Sector'!MT:MT,MATCH(B136,'Pivot - Psgr &amp; Sector'!A:A,0))</f>
        <v>1</v>
      </c>
      <c r="O136" s="133">
        <f t="shared" si="16"/>
        <v>1</v>
      </c>
      <c r="P136" s="134" t="s">
        <v>2489</v>
      </c>
      <c r="Q136" s="134" t="s">
        <v>2379</v>
      </c>
    </row>
    <row r="137" spans="1:17" ht="45" x14ac:dyDescent="0.25">
      <c r="A137" s="107">
        <f t="shared" si="17"/>
        <v>134</v>
      </c>
      <c r="B137" s="108" t="s">
        <v>518</v>
      </c>
      <c r="C137" s="107">
        <f>MATCH(B137,'Pivot - Psgr &amp; Sector'!A:A,0)</f>
        <v>53</v>
      </c>
      <c r="D137" s="107">
        <f>MATCH(B137,'Pivot - Psgr &amp; Airline'!A:A,0)</f>
        <v>73</v>
      </c>
      <c r="E137" s="107">
        <f>COUNTIF(Travel!E:E,B137)</f>
        <v>2</v>
      </c>
      <c r="F137" s="111">
        <f>INDEX('Pivot - Psgr &amp; Sector'!MR:MR,MATCH(B137,'Pivot - Psgr &amp; Sector'!A:A,0))</f>
        <v>0</v>
      </c>
      <c r="G137" s="112">
        <f t="shared" si="14"/>
        <v>0</v>
      </c>
      <c r="H137" s="113" t="s">
        <v>2341</v>
      </c>
      <c r="I137" s="113" t="s">
        <v>2341</v>
      </c>
      <c r="J137" s="119">
        <f>INDEX('Pivot - Psgr &amp; Sector'!MS:MS,MATCH(B137,'Pivot - Psgr &amp; Sector'!A:A,0))</f>
        <v>0</v>
      </c>
      <c r="K137" s="120">
        <f t="shared" si="15"/>
        <v>0</v>
      </c>
      <c r="L137" s="124" t="s">
        <v>2341</v>
      </c>
      <c r="M137" s="124" t="s">
        <v>2341</v>
      </c>
      <c r="N137" s="132">
        <f>INDEX('Pivot - Psgr &amp; Sector'!MT:MT,MATCH(B137,'Pivot - Psgr &amp; Sector'!A:A,0))</f>
        <v>2</v>
      </c>
      <c r="O137" s="133">
        <f t="shared" si="16"/>
        <v>1</v>
      </c>
      <c r="P137" s="134" t="s">
        <v>2334</v>
      </c>
      <c r="Q137" s="134" t="s">
        <v>2409</v>
      </c>
    </row>
    <row r="138" spans="1:17" ht="30" x14ac:dyDescent="0.25">
      <c r="A138" s="107">
        <f t="shared" si="17"/>
        <v>135</v>
      </c>
      <c r="B138" s="108" t="s">
        <v>2077</v>
      </c>
      <c r="C138" s="107">
        <f>MATCH(B138,'Pivot - Psgr &amp; Sector'!A:A,0)</f>
        <v>77</v>
      </c>
      <c r="D138" s="107">
        <f>MATCH(B138,'Pivot - Psgr &amp; Airline'!A:A,0)</f>
        <v>98</v>
      </c>
      <c r="E138" s="107">
        <f>COUNTIF(Travel!E:E,B138)</f>
        <v>1</v>
      </c>
      <c r="F138" s="111">
        <f>INDEX('Pivot - Psgr &amp; Sector'!MR:MR,MATCH(B138,'Pivot - Psgr &amp; Sector'!A:A,0))</f>
        <v>0</v>
      </c>
      <c r="G138" s="112">
        <f t="shared" si="14"/>
        <v>0</v>
      </c>
      <c r="H138" s="113" t="s">
        <v>2341</v>
      </c>
      <c r="I138" s="113" t="s">
        <v>2341</v>
      </c>
      <c r="J138" s="119">
        <f>INDEX('Pivot - Psgr &amp; Sector'!MS:MS,MATCH(B138,'Pivot - Psgr &amp; Sector'!A:A,0))</f>
        <v>0</v>
      </c>
      <c r="K138" s="120">
        <f t="shared" si="15"/>
        <v>0</v>
      </c>
      <c r="L138" s="124" t="s">
        <v>2341</v>
      </c>
      <c r="M138" s="124" t="s">
        <v>2341</v>
      </c>
      <c r="N138" s="132">
        <f>INDEX('Pivot - Psgr &amp; Sector'!MT:MT,MATCH(B138,'Pivot - Psgr &amp; Sector'!A:A,0))</f>
        <v>1</v>
      </c>
      <c r="O138" s="133">
        <f t="shared" si="16"/>
        <v>1</v>
      </c>
      <c r="P138" s="134" t="s">
        <v>2336</v>
      </c>
      <c r="Q138" s="134" t="s">
        <v>2379</v>
      </c>
    </row>
    <row r="139" spans="1:17" ht="45" x14ac:dyDescent="0.25">
      <c r="A139" s="107">
        <f t="shared" si="17"/>
        <v>136</v>
      </c>
      <c r="B139" s="108" t="s">
        <v>2112</v>
      </c>
      <c r="C139" s="107">
        <f>MATCH(B139,'Pivot - Psgr &amp; Sector'!A:A,0)</f>
        <v>85</v>
      </c>
      <c r="D139" s="107">
        <f>MATCH(B139,'Pivot - Psgr &amp; Airline'!A:A,0)</f>
        <v>106</v>
      </c>
      <c r="E139" s="107">
        <f>COUNTIF(Travel!E:E,B139)</f>
        <v>2</v>
      </c>
      <c r="F139" s="111">
        <f>INDEX('Pivot - Psgr &amp; Sector'!MR:MR,MATCH(B139,'Pivot - Psgr &amp; Sector'!A:A,0))</f>
        <v>0</v>
      </c>
      <c r="G139" s="112">
        <f t="shared" si="14"/>
        <v>0</v>
      </c>
      <c r="H139" s="113" t="s">
        <v>2341</v>
      </c>
      <c r="I139" s="113" t="s">
        <v>2341</v>
      </c>
      <c r="J139" s="119">
        <f>INDEX('Pivot - Psgr &amp; Sector'!MS:MS,MATCH(B139,'Pivot - Psgr &amp; Sector'!A:A,0))</f>
        <v>0</v>
      </c>
      <c r="K139" s="120">
        <f t="shared" si="15"/>
        <v>0</v>
      </c>
      <c r="L139" s="124" t="s">
        <v>2341</v>
      </c>
      <c r="M139" s="124" t="s">
        <v>2341</v>
      </c>
      <c r="N139" s="132">
        <f>INDEX('Pivot - Psgr &amp; Sector'!MT:MT,MATCH(B139,'Pivot - Psgr &amp; Sector'!A:A,0))</f>
        <v>2</v>
      </c>
      <c r="O139" s="133">
        <f t="shared" si="16"/>
        <v>1</v>
      </c>
      <c r="P139" s="134" t="s">
        <v>2334</v>
      </c>
      <c r="Q139" s="134" t="s">
        <v>2378</v>
      </c>
    </row>
    <row r="140" spans="1:17" ht="30" x14ac:dyDescent="0.25">
      <c r="A140" s="107">
        <f t="shared" si="17"/>
        <v>137</v>
      </c>
      <c r="B140" s="108" t="s">
        <v>1800</v>
      </c>
      <c r="C140" s="107">
        <f>MATCH(B140,'Pivot - Psgr &amp; Sector'!A:A,0)</f>
        <v>94</v>
      </c>
      <c r="D140" s="107">
        <f>MATCH(B140,'Pivot - Psgr &amp; Airline'!A:A,0)</f>
        <v>115</v>
      </c>
      <c r="E140" s="107">
        <f>COUNTIF(Travel!E:E,B140)</f>
        <v>1</v>
      </c>
      <c r="F140" s="111">
        <f>INDEX('Pivot - Psgr &amp; Sector'!MR:MR,MATCH(B140,'Pivot - Psgr &amp; Sector'!A:A,0))</f>
        <v>0</v>
      </c>
      <c r="G140" s="112">
        <f t="shared" si="14"/>
        <v>0</v>
      </c>
      <c r="H140" s="113" t="s">
        <v>2341</v>
      </c>
      <c r="I140" s="113" t="s">
        <v>2341</v>
      </c>
      <c r="J140" s="119">
        <f>INDEX('Pivot - Psgr &amp; Sector'!MS:MS,MATCH(B140,'Pivot - Psgr &amp; Sector'!A:A,0))</f>
        <v>1</v>
      </c>
      <c r="K140" s="120">
        <f t="shared" si="15"/>
        <v>1</v>
      </c>
      <c r="L140" s="124" t="s">
        <v>2336</v>
      </c>
      <c r="M140" s="124" t="s">
        <v>2380</v>
      </c>
      <c r="N140" s="132">
        <f>INDEX('Pivot - Psgr &amp; Sector'!MT:MT,MATCH(B140,'Pivot - Psgr &amp; Sector'!A:A,0))</f>
        <v>0</v>
      </c>
      <c r="O140" s="133">
        <f t="shared" si="16"/>
        <v>0</v>
      </c>
      <c r="P140" s="134" t="s">
        <v>2341</v>
      </c>
      <c r="Q140" s="134" t="s">
        <v>2341</v>
      </c>
    </row>
    <row r="141" spans="1:17" ht="45" x14ac:dyDescent="0.25">
      <c r="A141" s="107">
        <f t="shared" si="17"/>
        <v>138</v>
      </c>
      <c r="B141" s="108" t="s">
        <v>737</v>
      </c>
      <c r="C141" s="107">
        <f>MATCH(B141,'Pivot - Psgr &amp; Sector'!A:A,0)</f>
        <v>112</v>
      </c>
      <c r="D141" s="107">
        <f>MATCH(B141,'Pivot - Psgr &amp; Airline'!A:A,0)</f>
        <v>137</v>
      </c>
      <c r="E141" s="107">
        <f>COUNTIF(Travel!E:E,B141)</f>
        <v>2</v>
      </c>
      <c r="F141" s="111">
        <f>INDEX('Pivot - Psgr &amp; Sector'!MR:MR,MATCH(B141,'Pivot - Psgr &amp; Sector'!A:A,0))</f>
        <v>0</v>
      </c>
      <c r="G141" s="112">
        <f t="shared" si="14"/>
        <v>0</v>
      </c>
      <c r="H141" s="113" t="s">
        <v>2341</v>
      </c>
      <c r="I141" s="113" t="s">
        <v>2341</v>
      </c>
      <c r="J141" s="119">
        <f>INDEX('Pivot - Psgr &amp; Sector'!MS:MS,MATCH(B141,'Pivot - Psgr &amp; Sector'!A:A,0))</f>
        <v>0</v>
      </c>
      <c r="K141" s="120">
        <f t="shared" si="15"/>
        <v>0</v>
      </c>
      <c r="L141" s="124" t="s">
        <v>2341</v>
      </c>
      <c r="M141" s="124" t="s">
        <v>2341</v>
      </c>
      <c r="N141" s="132">
        <f>INDEX('Pivot - Psgr &amp; Sector'!MT:MT,MATCH(B141,'Pivot - Psgr &amp; Sector'!A:A,0))</f>
        <v>2</v>
      </c>
      <c r="O141" s="133">
        <f t="shared" si="16"/>
        <v>1</v>
      </c>
      <c r="P141" s="134" t="s">
        <v>2566</v>
      </c>
      <c r="Q141" s="134" t="s">
        <v>2409</v>
      </c>
    </row>
    <row r="142" spans="1:17" x14ac:dyDescent="0.25">
      <c r="E142" s="105">
        <f>SUM(E4:E141)</f>
        <v>808</v>
      </c>
      <c r="F142" s="114">
        <f>SUM(F4:F141)</f>
        <v>158</v>
      </c>
      <c r="G142" s="114"/>
      <c r="H142" s="115"/>
      <c r="I142" s="115"/>
      <c r="J142" s="121">
        <f t="shared" ref="J142:N142" si="18">SUM(J4:J141)</f>
        <v>503</v>
      </c>
      <c r="K142" s="121"/>
      <c r="L142" s="127"/>
      <c r="M142" s="125"/>
      <c r="N142" s="136">
        <f t="shared" si="18"/>
        <v>147</v>
      </c>
      <c r="O142" s="136"/>
      <c r="P142" s="137"/>
      <c r="Q142" s="138"/>
    </row>
  </sheetData>
  <autoFilter ref="A2:O142">
    <filterColumn colId="5" showButton="0"/>
    <filterColumn colId="9" showButton="0"/>
    <filterColumn colId="13" showButton="0"/>
  </autoFilter>
  <sortState ref="B4:V141">
    <sortCondition descending="1" ref="G4:G141"/>
    <sortCondition descending="1" ref="K4:K141"/>
    <sortCondition descending="1" ref="O4:O141"/>
    <sortCondition ref="B4:B141"/>
  </sortState>
  <mergeCells count="8">
    <mergeCell ref="F2:I2"/>
    <mergeCell ref="J2:M2"/>
    <mergeCell ref="N2:Q2"/>
    <mergeCell ref="B2:B3"/>
    <mergeCell ref="A2:A3"/>
    <mergeCell ref="E2:E3"/>
    <mergeCell ref="C2:C3"/>
    <mergeCell ref="D2:D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Travel</vt:lpstr>
      <vt:lpstr>Pivot - Sector</vt:lpstr>
      <vt:lpstr>Sectorwise</vt:lpstr>
      <vt:lpstr>Pivot - Psgr &amp; Sector</vt:lpstr>
      <vt:lpstr>Pivot - Psgr &amp; Airline</vt:lpstr>
      <vt:lpstr>Passengerwsie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domestic</dc:creator>
  <cp:lastModifiedBy>Ashwin Viswanathan</cp:lastModifiedBy>
  <dcterms:created xsi:type="dcterms:W3CDTF">2014-03-18T09:54:19Z</dcterms:created>
  <dcterms:modified xsi:type="dcterms:W3CDTF">2014-05-11T21:07:51Z</dcterms:modified>
</cp:coreProperties>
</file>